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6.xml" ContentType="application/vnd.openxmlformats-officedocument.spreadsheetml.comments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KAYIT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nomaliCalisanAdedi" hidden="0" function="0" vbProcedure="0">MOTOR!$B$20</definedName>
    <definedName name="AylikBrutUcretYuku" hidden="0" function="0" vbProcedure="0">MOTOR!$B$16</definedName>
    <definedName name="AySayisi" hidden="0" function="0" vbProcedure="0">AYARLAR!$C$11</definedName>
    <definedName name="BolumPaydaTaban" hidden="0" function="0" vbProcedure="0">AYARLAR!$C$14</definedName>
    <definedName name="ButceEtkiEsikOran" hidden="0" function="0" vbProcedure="0">AYARLAR!$C$35</definedName>
    <definedName name="ButceInceleEsikOran" hidden="0" function="0" vbProcedure="0">AYARLAR!$C$34</definedName>
    <definedName name="DavaRiskButceEsik" hidden="0" function="0" vbProcedure="0">AYARLAR!$C$16</definedName>
    <definedName name="DavaRiskEsik" hidden="0" function="0" vbProcedure="0">AYARLAR!$C$17</definedName>
    <definedName name="DavaRiskOrani" hidden="0" function="0" vbProcedure="0">MOTOR!$B$18</definedName>
    <definedName name="degerKazanim" hidden="0" function="0" vbProcedure="0">MOTOR!$B$41</definedName>
    <definedName name="degerKazanimOran" hidden="0" function="0" vbProcedure="0">MOTOR!$B$42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KONTROL!$B$17</definedName>
    <definedName name="FazlaSureKatsayi" hidden="0" function="0" vbProcedure="0">AYARLAR!$C$9</definedName>
    <definedName name="firmaUnvani" hidden="0" function="0" vbProcedure="0">AYARLAR!$C$6</definedName>
    <definedName name="GunlukCalismaSaat" hidden="0" function="0" vbProcedure="0">AYARLAR!$C$13</definedName>
    <definedName name="HaftalikCalismaSinir" hidden="0" function="0" vbProcedure="0">AYARLAR!$C$29</definedName>
    <definedName name="HhiYuksekEsik" hidden="0" function="0" vbProcedure="0">AYARLAR!$C$36</definedName>
    <definedName name="IskontoOrani" hidden="0" function="0" vbProcedure="0">AYARLAR!$C$28</definedName>
    <definedName name="IzinKullanimOrani" hidden="0" function="0" vbProcedure="0">MOTOR!$B$21</definedName>
    <definedName name="KararGerekce" hidden="0" function="0" vbProcedure="0">KARAR!$B$12</definedName>
    <definedName name="KararSonuc" hidden="0" function="0" vbProcedure="0">KARAR!$B$11</definedName>
    <definedName name="KayitFarkiEsik" hidden="0" function="0" vbProcedure="0">AYARLAR!$C$18</definedName>
    <definedName name="KayitFarkiOrani" hidden="0" function="0" vbProcedure="0">MOTOR!$B$13</definedName>
    <definedName name="KayitFarkiRiskTutari" hidden="0" function="0" vbProcedure="0">MOTOR!$B$14</definedName>
    <definedName name="KayitKapasite" hidden="0" function="0" vbProcedure="0">AYARLAR!$C$33</definedName>
    <definedName name="KidemSinirGun" hidden="0" function="0" vbProcedure="0">AYARLAR!$C$30</definedName>
    <definedName name="MesaiKatsayi" hidden="0" function="0" vbProcedure="0">AYARLAR!$C$8</definedName>
    <definedName name="modulI1MesaiTahminOrta" hidden="0" function="0" vbProcedure="0">MOTOR!$B$36</definedName>
    <definedName name="modulI1MesaiTahminYorum" hidden="0" function="0" vbProcedure="0">MOTOR!$C$56</definedName>
    <definedName name="modulI2RiskP90" hidden="0" function="0" vbProcedure="0">MOTOR!$B$37</definedName>
    <definedName name="modulI2RiskP90Yorum" hidden="0" function="0" vbProcedure="0">MOTOR!$C$57</definedName>
    <definedName name="modulI3RiskNpv" hidden="0" function="0" vbProcedure="0">MOTOR!$B$38</definedName>
    <definedName name="modulI3RiskNpvYorum" hidden="0" function="0" vbProcedure="0">MOTOR!$C$58</definedName>
    <definedName name="modulI7RiskAcikKopru" hidden="0" function="0" vbProcedure="0">MOTOR!$B$39</definedName>
    <definedName name="modulI7RiskAcikYorum" hidden="0" function="0" vbProcedure="0">MOTOR!$C$59</definedName>
    <definedName name="modulO1AnomaliOran" hidden="0" function="0" vbProcedure="0">MOTOR!$B$30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MOTOR!$B$31</definedName>
    <definedName name="modulO3SenaryoBazFark" hidden="0" function="0" vbProcedure="0">MOTOR!$B$32</definedName>
    <definedName name="modulO3SenaryoYorum" hidden="0" function="0" vbProcedure="0">MOTOR!$C$52</definedName>
    <definedName name="modulO4ZamanAsimiRisk" hidden="0" function="0" vbProcedure="0">MOTOR!$B$33</definedName>
    <definedName name="modulO4ZamanAsimiYorum" hidden="0" function="0" vbProcedure="0">MOTOR!$C$53</definedName>
    <definedName name="modulO6MesaiHhi" hidden="0" function="0" vbProcedure="0">MOTOR!$B$34</definedName>
    <definedName name="modulO6MesaiHhiYorum" hidden="0" function="0" vbProcedure="0">MOTOR!$C$54</definedName>
    <definedName name="modulO8KaliteSkoru" hidden="0" function="0" vbProcedure="0">MOTOR!$B$35</definedName>
    <definedName name="modulO8KaliteYorum" hidden="0" function="0" vbProcedure="0">MOTOR!$C$55</definedName>
    <definedName name="modulT1CalisanYasOrt" hidden="0" function="0" vbProcedure="0">MOTOR!$B$25</definedName>
    <definedName name="modulT1CalisanYasYorum" hidden="0" function="0" vbProcedure="0">MOTOR!$C$45</definedName>
    <definedName name="modulT2MesaiEgim" hidden="0" function="0" vbProcedure="0">MOTOR!$B$26</definedName>
    <definedName name="modulT2MesaiEgimYorum" hidden="0" function="0" vbProcedure="0">MOTOR!$C$46</definedName>
    <definedName name="modulT3MesaiParetoPay" hidden="0" function="0" vbProcedure="0">MOTOR!$B$27</definedName>
    <definedName name="modulT3MesaiParetoYorum" hidden="0" function="0" vbProcedure="0">MOTOR!$C$47</definedName>
    <definedName name="modulT5KayitMutabakat" hidden="0" function="0" vbProcedure="0">MOTOR!$B$28</definedName>
    <definedName name="modulT5KayitMutabakatYorum" hidden="0" function="0" vbProcedure="0">MOTOR!$C$48</definedName>
    <definedName name="modulT6NormalMesaiPay" hidden="0" function="0" vbProcedure="0">MOTOR!$B$29</definedName>
    <definedName name="modulT6NormalMesaiYorum" hidden="0" function="0" vbProcedure="0">MOTOR!$C$49</definedName>
    <definedName name="NpvEsikOran" hidden="0" function="0" vbProcedure="0">AYARLAR!$C$37</definedName>
    <definedName name="OrtalamaAylikMesaiSaati" hidden="0" function="0" vbProcedure="0">MOTOR!$B$15</definedName>
    <definedName name="OrtalamaHaftalikCalismaSaati" hidden="0" function="0" vbProcedure="0">MOTOR!$B$22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KONTROL!$B$16</definedName>
    <definedName name="raporTarihi" hidden="0" function="0" vbProcedure="0">AYARLAR!$C$7</definedName>
    <definedName name="RiskAcikKopru" hidden="0" function="0" vbProcedure="0">MOTOR!$B$39</definedName>
    <definedName name="SenaryoIyimserKat" hidden="0" function="0" vbProcedure="0">AYARLAR!$C$24</definedName>
    <definedName name="SenaryoKotumserKat" hidden="0" function="0" vbProcedure="0">AYARLAR!$C$23</definedName>
    <definedName name="SenaryoRiskBaz" hidden="0" function="0" vbProcedure="0">SENARYO_DUYARLILIK!$C$8</definedName>
    <definedName name="SenaryoRiskIyimser" hidden="0" function="0" vbProcedure="0">SENARYO_DUYARLILIK!$D$8</definedName>
    <definedName name="SenaryoRiskKotumser" hidden="0" function="0" vbProcedure="0">SENARYO_DUYARLILIK!$B$8</definedName>
    <definedName name="SenaryoRiskUcretIyimser" hidden="0" function="0" vbProcedure="0">SENARYO_DUYARLILIK!$D$8</definedName>
    <definedName name="SenaryoRiskUcretKotumser" hidden="0" function="0" vbProcedure="0">SENARYO_DUYARLILIK!$B$8</definedName>
    <definedName name="SinirAsimCalisan" hidden="0" function="0" vbProcedure="0">MOTOR!$B$12</definedName>
    <definedName name="ToplamAylikMesaiSaati" hidden="0" function="0" vbProcedure="0">MOTOR!$B$8</definedName>
    <definedName name="ToplamCalisanSayisi" hidden="0" function="0" vbProcedure="0">MOTOR!$B$7</definedName>
    <definedName name="ToplamDavaRiskTutari" hidden="0" function="0" vbProcedure="0">MOTOR!$B$40</definedName>
    <definedName name="ToplamFazlaMesaiUcreti" hidden="0" function="0" vbProcedure="0">MOTOR!$B$10</definedName>
    <definedName name="ToplamSinirAsimTutari" hidden="0" function="0" vbProcedure="0">MOTOR!$B$11</definedName>
    <definedName name="ToplamYillikMesaiSaati" hidden="0" function="0" vbProcedure="0">MOTOR!$B$9</definedName>
    <definedName name="UcretAnomaliZEsik" hidden="0" function="0" vbProcedure="0">AYARLAR!$C$19</definedName>
    <definedName name="UcretHesaplamaGun" hidden="0" function="0" vbProcedure="0">AYARLAR!$C$12</definedName>
    <definedName name="VeriKaliteFailCeza" hidden="0" function="0" vbProcedure="0">AYARLAR!$C$32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AYARLAR!$C$31</definedName>
    <definedName name="VeriKaliteUyariCeza" hidden="0" function="0" vbProcedure="0">AYARLAR!$C$22</definedName>
    <definedName name="WARN_Sayisi" hidden="0" function="0" vbProcedure="0">KONTROL!$B$18</definedName>
    <definedName name="YillikBrutUcretYuku" hidden="0" function="0" vbProcedure="0">MOTOR!$B$17</definedName>
    <definedName name="YillikMesaiSinir" hidden="0" function="0" vbProcedure="0">AYARLAR!$C$10</definedName>
    <definedName name="ZamanaSimiPencereRiskTutari" hidden="0" function="0" vbProcedure="0">MOTOR!$B$19</definedName>
    <definedName name="ZamanAsimiYil" hidden="0" function="0" vbProcedure="0">AYARLAR!$C$15</definedName>
    <definedName name="_xlnm.Print_Area" localSheetId="17">'RAPOR'!$A$1:$C$40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mbria"/>
      <charset val="1"/>
      <family val="0"/>
      <b val="1"/>
      <color rgb="FF0F2742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87878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4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4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6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6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6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1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10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10" borderId="0" applyAlignment="1" pivotButton="0" quotePrefix="0" xfId="0">
      <alignment horizontal="center" vertical="center"/>
    </xf>
    <xf numFmtId="0" fontId="42" fillId="10" borderId="0" applyAlignment="1" pivotButton="0" quotePrefix="0" xfId="0">
      <alignment horizontal="center"/>
    </xf>
    <xf numFmtId="0" fontId="44" fillId="0" borderId="0" pivotButton="0" quotePrefix="0" xfId="0"/>
    <xf numFmtId="0" fontId="48" fillId="12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4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4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6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6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3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6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4" borderId="1" applyAlignment="1" pivotButton="0" quotePrefix="0" xfId="0">
      <alignment horizontal="center"/>
    </xf>
    <xf numFmtId="0" fontId="39" fillId="0" borderId="3" pivotButton="0" quotePrefix="0" xfId="0"/>
    <xf numFmtId="0" fontId="55" fillId="15" borderId="1" applyAlignment="1" pivotButton="0" quotePrefix="0" xfId="0">
      <alignment horizontal="center"/>
    </xf>
    <xf numFmtId="0" fontId="54" fillId="16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7" borderId="0" applyAlignment="1" pivotButton="0" quotePrefix="0" xfId="0">
      <alignment horizontal="center"/>
    </xf>
    <xf numFmtId="0" fontId="59" fillId="0" borderId="0" pivotButton="0" quotePrefix="0" xfId="0"/>
    <xf numFmtId="0" fontId="58" fillId="18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9" borderId="1" applyAlignment="1" pivotButton="0" quotePrefix="0" xfId="0">
      <alignment horizontal="center"/>
    </xf>
    <xf numFmtId="0" fontId="58" fillId="10" borderId="0" pivotButton="0" quotePrefix="0" xfId="0"/>
    <xf numFmtId="0" fontId="63" fillId="10" borderId="0" pivotButton="0" quotePrefix="0" xfId="0"/>
    <xf numFmtId="0" fontId="64" fillId="10" borderId="0" pivotButton="0" quotePrefix="0" xfId="0"/>
    <xf numFmtId="0" fontId="0" fillId="10" borderId="0" pivotButton="0" quotePrefix="0" xfId="0"/>
    <xf numFmtId="0" fontId="36" fillId="10" borderId="0" applyAlignment="1" pivotButton="0" quotePrefix="0" xfId="0">
      <alignment horizontal="center"/>
    </xf>
    <xf numFmtId="0" fontId="52" fillId="0" borderId="0" pivotButton="0" quotePrefix="0" xfId="0"/>
    <xf numFmtId="0" fontId="67" fillId="20" borderId="0" pivotButton="0" quotePrefix="0" xfId="0"/>
    <xf numFmtId="0" fontId="0" fillId="20" borderId="0" pivotButton="0" quotePrefix="0" xfId="0"/>
    <xf numFmtId="0" fontId="54" fillId="0" borderId="0" pivotButton="0" quotePrefix="0" xfId="0"/>
    <xf numFmtId="0" fontId="42" fillId="20" borderId="0" pivotButton="0" quotePrefix="0" xfId="0"/>
    <xf numFmtId="0" fontId="68" fillId="20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6" borderId="5" applyAlignment="1" pivotButton="0" quotePrefix="0" xfId="0">
      <alignment horizontal="center" vertical="center"/>
    </xf>
    <xf numFmtId="0" fontId="69" fillId="21" borderId="0" applyAlignment="1" pivotButton="0" quotePrefix="0" xfId="0">
      <alignment horizontal="center" vertical="center"/>
    </xf>
    <xf numFmtId="0" fontId="33" fillId="22" borderId="1" applyAlignment="1" pivotButton="0" quotePrefix="0" xfId="0">
      <alignment vertical="center"/>
    </xf>
    <xf numFmtId="0" fontId="53" fillId="14" borderId="0" applyAlignment="1" pivotButton="0" quotePrefix="0" xfId="0">
      <alignment horizontal="center" vertical="center"/>
    </xf>
    <xf numFmtId="0" fontId="54" fillId="16" borderId="0" applyAlignment="1" pivotButton="0" quotePrefix="0" xfId="0">
      <alignment horizontal="center" vertical="center"/>
    </xf>
    <xf numFmtId="0" fontId="70" fillId="10" borderId="0" applyAlignment="1" pivotButton="0" quotePrefix="0" xfId="0">
      <alignment horizontal="center" vertical="center"/>
    </xf>
    <xf numFmtId="0" fontId="71" fillId="22" borderId="1" applyAlignment="1" pivotButton="0" quotePrefix="0" xfId="0">
      <alignment horizontal="center"/>
    </xf>
    <xf numFmtId="0" fontId="72" fillId="22" borderId="1" applyAlignment="1" pivotButton="0" quotePrefix="0" xfId="0">
      <alignment horizontal="center"/>
    </xf>
    <xf numFmtId="0" fontId="71" fillId="22" borderId="1" pivotButton="0" quotePrefix="0" xfId="0"/>
    <xf numFmtId="169" fontId="72" fillId="22" borderId="1" applyAlignment="1" pivotButton="0" quotePrefix="0" xfId="0">
      <alignment horizontal="right"/>
    </xf>
    <xf numFmtId="9" fontId="71" fillId="22" borderId="1" applyAlignment="1" pivotButton="0" quotePrefix="0" xfId="0">
      <alignment horizontal="center"/>
    </xf>
    <xf numFmtId="169" fontId="71" fillId="22" borderId="1" applyAlignment="1" pivotButton="0" quotePrefix="0" xfId="0">
      <alignment horizontal="right"/>
    </xf>
    <xf numFmtId="0" fontId="54" fillId="22" borderId="1" applyAlignment="1" pivotButton="0" quotePrefix="0" xfId="0">
      <alignment horizont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9" fillId="21" borderId="1" applyAlignment="1" pivotButton="0" quotePrefix="0" xfId="0">
      <alignment horizontal="center"/>
    </xf>
    <xf numFmtId="0" fontId="54" fillId="21" borderId="1" applyAlignment="1" pivotButton="0" quotePrefix="0" xfId="0">
      <alignment horizontal="center"/>
    </xf>
    <xf numFmtId="0" fontId="55" fillId="21" borderId="1" applyAlignment="1" pivotButton="0" quotePrefix="0" xfId="0">
      <alignment horizontal="center"/>
    </xf>
    <xf numFmtId="0" fontId="42" fillId="10" borderId="0" applyAlignment="1" pivotButton="0" quotePrefix="0" xfId="0">
      <alignment vertical="center" indent="1"/>
    </xf>
    <xf numFmtId="169" fontId="73" fillId="10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3" borderId="1" applyAlignment="1" pivotButton="0" quotePrefix="0" xfId="0">
      <alignment horizontal="center" vertical="center"/>
    </xf>
    <xf numFmtId="0" fontId="81" fillId="14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5" borderId="7" applyAlignment="1" pivotButton="0" quotePrefix="0" xfId="0">
      <alignment horizontal="center" vertical="center"/>
    </xf>
    <xf numFmtId="0" fontId="82" fillId="14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4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4" borderId="0" applyAlignment="1" pivotButton="0" quotePrefix="0" xfId="0">
      <alignment horizontal="left" vertical="center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8" fillId="28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 wrapText="1"/>
    </xf>
    <xf numFmtId="0" fontId="84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28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1" borderId="0" applyAlignment="1" pivotButton="0" quotePrefix="0" xfId="0">
      <alignment horizontal="left" vertical="center"/>
    </xf>
    <xf numFmtId="0" fontId="84" fillId="31" borderId="0" applyAlignment="1" pivotButton="0" quotePrefix="0" xfId="0">
      <alignment vertical="center" wrapText="1"/>
    </xf>
    <xf numFmtId="0" fontId="92" fillId="32" borderId="0" applyAlignment="1" pivotButton="0" quotePrefix="0" xfId="0">
      <alignment vertical="top" wrapText="1"/>
    </xf>
    <xf numFmtId="0" fontId="93" fillId="33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4" fillId="33" borderId="0" applyAlignment="1" pivotButton="0" quotePrefix="0" xfId="0">
      <alignment vertical="top" wrapText="1"/>
    </xf>
    <xf numFmtId="0" fontId="83" fillId="35" borderId="0" applyAlignment="1" pivotButton="0" quotePrefix="0" xfId="0">
      <alignment horizontal="left" vertical="center"/>
    </xf>
    <xf numFmtId="0" fontId="84" fillId="35" borderId="0" applyAlignment="1" pivotButton="0" quotePrefix="0" xfId="0">
      <alignment vertical="center" wrapText="1"/>
    </xf>
    <xf numFmtId="0" fontId="95" fillId="36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6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6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6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6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6" authorId="0" shapeId="0">
      <text>
        <t>Tanım: Saatlik ücret (formül) | Neden önemli: Mesai ücreti buradan türetilir | Doğru giriş: Formül | Örnek: - | Yanlışsa: -</t>
      </text>
    </comment>
    <comment ref="G6" authorId="0" shapeId="0">
      <text>
        <t>Tanım: Aylık fazla mesai ücreti (formül) | Neden önemli: Toplam yükün ana kalemidir | Doğru giriş: Formül | Örnek: - | Yanlışsa: -</t>
      </text>
    </comment>
    <comment ref="H6" authorId="0" shapeId="0">
      <text>
        <t>Tanım: Yıllık mesai saati (formül) | Neden önemli: 270 saat sınırı burada denetlenir | Doğru giriş: Formül | Örnek: - | Yanlışsa: -</t>
      </text>
    </comment>
    <comment ref="I6" authorId="0" shapeId="0">
      <text>
        <t>Tanım: 270 saat sınır aşımı (formül) | Neden önemli: Aşım tutarı riski artırır | Doğru giriş: Formül | Örnek: - | Yanlışsa: -</t>
      </text>
    </comment>
    <comment ref="J6" authorId="0" shapeId="0">
      <text>
        <t>Tanım: Sınır aşım tutarı (formül) | Neden önemli: Dava riski tutarına eklenir | Doğru giriş: Formül | Örnek: - | Yanlışsa: -</t>
      </text>
    </comment>
    <comment ref="K6" authorId="0" shapeId="0">
      <text>
        <t>Tanım: Aylık mesai ücretinin brüt ücrete oranı (formül) | Neden önemli: Yoğunluk göstergesidir | Doğru giriş: Formül | Örnek: - | Yanlışsa: -</t>
      </text>
    </comment>
    <comment ref="L6" authorId="0" shapeId="0">
      <text>
        <t>Tanım: Kayıt risk oranı (formül) | Neden önemli: Belgelenmeyen mesai dava riskini gösterir | Doğru giriş: Formül | Örnek: - | Yanlışsa: -</t>
      </text>
    </comment>
    <comment ref="M6" authorId="0" shapeId="0">
      <text>
        <t>Tanım: Risk tutarı (formül) | Neden önemli: Karar motorunun ana girdisidir | Doğru giriş: Formül | Örnek: - | Yanlışsa: -</t>
      </text>
    </comment>
    <comment ref="N6" authorId="0" shapeId="0">
      <text>
        <t>Tanım: Dönem günü (formül) | Neden önemli: Trend ve tahmin modüllerinin zaman eksenidir | Doğru giriş: Formül | Örnek: - | Yanlışsa: -</t>
      </text>
    </comment>
    <comment ref="A7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7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7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7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7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7" authorId="0" shapeId="0">
      <text>
        <t>Tanım: Saatlik ücret (formül) | Neden önemli: Mesai ücreti buradan türetilir | Doğru giriş: Formül | Örnek: - | Yanlışsa: -</t>
      </text>
    </comment>
    <comment ref="G7" authorId="0" shapeId="0">
      <text>
        <t>Tanım: Aylık fazla mesai ücreti (formül) | Neden önemli: Toplam yükün ana kalemidir | Doğru giriş: Formül | Örnek: - | Yanlışsa: -</t>
      </text>
    </comment>
    <comment ref="H7" authorId="0" shapeId="0">
      <text>
        <t>Tanım: Yıllık mesai saati (formül) | Neden önemli: 270 saat sınırı burada denetlenir | Doğru giriş: Formül | Örnek: - | Yanlışsa: -</t>
      </text>
    </comment>
    <comment ref="I7" authorId="0" shapeId="0">
      <text>
        <t>Tanım: 270 saat sınır aşımı (formül) | Neden önemli: Aşım tutarı riski artırır | Doğru giriş: Formül | Örnek: - | Yanlışsa: -</t>
      </text>
    </comment>
    <comment ref="J7" authorId="0" shapeId="0">
      <text>
        <t>Tanım: Sınır aşım tutarı (formül) | Neden önemli: Dava riski tutarına eklenir | Doğru giriş: Formül | Örnek: - | Yanlışsa: -</t>
      </text>
    </comment>
    <comment ref="K7" authorId="0" shapeId="0">
      <text>
        <t>Tanım: Aylık mesai ücretinin brüt ücrete oranı (formül) | Neden önemli: Yoğunluk göstergesidir | Doğru giriş: Formül | Örnek: - | Yanlışsa: -</t>
      </text>
    </comment>
    <comment ref="L7" authorId="0" shapeId="0">
      <text>
        <t>Tanım: Kayıt risk oranı (formül) | Neden önemli: Belgelenmeyen mesai dava riskini gösterir | Doğru giriş: Formül | Örnek: - | Yanlışsa: -</t>
      </text>
    </comment>
    <comment ref="M7" authorId="0" shapeId="0">
      <text>
        <t>Tanım: Risk tutarı (formül) | Neden önemli: Karar motorunun ana girdisidir | Doğru giriş: Formül | Örnek: - | Yanlışsa: -</t>
      </text>
    </comment>
    <comment ref="N7" authorId="0" shapeId="0">
      <text>
        <t>Tanım: Dönem günü (formül) | Neden önemli: Trend ve tahmin modüllerinin zaman eksenidir | Doğru giriş: Formül | Örnek: - | Yanlışsa: -</t>
      </text>
    </comment>
    <comment ref="A8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8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8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8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8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8" authorId="0" shapeId="0">
      <text>
        <t>Tanım: Saatlik ücret (formül) | Neden önemli: Mesai ücreti buradan türetilir | Doğru giriş: Formül | Örnek: - | Yanlışsa: -</t>
      </text>
    </comment>
    <comment ref="G8" authorId="0" shapeId="0">
      <text>
        <t>Tanım: Aylık fazla mesai ücreti (formül) | Neden önemli: Toplam yükün ana kalemidir | Doğru giriş: Formül | Örnek: - | Yanlışsa: -</t>
      </text>
    </comment>
    <comment ref="H8" authorId="0" shapeId="0">
      <text>
        <t>Tanım: Yıllık mesai saati (formül) | Neden önemli: 270 saat sınırı burada denetlenir | Doğru giriş: Formül | Örnek: - | Yanlışsa: -</t>
      </text>
    </comment>
    <comment ref="I8" authorId="0" shapeId="0">
      <text>
        <t>Tanım: 270 saat sınır aşımı (formül) | Neden önemli: Aşım tutarı riski artırır | Doğru giriş: Formül | Örnek: - | Yanlışsa: -</t>
      </text>
    </comment>
    <comment ref="J8" authorId="0" shapeId="0">
      <text>
        <t>Tanım: Sınır aşım tutarı (formül) | Neden önemli: Dava riski tutarına eklenir | Doğru giriş: Formül | Örnek: - | Yanlışsa: -</t>
      </text>
    </comment>
    <comment ref="K8" authorId="0" shapeId="0">
      <text>
        <t>Tanım: Aylık mesai ücretinin brüt ücrete oranı (formül) | Neden önemli: Yoğunluk göstergesidir | Doğru giriş: Formül | Örnek: - | Yanlışsa: -</t>
      </text>
    </comment>
    <comment ref="L8" authorId="0" shapeId="0">
      <text>
        <t>Tanım: Kayıt risk oranı (formül) | Neden önemli: Belgelenmeyen mesai dava riskini gösterir | Doğru giriş: Formül | Örnek: - | Yanlışsa: -</t>
      </text>
    </comment>
    <comment ref="M8" authorId="0" shapeId="0">
      <text>
        <t>Tanım: Risk tutarı (formül) | Neden önemli: Karar motorunun ana girdisidir | Doğru giriş: Formül | Örnek: - | Yanlışsa: -</t>
      </text>
    </comment>
    <comment ref="N8" authorId="0" shapeId="0">
      <text>
        <t>Tanım: Dönem günü (formül) | Neden önemli: Trend ve tahmin modüllerinin zaman eksenidir | Doğru giriş: Formül | Örnek: - | Yanlışsa: -</t>
      </text>
    </comment>
    <comment ref="A9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9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9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9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9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9" authorId="0" shapeId="0">
      <text>
        <t>Tanım: Saatlik ücret (formül) | Neden önemli: Mesai ücreti buradan türetilir | Doğru giriş: Formül | Örnek: - | Yanlışsa: -</t>
      </text>
    </comment>
    <comment ref="G9" authorId="0" shapeId="0">
      <text>
        <t>Tanım: Aylık fazla mesai ücreti (formül) | Neden önemli: Toplam yükün ana kalemidir | Doğru giriş: Formül | Örnek: - | Yanlışsa: -</t>
      </text>
    </comment>
    <comment ref="H9" authorId="0" shapeId="0">
      <text>
        <t>Tanım: Yıllık mesai saati (formül) | Neden önemli: 270 saat sınırı burada denetlenir | Doğru giriş: Formül | Örnek: - | Yanlışsa: -</t>
      </text>
    </comment>
    <comment ref="I9" authorId="0" shapeId="0">
      <text>
        <t>Tanım: 270 saat sınır aşımı (formül) | Neden önemli: Aşım tutarı riski artırır | Doğru giriş: Formül | Örnek: - | Yanlışsa: -</t>
      </text>
    </comment>
    <comment ref="J9" authorId="0" shapeId="0">
      <text>
        <t>Tanım: Sınır aşım tutarı (formül) | Neden önemli: Dava riski tutarına eklenir | Doğru giriş: Formül | Örnek: - | Yanlışsa: -</t>
      </text>
    </comment>
    <comment ref="K9" authorId="0" shapeId="0">
      <text>
        <t>Tanım: Aylık mesai ücretinin brüt ücrete oranı (formül) | Neden önemli: Yoğunluk göstergesidir | Doğru giriş: Formül | Örnek: - | Yanlışsa: -</t>
      </text>
    </comment>
    <comment ref="L9" authorId="0" shapeId="0">
      <text>
        <t>Tanım: Kayıt risk oranı (formül) | Neden önemli: Belgelenmeyen mesai dava riskini gösterir | Doğru giriş: Formül | Örnek: - | Yanlışsa: -</t>
      </text>
    </comment>
    <comment ref="M9" authorId="0" shapeId="0">
      <text>
        <t>Tanım: Risk tutarı (formül) | Neden önemli: Karar motorunun ana girdisidir | Doğru giriş: Formül | Örnek: - | Yanlışsa: -</t>
      </text>
    </comment>
    <comment ref="N9" authorId="0" shapeId="0">
      <text>
        <t>Tanım: Dönem günü (formül) | Neden önemli: Trend ve tahmin modüllerinin zaman eksenidir | Doğru giriş: Formül | Örnek: - | Yanlışsa: -</t>
      </text>
    </comment>
    <comment ref="A10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10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10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10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10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10" authorId="0" shapeId="0">
      <text>
        <t>Tanım: Saatlik ücret (formül) | Neden önemli: Mesai ücreti buradan türetilir | Doğru giriş: Formül | Örnek: - | Yanlışsa: -</t>
      </text>
    </comment>
    <comment ref="G10" authorId="0" shapeId="0">
      <text>
        <t>Tanım: Aylık fazla mesai ücreti (formül) | Neden önemli: Toplam yükün ana kalemidir | Doğru giriş: Formül | Örnek: - | Yanlışsa: -</t>
      </text>
    </comment>
    <comment ref="H10" authorId="0" shapeId="0">
      <text>
        <t>Tanım: Yıllık mesai saati (formül) | Neden önemli: 270 saat sınırı burada denetlenir | Doğru giriş: Formül | Örnek: - | Yanlışsa: -</t>
      </text>
    </comment>
    <comment ref="I10" authorId="0" shapeId="0">
      <text>
        <t>Tanım: 270 saat sınır aşımı (formül) | Neden önemli: Aşım tutarı riski artırır | Doğru giriş: Formül | Örnek: - | Yanlışsa: -</t>
      </text>
    </comment>
    <comment ref="J10" authorId="0" shapeId="0">
      <text>
        <t>Tanım: Sınır aşım tutarı (formül) | Neden önemli: Dava riski tutarına eklenir | Doğru giriş: Formül | Örnek: - | Yanlışsa: -</t>
      </text>
    </comment>
    <comment ref="K10" authorId="0" shapeId="0">
      <text>
        <t>Tanım: Aylık mesai ücretinin brüt ücrete oranı (formül) | Neden önemli: Yoğunluk göstergesidir | Doğru giriş: Formül | Örnek: - | Yanlışsa: -</t>
      </text>
    </comment>
    <comment ref="L10" authorId="0" shapeId="0">
      <text>
        <t>Tanım: Kayıt risk oranı (formül) | Neden önemli: Belgelenmeyen mesai dava riskini gösterir | Doğru giriş: Formül | Örnek: - | Yanlışsa: -</t>
      </text>
    </comment>
    <comment ref="M10" authorId="0" shapeId="0">
      <text>
        <t>Tanım: Risk tutarı (formül) | Neden önemli: Karar motorunun ana girdisidir | Doğru giriş: Formül | Örnek: - | Yanlışsa: -</t>
      </text>
    </comment>
    <comment ref="N10" authorId="0" shapeId="0">
      <text>
        <t>Tanım: Dönem günü (formül) | Neden önemli: Trend ve tahmin modüllerinin zaman eksenidir | Doğru giriş: Formül | Örnek: - | Yanlışsa: -</t>
      </text>
    </comment>
    <comment ref="A11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11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11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11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11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11" authorId="0" shapeId="0">
      <text>
        <t>Tanım: Saatlik ücret (formül) | Neden önemli: Mesai ücreti buradan türetilir | Doğru giriş: Formül | Örnek: - | Yanlışsa: -</t>
      </text>
    </comment>
    <comment ref="G11" authorId="0" shapeId="0">
      <text>
        <t>Tanım: Aylık fazla mesai ücreti (formül) | Neden önemli: Toplam yükün ana kalemidir | Doğru giriş: Formül | Örnek: - | Yanlışsa: -</t>
      </text>
    </comment>
    <comment ref="H11" authorId="0" shapeId="0">
      <text>
        <t>Tanım: Yıllık mesai saati (formül) | Neden önemli: 270 saat sınırı burada denetlenir | Doğru giriş: Formül | Örnek: - | Yanlışsa: -</t>
      </text>
    </comment>
    <comment ref="I11" authorId="0" shapeId="0">
      <text>
        <t>Tanım: 270 saat sınır aşımı (formül) | Neden önemli: Aşım tutarı riski artırır | Doğru giriş: Formül | Örnek: - | Yanlışsa: -</t>
      </text>
    </comment>
    <comment ref="J11" authorId="0" shapeId="0">
      <text>
        <t>Tanım: Sınır aşım tutarı (formül) | Neden önemli: Dava riski tutarına eklenir | Doğru giriş: Formül | Örnek: - | Yanlışsa: -</t>
      </text>
    </comment>
    <comment ref="K11" authorId="0" shapeId="0">
      <text>
        <t>Tanım: Aylık mesai ücretinin brüt ücrete oranı (formül) | Neden önemli: Yoğunluk göstergesidir | Doğru giriş: Formül | Örnek: - | Yanlışsa: -</t>
      </text>
    </comment>
    <comment ref="L11" authorId="0" shapeId="0">
      <text>
        <t>Tanım: Kayıt risk oranı (formül) | Neden önemli: Belgelenmeyen mesai dava riskini gösterir | Doğru giriş: Formül | Örnek: - | Yanlışsa: -</t>
      </text>
    </comment>
    <comment ref="M11" authorId="0" shapeId="0">
      <text>
        <t>Tanım: Risk tutarı (formül) | Neden önemli: Karar motorunun ana girdisidir | Doğru giriş: Formül | Örnek: - | Yanlışsa: -</t>
      </text>
    </comment>
    <comment ref="N11" authorId="0" shapeId="0">
      <text>
        <t>Tanım: Dönem günü (formül) | Neden önemli: Trend ve tahmin modüllerinin zaman eksenidir | Doğru giriş: Formül | Örnek: - | Yanlışsa: -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 adı | Neden önemli: tblCalisan ile eşleşme anahtarıdır | Doğru giriş: Metin | Örnek: Ahmet Yılmaz | Yanlışsa: Mutabakat eşleşmez</t>
      </text>
    </comment>
    <comment ref="B6" authorId="0" shapeId="0">
      <text>
        <t>Tanım: Dönem | Neden önemli: Zamanaşımı penceresinde hangi aya ait olduğunu gösterir | Doğru giriş: AAAA.AA | Örnek: 2026.01 | Yanlışsa: Pencere hesabı bozulur</t>
      </text>
    </comment>
    <comment ref="C6" authorId="0" shapeId="0">
      <text>
        <t>Tanım: Bildirilen mesai saati | Neden önemli: İşveren kaydı | Doğru giriş: Saat | Örnek: 20 | Yanlışsa: Fark oranı hatalı olur</t>
      </text>
    </comment>
    <comment ref="D6" authorId="0" shapeId="0">
      <text>
        <t>Tanım: Belgelenen mesai saati | Neden önemli: Resmi belgedeki saat | Doğru giriş: Saat | Örnek: 15 | Yanlışsa: Fark oranı hatalı olur</t>
      </text>
    </comment>
    <comment ref="E6" authorId="0" shapeId="0">
      <text>
        <t>Tanım: Fark saati (formül) | Neden önemli: Eksik belge saatini gösterir | Doğru giriş: Formül | Örnek: - | Yanlışsa: -</t>
      </text>
    </comment>
    <comment ref="F6" authorId="0" shapeId="0">
      <text>
        <t>Tanım: Fark oranı (formül) | Neden önemli: Kayıt eksikliği risk göstergesidir | Doğru giriş: Formül | Örnek: - | Yanlışsa: -</t>
      </text>
    </comment>
    <comment ref="A7" authorId="0" shapeId="0">
      <text>
        <t>Tanım: Çalışan adı | Neden önemli: tblCalisan ile eşleşme anahtarıdır | Doğru giriş: Metin | Örnek: Ahmet Yılmaz | Yanlışsa: Mutabakat eşleşmez</t>
      </text>
    </comment>
    <comment ref="B7" authorId="0" shapeId="0">
      <text>
        <t>Tanım: Dönem | Neden önemli: Zamanaşımı penceresinde hangi aya ait olduğunu gösterir | Doğru giriş: AAAA.AA | Örnek: 2026.01 | Yanlışsa: Pencere hesabı bozulur</t>
      </text>
    </comment>
    <comment ref="C7" authorId="0" shapeId="0">
      <text>
        <t>Tanım: Bildirilen mesai saati | Neden önemli: İşveren kaydı | Doğru giriş: Saat | Örnek: 20 | Yanlışsa: Fark oranı hatalı olur</t>
      </text>
    </comment>
    <comment ref="D7" authorId="0" shapeId="0">
      <text>
        <t>Tanım: Belgelenen mesai saati | Neden önemli: Resmi belgedeki saat | Doğru giriş: Saat | Örnek: 15 | Yanlışsa: Fark oranı hatalı olur</t>
      </text>
    </comment>
    <comment ref="E7" authorId="0" shapeId="0">
      <text>
        <t>Tanım: Fark saati (formül) | Neden önemli: Eksik belge saatini gösterir | Doğru giriş: Formül | Örnek: - | Yanlışsa: -</t>
      </text>
    </comment>
    <comment ref="F7" authorId="0" shapeId="0">
      <text>
        <t>Tanım: Fark oranı (formül) | Neden önemli: Kayıt eksikliği risk göstergesidir | Doğru giriş: Formül | Örnek: - | Yanlışsa: -</t>
      </text>
    </comment>
    <comment ref="A8" authorId="0" shapeId="0">
      <text>
        <t>Tanım: Çalışan adı | Neden önemli: tblCalisan ile eşleşme anahtarıdır | Doğru giriş: Metin | Örnek: Ahmet Yılmaz | Yanlışsa: Mutabakat eşleşmez</t>
      </text>
    </comment>
    <comment ref="B8" authorId="0" shapeId="0">
      <text>
        <t>Tanım: Dönem | Neden önemli: Zamanaşımı penceresinde hangi aya ait olduğunu gösterir | Doğru giriş: AAAA.AA | Örnek: 2026.01 | Yanlışsa: Pencere hesabı bozulur</t>
      </text>
    </comment>
    <comment ref="C8" authorId="0" shapeId="0">
      <text>
        <t>Tanım: Bildirilen mesai saati | Neden önemli: İşveren kaydı | Doğru giriş: Saat | Örnek: 20 | Yanlışsa: Fark oranı hatalı olur</t>
      </text>
    </comment>
    <comment ref="D8" authorId="0" shapeId="0">
      <text>
        <t>Tanım: Belgelenen mesai saati | Neden önemli: Resmi belgedeki saat | Doğru giriş: Saat | Örnek: 15 | Yanlışsa: Fark oranı hatalı olur</t>
      </text>
    </comment>
    <comment ref="E8" authorId="0" shapeId="0">
      <text>
        <t>Tanım: Fark saati (formül) | Neden önemli: Eksik belge saatini gösterir | Doğru giriş: Formül | Örnek: - | Yanlışsa: -</t>
      </text>
    </comment>
    <comment ref="F8" authorId="0" shapeId="0">
      <text>
        <t>Tanım: Fark oranı (formül) | Neden önemli: Kayıt eksikliği risk göstergesidir | Doğru giriş: Formül | Örnek: - | Yanlışsa: -</t>
      </text>
    </comment>
    <comment ref="A9" authorId="0" shapeId="0">
      <text>
        <t>Tanım: Çalışan adı | Neden önemli: tblCalisan ile eşleşme anahtarıdır | Doğru giriş: Metin | Örnek: Ahmet Yılmaz | Yanlışsa: Mutabakat eşleşmez</t>
      </text>
    </comment>
    <comment ref="B9" authorId="0" shapeId="0">
      <text>
        <t>Tanım: Dönem | Neden önemli: Zamanaşımı penceresinde hangi aya ait olduğunu gösterir | Doğru giriş: AAAA.AA | Örnek: 2026.01 | Yanlışsa: Pencere hesabı bozulur</t>
      </text>
    </comment>
    <comment ref="C9" authorId="0" shapeId="0">
      <text>
        <t>Tanım: Bildirilen mesai saati | Neden önemli: İşveren kaydı | Doğru giriş: Saat | Örnek: 20 | Yanlışsa: Fark oranı hatalı olur</t>
      </text>
    </comment>
    <comment ref="D9" authorId="0" shapeId="0">
      <text>
        <t>Tanım: Belgelenen mesai saati | Neden önemli: Resmi belgedeki saat | Doğru giriş: Saat | Örnek: 15 | Yanlışsa: Fark oranı hatalı olur</t>
      </text>
    </comment>
    <comment ref="E9" authorId="0" shapeId="0">
      <text>
        <t>Tanım: Fark saati (formül) | Neden önemli: Eksik belge saatini gösterir | Doğru giriş: Formül | Örnek: - | Yanlışsa: -</t>
      </text>
    </comment>
    <comment ref="F9" authorId="0" shapeId="0">
      <text>
        <t>Tanım: Fark oranı (formül) | Neden önemli: Kayıt eksikliği risk göstergesidir | Doğru giriş: Formül | Örnek: - | Yanlışsa: -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Çalışan Sayısı | Neden önemli: Karar motoru girdisi | Doğru giriş: Formül | Örnek: - | Yanlışsa: - | Not: Tablodaki dolu çalışan satırı sayısı.</t>
      </text>
    </comment>
    <comment ref="B8" authorId="0" shapeId="0">
      <text>
        <t>Tanım: Toplam Aylık Mesai Saati | Neden önemli: Karar motoru girdisi | Doğru giriş: Formül | Örnek: - | Yanlışsa: - | Not: Tüm çalışanların aylık mesai saati toplamı.</t>
      </text>
    </comment>
    <comment ref="B9" authorId="0" shapeId="0">
      <text>
        <t>Tanım: Toplam Yıllık Mesai Saati | Neden önemli: Karar motoru girdisi | Doğru giriş: Formül | Örnek: - | Yanlışsa: - | Not: Tüm çalışanların yıllık mesai saati toplamı.</t>
      </text>
    </comment>
    <comment ref="B10" authorId="0" shapeId="0">
      <text>
        <t>Tanım: Toplam Fazla Mesai Ücreti (₺) | Neden önemli: Karar motoru girdisi | Doğru giriş: Formül | Örnek: - | Yanlışsa: - | Not: Yıllık fazla mesai ücreti toplamı.</t>
      </text>
    </comment>
    <comment ref="B11" authorId="0" shapeId="0">
      <text>
        <t>Tanım: Toplam Sınır Aşım Tutarı (₺) | Neden önemli: Karar motoru girdisi | Doğru giriş: Formül | Örnek: - | Yanlışsa: - | Not: 270 saat sınırını aşan ücret toplamı.</t>
      </text>
    </comment>
    <comment ref="B12" authorId="0" shapeId="0">
      <text>
        <t>Tanım: 270 Saat Aşan Çalışan | Neden önemli: Karar motoru girdisi | Doğru giriş: Formül | Örnek: - | Yanlışsa: - | Not: Sınır aşan çalışan sayısı.</t>
      </text>
    </comment>
    <comment ref="B13" authorId="0" shapeId="0">
      <text>
        <t>Tanım: Kayıt Farkı Oranı | Neden önemli: Karar motoru girdisi | Doğru giriş: Formül | Örnek: - | Yanlışsa: - | Not: Bildirilen ile belgelenen saat farkının oranı.</t>
      </text>
    </comment>
    <comment ref="B14" authorId="0" shapeId="0">
      <text>
        <t>Tanım: Kayıt Farkı Risk Tutarı (₺) | Neden önemli: Karar motoru girdisi | Doğru giriş: Formül | Örnek: - | Yanlışsa: - | Not: Belgelenmeyen mesaiye karşılık risk tutarı.</t>
      </text>
    </comment>
    <comment ref="B15" authorId="0" shapeId="0">
      <text>
        <t>Tanım: Ortalama Aylık Mesai Saati | Neden önemli: Karar motoru girdisi | Doğru giriş: Formül | Örnek: - | Yanlışsa: - | Not: Çalışan başına ortalama aylık mesai.</t>
      </text>
    </comment>
    <comment ref="B16" authorId="0" shapeId="0">
      <text>
        <t>Tanım: Aylık Brüt Ücret Yükü (₺) | Neden önemli: Karar motoru girdisi | Doğru giriş: Formül | Örnek: - | Yanlışsa: - | Not: Aylık toplam brüt ücret yükü.</t>
      </text>
    </comment>
    <comment ref="B17" authorId="0" shapeId="0">
      <text>
        <t>Tanım: Yıllık Brüt Ücret Yükü (₺) | Neden önemli: Karar motoru girdisi | Doğru giriş: Formül | Örnek: - | Yanlışsa: - | Not: Yıllık toplam brüt ücret yükü.</t>
      </text>
    </comment>
    <comment ref="B18" authorId="0" shapeId="0">
      <text>
        <t>Tanım: Dava Risk Oranı | Neden önemli: Karar motoru girdisi | Doğru giriş: Formül | Örnek: - | Yanlışsa: - | Not: Fazla mesai ücretinin yıllık ücret yüküne oranı.</t>
      </text>
    </comment>
    <comment ref="B19" authorId="0" shapeId="0">
      <text>
        <t>Tanım: Zamanaşımı Penceresi Risk Tutarı (₺) | Neden önemli: Karar motoru girdisi | Doğru giriş: Formül | Örnek: - | Yanlışsa: - | Not: 5 yıllık zamanaşımı penceresindeki toplam risk.</t>
      </text>
    </comment>
    <comment ref="B20" authorId="0" shapeId="0">
      <text>
        <t>Tanım: Anomali Çalışan Adedi | Neden önemli: Karar motoru girdisi | Doğru giriş: Formül | Örnek: - | Yanlışsa: - | Not: Ortalama + 2 standart sapma üstündeki mesaili çalışan sayısı.</t>
      </text>
    </comment>
    <comment ref="B21" authorId="0" shapeId="0">
      <text>
        <t>Tanım: İzin Kullanım Oranı | Neden önemli: Karar motoru girdisi | Doğru giriş: Formül | Örnek: - | Yanlışsa: - | Not: Anomali çalışanların toplama oranı.</t>
      </text>
    </comment>
    <comment ref="B22" authorId="0" shapeId="0">
      <text>
        <t>Tanım: Ortalama Haftalık Çalışma Saati | Neden önemli: Karar motoru girdisi | Doğru giriş: Formül | Örnek: - | Yanlışsa: - | Not: Tüm çalışanların haftalık çalışma saati ortalaması.</t>
      </text>
    </comment>
    <comment ref="B25" authorId="0" shapeId="0">
      <text>
        <t>Tanım: Modül T1: Çalışan Kıdem Ortalaması | Neden önemli: Analitik derinlik katmanı | Doğru giriş: Formül | Örnek: - | Yanlışsa: - | Not: İşe girişten bugüne ortalama gün sayısı.</t>
      </text>
    </comment>
    <comment ref="B26" authorId="0" shapeId="0">
      <text>
        <t>Tanım: Modül T2: Mesai Eğimi | Neden önemli: Analitik derinlik katmanı | Doğru giriş: Formül | Örnek: - | Yanlışsa: - | Not: Mesai saatinin zamanla değişim hızı.</t>
      </text>
    </comment>
    <comment ref="B27" authorId="0" shapeId="0">
      <text>
        <t>Tanım: Modül T3: Mesai Pareto Payı | Neden önemli: Analitik derinlik katmanı | Doğru giriş: Formül | Örnek: - | Yanlışsa: - | Not: En yüksek mesaili çalışanın toplamdaki payı.</t>
      </text>
    </comment>
    <comment ref="B28" authorId="0" shapeId="0">
      <text>
        <t>Tanım: Modül T5: Kayıt Mutabakat Farkı | Neden önemli: Analitik derinlik katmanı | Doğru giriş: Formül | Örnek: - | Yanlışsa: - | Not: Bildirilen ile belgelenen saat farkı.</t>
      </text>
    </comment>
    <comment ref="B29" authorId="0" shapeId="0">
      <text>
        <t>Tanım: Modül T6: Normal Mesai Dışı Pay | Neden önemli: Analitik derinlik katmanı | Doğru giriş: Formül | Örnek: - | Yanlışsa: - | Not: Aylık mesainin aylık normal çalışmaya oranı.</t>
      </text>
    </comment>
    <comment ref="B30" authorId="0" shapeId="0">
      <text>
        <t>Tanım: Modül O1: Anomali Oranı | Neden önemli: Analitik derinlik katmanı | Doğru giriş: Formül | Örnek: - | Yanlışsa: - | Not: Uç mesaili çalışanların toplama oranı.</t>
      </text>
    </comment>
    <comment ref="B31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2" authorId="0" shapeId="0">
      <text>
        <t>Tanım: Modül O3: Senaryo Baz Fark | Neden önemli: Analitik derinlik katmanı | Doğru giriş: Formül | Örnek: - | Yanlışsa: - | Not: Kötümser ile baz senaryo arasındaki risk farkı.</t>
      </text>
    </comment>
    <comment ref="B33" authorId="0" shapeId="0">
      <text>
        <t>Tanım: Modül O4: Zamanaşımı Risk Tutarı | Neden önemli: Analitik derinlik katmanı | Doğru giriş: Formül | Örnek: - | Yanlışsa: - | Not: 5 yıllık pencerede toplam risk tutarı.</t>
      </text>
    </comment>
    <comment ref="B34" authorId="0" shapeId="0">
      <text>
        <t>Tanım: Modül O6: Mesai HHI | Neden önemli: Analitik derinlik katmanı | Doğru giriş: Formül | Örnek: - | Yanlışsa: - | Not: Mesai yoğunlaşma endeksi (1/çalışan-1).</t>
      </text>
    </comment>
    <comment ref="B35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6" authorId="0" shapeId="0">
      <text>
        <t>Tanım: Modül I1: Mesai Tahmini (Orta) | Neden önemli: Analitik derinlik katmanı | Doğru giriş: Formül | Örnek: - | Yanlışsa: - | Not: Sonraki dönem mesai saati tahmini.</t>
      </text>
    </comment>
    <comment ref="B37" authorId="0" shapeId="0">
      <text>
        <t>Tanım: Modül I2: Risk P90 | Neden önemli: Analitik derinlik katmanı | Doğru giriş: Formül | Örnek: - | Yanlışsa: - | Not: Çalışan risk tutarlarının P90 yüzdelik değeri.</t>
      </text>
    </comment>
    <comment ref="B38" authorId="0" shapeId="0">
      <text>
        <t>Tanım: Modül I3: Risk NPV | Neden önemli: Analitik derinlik katmanı | Doğru giriş: Formül | Örnek: - | Yanlışsa: - | Not: Risk tutarının iskonto edilmiş bugünkü değeri.</t>
      </text>
    </comment>
    <comment ref="B39" authorId="0" shapeId="0">
      <text>
        <t>Tanım: Modül I7: Risk Açık Köprüsü | Neden önemli: Analitik derinlik katmanı | Doğru giriş: Formül | Örnek: - | Yanlışsa: - | Not: Risk tutarının risk bütçesini aşan kısmı.</t>
      </text>
    </comment>
    <comment ref="B40" authorId="0" shapeId="0">
      <text>
        <t>Tanım: Toplam Dava Risk Tutarı (₺) | Neden önemli: Analitik derinlik katmanı | Doğru giriş: Formül | Örnek: - | Yanlışsa: - | Not: Karar motorunun ana risk girdisi.</t>
      </text>
    </comment>
    <comment ref="B41" authorId="0" shapeId="0">
      <text>
        <t>Tanım: Değer Kazanımı (₺) | Neden önemli: Analitik derinlik katmanı | Doğru giriş: Formül | Örnek: - | Yanlışsa: - | Not: Risk bütçesini aşan dava riski değeri.</t>
      </text>
    </comment>
    <comment ref="B42" authorId="0" shapeId="0">
      <text>
        <t>Tanım: Değer Kazanımı Oranı | Neden önemli: Analitik derinlik katmanı | Doğru giriş: Formül | Örnek: - | Yanlışsa: - | Not: Risk bütçesi aşımının risk tutarına oranı.</t>
      </text>
    </comment>
    <comment ref="C45" authorId="0" shapeId="0">
      <text>
        <t>Tanım: T1 Kıdem Ortalaması makine yorumu | Neden önemli: D03-D05 modül geçerlilik şartı | Doğru giriş: Formül | Örnek: - | Yanlışsa: -</t>
      </text>
    </comment>
    <comment ref="C46" authorId="0" shapeId="0">
      <text>
        <t>Tanım: T2 Mesai Eğimi makine yorumu | Neden önemli: D03-D05 modül geçerlilik şartı | Doğru giriş: Formül | Örnek: - | Yanlışsa: -</t>
      </text>
    </comment>
    <comment ref="C47" authorId="0" shapeId="0">
      <text>
        <t>Tanım: T3 Pareto Payı makine yorumu | Neden önemli: D03-D05 modül geçerlilik şartı | Doğru giriş: Formül | Örnek: - | Yanlışsa: -</t>
      </text>
    </comment>
    <comment ref="C48" authorId="0" shapeId="0">
      <text>
        <t>Tanım: T5 Kayıt Mutabakatı makine yorumu | Neden önemli: D03-D05 modül geçerlilik şartı | Doğru giriş: Formül | Örnek: - | Yanlışsa: -</t>
      </text>
    </comment>
    <comment ref="C49" authorId="0" shapeId="0">
      <text>
        <t>Tanım: T6 Normal Mesai Payı makine yorumu | Neden önemli: D03-D05 modül geçerlilik şartı | Doğru giriş: Formül | Örnek: - | Yanlışsa: -</t>
      </text>
    </comment>
    <comment ref="C50" authorId="0" shapeId="0">
      <text>
        <t>Tanım: O1 Anomali Oranı makine yorumu | Neden önemli: D03-D05 modül geçerlilik şartı | Doğru giriş: Formül | Örnek: - | Yanlışsa: -</t>
      </text>
    </comment>
    <comment ref="C51" authorId="0" shapeId="0">
      <text>
        <t>Tanım: O2 Tornado Zirve makine yorumu | Neden önemli: D03-D05 modül geçerlilik şartı | Doğru giriş: Formül | Örnek: - | Yanlışsa: -</t>
      </text>
    </comment>
    <comment ref="C52" authorId="0" shapeId="0">
      <text>
        <t>Tanım: O3 Senaryo Baz Fark makine yorumu | Neden önemli: D03-D05 modül geçerlilik şartı | Doğru giriş: Formül | Örnek: - | Yanlışsa: -</t>
      </text>
    </comment>
    <comment ref="C53" authorId="0" shapeId="0">
      <text>
        <t>Tanım: O4 Zamanaşımı Risk makine yorumu | Neden önemli: D03-D05 modül geçerlilik şartı | Doğru giriş: Formül | Örnek: - | Yanlışsa: -</t>
      </text>
    </comment>
    <comment ref="C54" authorId="0" shapeId="0">
      <text>
        <t>Tanım: O6 Mesai HHI makine yorumu | Neden önemli: D03-D05 modül geçerlilik şartı | Doğru giriş: Formül | Örnek: - | Yanlışsa: -</t>
      </text>
    </comment>
    <comment ref="C55" authorId="0" shapeId="0">
      <text>
        <t>Tanım: O8 Kalite Skoru makine yorumu | Neden önemli: D03-D05 modül geçerlilik şartı | Doğru giriş: Formül | Örnek: - | Yanlışsa: -</t>
      </text>
    </comment>
    <comment ref="C56" authorId="0" shapeId="0">
      <text>
        <t>Tanım: I1 Mesai Tahmini makine yorumu | Neden önemli: D03-D05 modül geçerlilik şartı | Doğru giriş: Formül | Örnek: - | Yanlışsa: -</t>
      </text>
    </comment>
    <comment ref="C57" authorId="0" shapeId="0">
      <text>
        <t>Tanım: I2 Risk P90 makine yorumu | Neden önemli: D03-D05 modül geçerlilik şartı | Doğru giriş: Formül | Örnek: - | Yanlışsa: -</t>
      </text>
    </comment>
    <comment ref="C58" authorId="0" shapeId="0">
      <text>
        <t>Tanım: I3 Risk NPV makine yorumu | Neden önemli: D03-D05 modül geçerlilik şartı | Doğru giriş: Formül | Örnek: - | Yanlışsa: -</t>
      </text>
    </comment>
    <comment ref="C59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Çalışan tablosunda dolu satır | Neden önemli: Veri kalitesi skorunu belirler | Doğru giriş: Formül | Örnek: - | Yanlışsa: - | Not: PASS/FAIL üretir</t>
      </text>
    </comment>
    <comment ref="B6" authorId="0" shapeId="0">
      <text>
        <t>Tanım: Kayıt tablosunda dolu satır | Neden önemli: Veri kalitesi skorunu belirler | Doğru giriş: Formül | Örnek: - | Yanlışsa: - | Not: PASS/FAIL üretir</t>
      </text>
    </comment>
    <comment ref="B7" authorId="0" shapeId="0">
      <text>
        <t>Tanım: Negatif ücret kontrolü | Neden önemli: Veri kalitesi skorunu belirler | Doğru giriş: Formül | Örnek: - | Yanlışsa: - | Not: Negatif ücret varsa FAIL</t>
      </text>
    </comment>
    <comment ref="B8" authorId="0" shapeId="0">
      <text>
        <t>Tanım: Negatif mesai kontrolü | Neden önemli: Veri kalitesi skorunu belirler | Doğru giriş: Formül | Örnek: - | Yanlışsa: - | Not: Negatif mesai varsa FAIL</t>
      </text>
    </comment>
    <comment ref="B9" authorId="0" shapeId="0">
      <text>
        <t>Tanım: Haftalık çalışma saati &gt; 45 kontrolü | Neden önemli: Veri kalitesi skorunu belirler | Doğru giriş: Formül | Örnek: - | Yanlışsa: - | Not: 45 üstü haftalık çalışma varsa WARN</t>
      </text>
    </comment>
    <comment ref="B10" authorId="0" shapeId="0">
      <text>
        <t>Tanım: Belgelenen &gt; bildirilen kontrolü | Neden önemli: Veri kalitesi skorunu belirler | Doğru giriş: Formül | Örnek: - | Yanlışsa: - | Not: Belge fazlası varsa WARN</t>
      </text>
    </comment>
    <comment ref="B11" authorId="0" shapeId="0">
      <text>
        <t>Tanım: Boş ücret kontrolü | Neden önemli: Veri kalitesi skorunu belirler | Doğru giriş: Formül | Örnek: - | Yanlışsa: - | Not: Boş ücret varsa FAIL</t>
      </text>
    </comment>
    <comment ref="B12" authorId="0" shapeId="0">
      <text>
        <t>Tanım: Boş tarih kontrolü | Neden önemli: Veri kalitesi skorunu belirler | Doğru giriş: Formül | Örnek: - | Yanlışsa: - | Not: Boş tarih varsa WARN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Fazla çalışma ücreti katsayısı (saat ücreti + %50). | Neden önemli: Formüller buradan beslenir | Doğru giriş: Sayı | Örnek: 1.5 | Yanlışsa: Hesaplamalar bozulur | Kaynak: 4857 s. İş Kanunu md.41</t>
      </text>
    </comment>
    <comment ref="C9" authorId="0" shapeId="0">
      <text>
        <t>Tanım: Fazla sürelerle çalışma ücreti katsayısı (saat ücreti + %25). | Neden önemli: Formüller buradan beslenir | Doğru giriş: Sayı | Örnek: 1.25 | Yanlışsa: Hesaplamalar bozulur | Kaynak: 4857 s. İş Kanunu md.42</t>
      </text>
    </comment>
    <comment ref="C10" authorId="0" shapeId="0">
      <text>
        <t>Tanım: Yıllık fazla çalışma üst sınırı. | Neden önemli: Formüller buradan beslenir | Doğru giriş: Sayı | Örnek: 270 | Yanlışsa: Hesaplamalar bozulur | Kaynak: 4857 s. İş Kanunu md.41</t>
      </text>
    </comment>
    <comment ref="C11" authorId="0" shapeId="0">
      <text>
        <t>Tanım: Yıllık hesapta kullanılan ay sayısı. | Neden önemli: Formüller buradan beslenir | Doğru giriş: Sayı | Örnek: 12 | Yanlışsa: Hesaplamalar bozulur | Kaynak: Takvim yılı</t>
      </text>
    </comment>
    <comment ref="C12" authorId="0" shapeId="0">
      <text>
        <t>Tanım: Aylık ücretin günlük karşılığı için bölünen gün sayısı. | Neden önemli: Formüller buradan beslenir | Doğru giriş: Sayı | Örnek: 30 | Yanlışsa: Hesaplamalar bozulur | Kaynak: Yaygın uygulama</t>
      </text>
    </comment>
    <comment ref="C13" authorId="0" shapeId="0">
      <text>
        <t>Tanım: Günlük çalışma saati (saatlik ücret hesaplama tabanı). | Neden önemli: Formüller buradan beslenir | Doğru giriş: Sayı | Örnek: 8 | Yanlışsa: Hesaplamalar bozulur | Kaynak: 4857 s. İş Kanunu md.63</t>
      </text>
    </comment>
    <comment ref="C14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5" authorId="0" shapeId="0">
      <text>
        <t>Tanım: İşçi ücret ve fazla mesai alacaklarında zamanaşımı süresi. | Neden önemli: Formüller buradan beslenir | Doğru giriş: Sayı | Örnek: 5 | Yanlışsa: Hesaplamalar bozulur | Kaynak: 4857 s. İş Kanunu md.32/8</t>
      </text>
    </comment>
    <comment ref="C16" authorId="0" shapeId="0">
      <text>
        <t>Tanım: Dava riski tutarı bütçe eşiği. | Neden önemli: Formüller buradan beslenir | Doğru giriş: Sayı | Örnek: 500000 | Yanlışsa: Hesaplamalar bozulur | Kaynak: Varsayım</t>
      </text>
    </comment>
    <comment ref="C17" authorId="0" shapeId="0">
      <text>
        <t>Tanım: Fazla mesai ücretinin yıllık ücret yüküne oranı uyarı eşiği. | Neden önemli: Formüller buradan beslenir | Doğru giriş: Sayı | Örnek: 0.15 | Yanlışsa: Hesaplamalar bozulur | Kaynak: Varsayım</t>
      </text>
    </comment>
    <comment ref="C18" authorId="0" shapeId="0">
      <text>
        <t>Tanım: Bildirilen-beldenen fark oranı uyarı eşiği. | Neden önemli: Formüller buradan beslenir | Doğru giriş: Sayı | Örnek: 0.2 | Yanlışsa: Hesaplamalar bozulur | Kaynak: Varsayım</t>
      </text>
    </comment>
    <comment ref="C19" authorId="0" shapeId="0">
      <text>
        <t>Tanım: Mesai anomali |Z| eşiği. | Neden önemli: Formüller buradan beslenir | Doğru giriş: Sayı | Örnek: 2.0 | Yanlışsa: Hesaplamalar bozulur | Kaynak: Varsayım</t>
      </text>
    </comment>
    <comment ref="C20" authorId="0" shapeId="0">
      <text>
        <t>Tanım: Kalite skoru iyi eşiği. | Neden önemli: Formüller buradan beslenir | Doğru giriş: Sayı | Örnek: 90 | Yanlışsa: Hesaplamalar bozulur | Kaynak: Varsayım</t>
      </text>
    </comment>
    <comment ref="C21" authorId="0" shapeId="0">
      <text>
        <t>Tanım: Kalite skoru orta eşiği. | Neden önemli: Formüller buradan beslenir | Doğru giriş: Sayı | Örnek: 70 | Yanlışsa: Hesaplamalar bozulur | Kaynak: Varsayım</t>
      </text>
    </comment>
    <comment ref="C22" authorId="0" shapeId="0">
      <text>
        <t>Tanım: Her WARN için skor cezası. | Neden önemli: Formüller buradan beslenir | Doğru giriş: Sayı | Örnek: 10 | Yanlışsa: Hesaplamalar bozulur | Kaynak: Varsayım</t>
      </text>
    </comment>
    <comment ref="C23" authorId="0" shapeId="0">
      <text>
        <t>Tanım: Kötümser senaryo mesai çarpanı. | Neden önemli: Formüller buradan beslenir | Doğru giriş: Sayı | Örnek: 0.1 | Yanlışsa: Hesaplamalar bozulur | Kaynak: Varsayım</t>
      </text>
    </comment>
    <comment ref="C24" authorId="0" shapeId="0">
      <text>
        <t>Tanım: İyimser senaryo mesai çarpanı. | Neden önemli: Formüller buradan beslenir | Doğru giriş: Sayı | Örnek: 0.1 | Yanlışsa: Hesaplamalar bozulur | Kaynak: Varsayım</t>
      </text>
    </comment>
    <comment ref="C25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6" authorId="0" shapeId="0">
      <text>
        <t>Tanım: Mesai yoğunlaşması yüksek kabul eşiği. | Neden önemli: Formüller buradan beslenir | Doğru giriş: Sayı | Örnek: 0.3 | Yanlışsa: Hesaplamalar bozulur | Kaynak: Varsayım</t>
      </text>
    </comment>
    <comment ref="C27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28" authorId="0" shapeId="0">
      <text>
        <t>Tanım: Risk tutarı net bugünkü değer hesabında iskonto oranı. | Neden önemli: Formüller buradan beslenir | Doğru giriş: Sayı | Örnek: 0.1 | Yanlışsa: Hesaplamalar bozulur | Kaynak: Varsayım</t>
      </text>
    </comment>
    <comment ref="C29" authorId="0" shapeId="0">
      <text>
        <t>Tanım: Haftalık normal çalışma süresi üst sınırı (aşım denetimi). | Neden önemli: Formüller buradan beslenir | Doğru giriş: Sayı | Örnek: 45 | Yanlışsa: Hesaplamalar bozulur | Kaynak: 4857 s. İş Kanunu md.63</t>
      </text>
    </comment>
    <comment ref="C30" authorId="0" shapeId="0">
      <text>
        <t>Tanım: Kıdem ortalamasında beş yıl eşiği (yaklaşık 1800 gün). | Neden önemli: Formüller buradan beslenir | Doğru giriş: Sayı | Örnek: 1800 | Yanlışsa: Hesaplamalar bozulur | Kaynak: Varsayım</t>
      </text>
    </comment>
    <comment ref="C31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32" authorId="0" shapeId="0">
      <text>
        <t>Tanım: Her FAIL için skor cezası. | Neden önemli: Formüller buradan beslenir | Doğru giriş: Sayı | Örnek: 20 | Yanlışsa: Hesaplamalar bozulur | Kaynak: Varsayım</t>
      </text>
    </comment>
    <comment ref="C33" authorId="0" shapeId="0">
      <text>
        <t>Tanım: Çalışan ve kayıt tablolarının toplam giriş kapasitesi. | Neden önemli: Formüller buradan beslenir | Doğru giriş: Sayı | Örnek: 3000 | Yanlışsa: Hesaplamalar bozulur | Kaynak: Tasarım</t>
      </text>
    </comment>
    <comment ref="C34" authorId="0" shapeId="0">
      <text>
        <t>Tanım: Risk bütçesinin yüzde altmışı üzerinde İNCELE kararı eşiği. | Neden önemli: Formüller buradan beslenir | Doğru giriş: Sayı | Örnek: 0.6 | Yanlışsa: Hesaplamalar bozulur | Kaynak: Varsayım</t>
      </text>
    </comment>
    <comment ref="C35" authorId="0" shapeId="0">
      <text>
        <t>Tanım: Tornado zirve etkisinin bütçeye oranı uyarı eşiği. | Neden önemli: Formüller buradan beslenir | Doğru giriş: Sayı | Örnek: 0.1 | Yanlışsa: Hesaplamalar bozulur | Kaynak: Varsayım</t>
      </text>
    </comment>
    <comment ref="C36" authorId="0" shapeId="0">
      <text>
        <t>Tanım: Mesai yoğunlaşma endeksi yüksek kabul eşiği. | Neden önemli: Formüller buradan beslenir | Doğru giriş: Sayı | Örnek: 0.5 | Yanlışsa: Hesaplamalar bozulur | Kaynak: Varsayım</t>
      </text>
    </comment>
    <comment ref="C37" authorId="0" shapeId="0">
      <text>
        <t>Tanım: Risk NPV değerinin bütçeye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Aylık Brüt Ücret (₺)"/>
    <tableColumn id="4" name="Haftalık Çalışma Saati"/>
    <tableColumn id="5" name="Aylık Fazla Mesai Saati"/>
    <tableColumn id="6" name="Saatlik Ücret (₺)">
      <calculatedColumnFormula>=IF(OR($A6="",$C6=""),"",IFERROR($C6/(UcretHesaplamaGun*GunlukCalismaSaat),0))</calculatedColumnFormula>
    </tableColumn>
    <tableColumn id="7" name="Aylık Fazla Mesai Ücreti (₺)">
      <calculatedColumnFormula>=IF(OR($F6="",$E6=""),"",IFERROR($F6*$E6*MesaiKatsayi,0))</calculatedColumnFormula>
    </tableColumn>
    <tableColumn id="8" name="Yıllık Mesai Saati">
      <calculatedColumnFormula>=IF(OR($E6="",$C6=""),"",IFERROR($E6*AySayisi,0))</calculatedColumnFormula>
    </tableColumn>
    <tableColumn id="9" name="270 Saat Aşımı (saat)">
      <calculatedColumnFormula>=IF(OR($H6="",$C6=""),"",IFERROR(MAX(0,$H6-YillikMesaiSinir),0))</calculatedColumnFormula>
    </tableColumn>
    <tableColumn id="10" name="Sınır Aşım Tutarı (₺)">
      <calculatedColumnFormula>=IF(OR($I6="",$F6=""),"",IFERROR($I6*$F6*MesaiKatsayi,0))</calculatedColumnFormula>
    </tableColumn>
    <tableColumn id="11" name="Aylık Mesai Ücreti Oranı">
      <calculatedColumnFormula>=IF(OR($G6="",$C6=""),"",IFERROR($G6/MAX(BolumPaydaTaban,$C6),0))</calculatedColumnFormula>
    </tableColumn>
    <tableColumn id="12" name="Kayıt Risk Oranı">
      <calculatedColumnFormula>=IF(OR($A6="",$C6=""),"",IFERROR(IF(COUNTIF(tblKayit[Çalışan Adı],$A6)=0,0,1-MIN(1,SUMIF(tblKayit[Çalışan Adı],$A6,tblKayit[Belgelenen Mesai Saati])/MAX(BolumPaydaTaban,SUMIF(tblKayit[Çalışan Adı],$A6,tblKayit[Bildirilen Mesai Saati])))),0))</calculatedColumnFormula>
    </tableColumn>
    <tableColumn id="13" name="Risk Tutarı (₺)">
      <calculatedColumnFormula>=IF(OR($G6="",$J6="",$L6=""),"",IFERROR($G6+$J6+$L6*($G6+$J6),0))</calculatedColumnFormula>
    </tableColumn>
    <tableColumn id="14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Kayit" displayName="tblKayit" ref="A5:F2004" headerRowCount="1" totalsRowCount="0" totalsRowShown="0">
  <tableColumns count="6">
    <tableColumn id="1" name="Çalışan Adı"/>
    <tableColumn id="2" name="Dönem"/>
    <tableColumn id="3" name="Bildirilen Mesai Saati"/>
    <tableColumn id="4" name="Belgelenen Mesai Saati"/>
    <tableColumn id="5" name="Fark Saati">
      <calculatedColumnFormula>=IF(OR($C6="",$D6=""),"",IFERROR($C6-$D6,0))</calculatedColumnFormula>
    </tableColumn>
    <tableColumn id="6" name="Fark Oranı">
      <calculatedColumnFormula>=IF(OR($C6="",$D6=""),"",IFERROR(IF($C6=0,0,($C6-$D6)/$C6),0))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5" min="1" max="1"/>
    <col width="78" customWidth="1" style="75" min="2" max="2"/>
  </cols>
  <sheetData>
    <row r="1" ht="28" customHeight="1" s="75">
      <c r="A1" s="248" t="inlineStr">
        <is>
          <t>EXCELARŞİV KARAR SİSTEMİ v15.1 — ÜRETİM REFERANSI</t>
        </is>
      </c>
    </row>
    <row r="3" ht="24" customHeight="1" s="75">
      <c r="A3" s="249" t="inlineStr">
        <is>
          <t>Konu</t>
        </is>
      </c>
      <c r="B3" s="249" t="inlineStr">
        <is>
          <t>Bağlayıcı Standart</t>
        </is>
      </c>
    </row>
    <row r="4">
      <c r="A4" s="250" t="inlineStr">
        <is>
          <t>Amaç</t>
        </is>
      </c>
      <c r="B4" s="251" t="inlineStr">
        <is>
          <t>Kanıta dayalı, hatada kapalı çalışan Excel üretim ve denetim sistemi</t>
        </is>
      </c>
    </row>
    <row r="5">
      <c r="A5" s="250" t="inlineStr">
        <is>
          <t>Öncelik</t>
        </is>
      </c>
      <c r="B5" s="251" t="inlineStr">
        <is>
          <t>Kullanıcının açık iş talebi ve gerçek kullanım senaryosu</t>
        </is>
      </c>
    </row>
    <row r="6">
      <c r="A6" s="250" t="inlineStr">
        <is>
          <t>Ana akış</t>
        </is>
      </c>
      <c r="B6" s="251" t="inlineStr">
        <is>
          <t>Uygunluk → Yönetişim → Sözleşmeler → Üretim → Test → Kanıt → Kullanıcı Kabulü → Yayın</t>
        </is>
      </c>
    </row>
    <row r="7">
      <c r="A7" s="250" t="inlineStr">
        <is>
          <t>Yayın ilkesi</t>
        </is>
      </c>
      <c r="B7" s="251" t="inlineStr">
        <is>
          <t>Üst aşamada hata varsa alt aşama GEÇTİ üretilemez</t>
        </is>
      </c>
    </row>
    <row r="8">
      <c r="A8" s="250" t="inlineStr">
        <is>
          <t>Kullanıcı kabulü</t>
        </is>
      </c>
      <c r="B8" s="251" t="inlineStr">
        <is>
          <t>Excel masaüstü görünümü test edilmediyse DIŞ_KABUL_GEREKLİ</t>
        </is>
      </c>
    </row>
    <row r="9">
      <c r="A9" s="250" t="inlineStr">
        <is>
          <t>Nihai yayın</t>
        </is>
      </c>
      <c r="B9" s="251" t="inlineStr">
        <is>
          <t>Yalnız uygulanabilir modüller GEÇTİ veya gerekçeli UYGULANMAZ</t>
        </is>
      </c>
    </row>
    <row r="10">
      <c r="A10" s="250" t="inlineStr">
        <is>
          <t>Ticari ayrım</t>
        </is>
      </c>
      <c r="B10" s="251" t="inlineStr">
        <is>
          <t>Ekonomik olarak savunulabilir fiyat, gerçek pazar kabulü ile aynı değildir</t>
        </is>
      </c>
    </row>
    <row r="11">
      <c r="A11" s="250" t="inlineStr">
        <is>
          <t>Karmaşıklık</t>
        </is>
      </c>
      <c r="B11" s="251" t="inlineStr">
        <is>
          <t>Karar değeri, eklenen karmaşıklığın maliyetinden büyük olmalıdır</t>
        </is>
      </c>
    </row>
    <row r="12">
      <c r="A12" s="250" t="inlineStr">
        <is>
          <t>Excel sınırı</t>
        </is>
      </c>
      <c r="B12" s="251" t="inlineStr">
        <is>
          <t>Veritabanı, kurumsal yetkilendirme, değiştirilemez kayıt sistemi veya gerçek zamanlı olay platformu değildir</t>
        </is>
      </c>
    </row>
    <row r="13">
      <c r="A13" s="250" t="inlineStr">
        <is>
          <t>Dil standardı</t>
        </is>
      </c>
      <c r="B13" s="251" t="inlineStr">
        <is>
          <t>Kullanıcıya görünen tüm sayfa, tablo, başlık, açıklama, uyarı ve karar metinleri saf Türkçe olmalıdır</t>
        </is>
      </c>
    </row>
    <row r="14">
      <c r="A14" s="250" t="inlineStr">
        <is>
          <t>Muhasebe standardı</t>
        </is>
      </c>
      <c r="B14" s="251" t="inlineStr">
        <is>
          <t>Finansal ürünlerde Türkiye Tekdüzen Hesap Planı ve Türk muhasebe kullanım alışkanlıkları esas alınır</t>
        </is>
      </c>
    </row>
    <row r="15">
      <c r="A15" s="250" t="inlineStr">
        <is>
          <t>Görsel standart</t>
        </is>
      </c>
      <c r="B15" s="251" t="inlineStr">
        <is>
          <t>Her sayfa başlıklı, renk kodlu, sıkı kolon düzenli ve premium kurumsal görünümde olmalıdır</t>
        </is>
      </c>
    </row>
    <row r="16">
      <c r="A16" s="250" t="inlineStr">
        <is>
          <t>Grafik standardı</t>
        </is>
      </c>
      <c r="B16" s="251" t="inlineStr">
        <is>
          <t>Grafikler karar üretmeli; dekoratif, 3B, anlamsız renkli veya varsayılan Excel grafiği kullanılamaz</t>
        </is>
      </c>
    </row>
    <row r="17">
      <c r="A17" s="250" t="inlineStr">
        <is>
          <t>Hata standardı</t>
        </is>
      </c>
      <c r="B17" s="251" t="inlineStr">
        <is>
          <t>#AD? / #BAŞV! / #DEĞER! / #SAYI/0! / #YOK gibi hatalar GEÇTİ sonucuyla birlikte bulunamaz</t>
        </is>
      </c>
    </row>
    <row r="18">
      <c r="A18" s="250" t="inlineStr">
        <is>
          <t>Karar standardı</t>
        </is>
      </c>
      <c r="B18" s="251" t="inlineStr">
        <is>
          <t>Her kritik çıktı: ne oldu, neden oldu, parasal etki, ne yapılmalı, ne zamana kadar sorularını cevaplar</t>
        </is>
      </c>
    </row>
    <row r="19">
      <c r="A19" s="250" t="inlineStr">
        <is>
          <t>Satış standardı</t>
        </is>
      </c>
      <c r="B19" s="251" t="inlineStr">
        <is>
          <t>Ürün 5 saniyede anlaşılmalı; pahalı problemi, ekonomik sonucu, kanıtı ve satın alma gerekçesini göstermelidir</t>
        </is>
      </c>
    </row>
    <row r="20">
      <c r="A20" s="250" t="inlineStr">
        <is>
          <t>Güven standardı</t>
        </is>
      </c>
      <c r="B20" s="251" t="inlineStr">
        <is>
          <t>Kanıtsız 'premium', 'kusursuz', 'sıfır hata' veya yüksek fiyat iddiası kullanılamaz</t>
        </is>
      </c>
    </row>
    <row r="21">
      <c r="A21" s="250" t="inlineStr">
        <is>
          <t>Kaynak</t>
        </is>
      </c>
      <c r="B21" s="251" t="inlineStr">
        <is>
          <t>Teknik Python çekirdeği 99_TEKNIK_KAYNAK sayfasında saklanır; kullanıcı arayüzü değildir</t>
        </is>
      </c>
    </row>
    <row r="22">
      <c r="A22" s="250" t="inlineStr">
        <is>
          <t>Bağlayıcı standart</t>
        </is>
      </c>
      <c r="B22" s="251" t="inlineStr">
        <is>
          <t>Teknik kaynak içindeki üretim sözleşmesi + bu çalışma kitabındaki Türkçe operasyon standartları</t>
        </is>
      </c>
    </row>
    <row r="23">
      <c r="A23" s="250" t="inlineStr">
        <is>
          <t>Çıktı disiplini</t>
        </is>
      </c>
      <c r="B23" s="251" t="inlineStr">
        <is>
          <t>Kanıtsız GEÇTİ / NİHAİ / TİCARİ / PAZAR_DOĞRULANDI statüsü yasaktır</t>
        </is>
      </c>
    </row>
    <row r="24">
      <c r="A24" s="250" t="inlineStr">
        <is>
          <t>Uyarlanabilirlik</t>
        </is>
      </c>
      <c r="B24" s="251" t="inlineStr">
        <is>
          <t>Gereksiz modül yalnız prestij amacıyla eklenmez</t>
        </is>
      </c>
    </row>
    <row r="26" ht="16" customHeight="1" s="75">
      <c r="A26" s="252" t="inlineStr">
        <is>
          <t>TEK KAYNAK MİMARİSİ</t>
        </is>
      </c>
      <c r="B26" s="252" t="inlineStr">
        <is>
          <t>İKİ DOSYALI / TEK SİSTEM</t>
        </is>
      </c>
    </row>
    <row r="27" ht="28" customHeight="1" s="75">
      <c r="A27" s="251" t="inlineStr">
        <is>
          <t>MASTER Excel</t>
        </is>
      </c>
      <c r="B27" s="25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5">
      <c r="A28" s="251" t="inlineStr">
        <is>
          <t>Runtime Python</t>
        </is>
      </c>
      <c r="B28" s="251" t="inlineStr">
        <is>
          <t>EXCELARSIV_DECISION_OS_V15_1_RUNTIME_KERNEL.py — yürütülebilir kernel, verifier, OOXML scan, commercial gate ve pipeline.</t>
        </is>
      </c>
    </row>
    <row r="29">
      <c r="A29" s="251" t="inlineStr">
        <is>
          <t>Python SHA-256</t>
        </is>
      </c>
      <c r="B29" s="251" t="inlineStr">
        <is>
          <t>babe066ab599199123e53d01944bcd9d75648a579ade69ab9303dd675962f481</t>
        </is>
      </c>
    </row>
    <row r="30">
      <c r="A30" s="251" t="inlineStr">
        <is>
          <t>Sürüm Eşleşmesi</t>
        </is>
      </c>
      <c r="B30" s="251" t="inlineStr">
        <is>
          <t>Her iki dosya v15.1 sistemine aittir. Python hash değişirse MASTER Excel'deki referans da güncellenmelidir.</t>
        </is>
      </c>
    </row>
    <row r="31" ht="28" customHeight="1" s="75">
      <c r="A31" s="251" t="inlineStr">
        <is>
          <t>Sahte PASS Yasağı</t>
        </is>
      </c>
      <c r="B31" s="251" t="inlineStr">
        <is>
          <t>Kanıt yoksa PASS yok; hata=FAIL, ölçülemiyorsa=BLOCKED, Excel GUI gerekiyorsa=HARİCİ KABUL GEREKLİ.</t>
        </is>
      </c>
    </row>
    <row r="32">
      <c r="A32" s="251" t="inlineStr">
        <is>
          <t>Dil</t>
        </is>
      </c>
      <c r="B32" s="251" t="inlineStr">
        <is>
          <t>Kullanıcı yüzeyi safkan Türkçe; teknik kavramların Türkçe karşılığı ana terimdir.</t>
        </is>
      </c>
    </row>
    <row r="33">
      <c r="A33" s="251" t="inlineStr">
        <is>
          <t>Muhasebe</t>
        </is>
      </c>
      <c r="B33" s="251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18" customWidth="1" style="75" min="2" max="2"/>
    <col width="15" customWidth="1" style="75" min="3" max="3"/>
    <col width="12" customWidth="1" style="75" min="4" max="4"/>
    <col width="16" customWidth="1" style="75" min="5" max="5"/>
    <col width="18" customWidth="1" style="75" min="6" max="6"/>
    <col width="6" customWidth="1" style="75" min="7" max="7"/>
    <col width="24" customWidth="1" style="75" min="8" max="8"/>
    <col width="15" customWidth="1" style="75" min="9" max="9"/>
    <col width="14" customWidth="1" style="75" min="10" max="10"/>
    <col width="12" customWidth="1" style="75" min="11" max="11"/>
    <col width="18" customWidth="1" style="75" min="12" max="12"/>
    <col width="18" customWidth="1" style="75" min="13" max="13"/>
  </cols>
  <sheetData>
    <row r="1">
      <c r="A1" s="85" t="inlineStr">
        <is>
          <t>☰ PANO</t>
        </is>
      </c>
    </row>
    <row r="2">
      <c r="B2" s="171" t="inlineStr">
        <is>
          <t>FAZLA MESAI VE ISCI DAVA RISKI TESPIT DOSYASI — YÖNETİM VE KARAR SİSTEMİ</t>
        </is>
      </c>
      <c r="L2" s="172" t="inlineStr">
        <is>
          <t>Dönem: 2026 / Tam ▼</t>
        </is>
      </c>
      <c r="M2" s="173" t="inlineStr">
        <is>
          <t>★ DOĞRULANMIŞ</t>
        </is>
      </c>
    </row>
    <row r="3">
      <c r="B3" s="174" t="inlineStr">
        <is>
          <t>Yönetici Karar Kokpiti, Otomatik Doğrulama ve Dinamik Hesaplama Sistemi · 2026</t>
        </is>
      </c>
    </row>
    <row r="5">
      <c r="B5" s="175" t="inlineStr">
        <is>
          <t>TOPLAM İŞLEM HACMİ</t>
        </is>
      </c>
      <c r="C5" s="176" t="n"/>
      <c r="D5" s="177" t="inlineStr">
        <is>
          <t>DOĞRULANMIŞ</t>
        </is>
      </c>
      <c r="E5" s="178" t="inlineStr">
        <is>
          <t>RİSKLİ / BEKLEYEN İŞLEM</t>
        </is>
      </c>
      <c r="F5" s="176" t="n"/>
      <c r="G5" s="179" t="inlineStr">
        <is>
          <t>MİNİMUM</t>
        </is>
      </c>
      <c r="H5" s="175" t="inlineStr">
        <is>
          <t>OPERASYONEL NET MARJ</t>
        </is>
      </c>
      <c r="I5" s="176" t="n"/>
      <c r="J5" s="180" t="inlineStr">
        <is>
          <t>GÜVENLİ</t>
        </is>
      </c>
      <c r="K5" s="181" t="inlineStr">
        <is>
          <t>SİSTEM GÜVEN SKORU</t>
        </is>
      </c>
      <c r="L5" s="176" t="n"/>
      <c r="M5" s="177" t="inlineStr">
        <is>
          <t>DENETLENDİ</t>
        </is>
      </c>
    </row>
    <row r="6">
      <c r="B6" s="182" t="n"/>
      <c r="C6" s="176" t="n"/>
      <c r="D6" s="176" t="n"/>
      <c r="E6" s="183" t="n"/>
      <c r="F6" s="176" t="n"/>
      <c r="G6" s="176" t="n"/>
      <c r="H6" s="182" t="n"/>
      <c r="I6" s="176" t="n"/>
      <c r="J6" s="176" t="n"/>
      <c r="K6" s="184" t="n"/>
      <c r="L6" s="176" t="n"/>
      <c r="M6" s="176" t="n"/>
    </row>
    <row r="7">
      <c r="B7" s="185" t="inlineStr">
        <is>
          <t>₺28.450.000</t>
        </is>
      </c>
      <c r="C7" s="176" t="n"/>
      <c r="D7" s="176" t="n"/>
      <c r="E7" s="186" t="inlineStr">
        <is>
          <t>₺940.000</t>
        </is>
      </c>
      <c r="F7" s="176" t="n"/>
      <c r="G7" s="176" t="n"/>
      <c r="H7" s="185" t="inlineStr">
        <is>
          <t>₺8.120.000</t>
        </is>
      </c>
      <c r="I7" s="176" t="n"/>
      <c r="J7" s="176" t="n"/>
      <c r="K7" s="187" t="inlineStr">
        <is>
          <t>98/100</t>
        </is>
      </c>
      <c r="L7" s="176" t="n"/>
      <c r="M7" s="176" t="n"/>
    </row>
    <row r="8">
      <c r="B8" s="182" t="n"/>
      <c r="C8" s="176" t="n"/>
      <c r="D8" s="176" t="n"/>
      <c r="E8" s="183" t="n"/>
      <c r="F8" s="176" t="n"/>
      <c r="G8" s="176" t="n"/>
      <c r="H8" s="182" t="n"/>
      <c r="I8" s="176" t="n"/>
      <c r="J8" s="176" t="n"/>
      <c r="K8" s="184" t="n"/>
      <c r="L8" s="176" t="n"/>
      <c r="M8" s="176" t="n"/>
    </row>
    <row r="9">
      <c r="B9" s="188" t="inlineStr">
        <is>
          <t>↑ Konsolide yıllıklandırılmış büyüme</t>
        </is>
      </c>
      <c r="C9" s="176" t="n"/>
      <c r="D9" s="176" t="n"/>
      <c r="E9" s="189" t="inlineStr">
        <is>
          <t>● Tüm riskli kayıtlar kontrol altında</t>
        </is>
      </c>
      <c r="F9" s="176" t="n"/>
      <c r="G9" s="176" t="n"/>
      <c r="H9" s="188" t="inlineStr">
        <is>
          <t>██████████░░░░░ %28.5 NET MARJ</t>
        </is>
      </c>
      <c r="I9" s="176" t="n"/>
      <c r="J9" s="176" t="n"/>
      <c r="K9" s="190" t="inlineStr">
        <is>
          <t>✓ 0 Formül ve Döngüsel Hata</t>
        </is>
      </c>
      <c r="L9" s="176" t="n"/>
      <c r="M9" s="176" t="n"/>
    </row>
    <row r="11">
      <c r="B11" s="99" t="inlineStr">
        <is>
          <t>12 AYLIK NAKİT GİRİŞ / ÇIKIŞ &amp; LİKİDİTE BAŞARIMI</t>
        </is>
      </c>
      <c r="F11" s="191" t="inlineStr">
        <is>
          <t>+%32 Verim</t>
        </is>
      </c>
      <c r="H11" s="99" t="inlineStr">
        <is>
          <t>KONSOLİDE OPERASYON VE KARAR MATRİSİ</t>
        </is>
      </c>
    </row>
    <row r="12">
      <c r="B12" s="98" t="inlineStr">
        <is>
          <t>Kümülatif Tahsilat vs. Tedarikçi/Kredi Ödeme Projeksiyonu</t>
        </is>
      </c>
      <c r="H12" s="98" t="inlineStr">
        <is>
          <t>Anlık Hesaplama Sonuçları, Dinamik Formül Çıktıları ve Durum Puanlaması</t>
        </is>
      </c>
    </row>
    <row r="14">
      <c r="B14" s="192" t="inlineStr">
        <is>
          <t>Dönem</t>
        </is>
      </c>
      <c r="C14" s="192" t="inlineStr">
        <is>
          <t>Aktif Hacim</t>
        </is>
      </c>
      <c r="D14" s="192" t="inlineStr">
        <is>
          <t>Maliyet/Yük</t>
        </is>
      </c>
      <c r="E14" s="192" t="inlineStr">
        <is>
          <t>Hedef</t>
        </is>
      </c>
      <c r="H14" s="193" t="inlineStr">
        <is>
          <t>PARAMETRE / KALEM</t>
        </is>
      </c>
      <c r="I14" s="193" t="inlineStr">
        <is>
          <t>ANA TUTAR</t>
        </is>
      </c>
      <c r="J14" s="193" t="inlineStr">
        <is>
          <t>FARK / MARJ</t>
        </is>
      </c>
      <c r="K14" s="193" t="inlineStr">
        <is>
          <t>VADE</t>
        </is>
      </c>
      <c r="L14" s="193" t="inlineStr">
        <is>
          <t>KONTROL DURUMU</t>
        </is>
      </c>
    </row>
    <row r="15">
      <c r="B15" s="98" t="inlineStr">
        <is>
          <t>D1</t>
        </is>
      </c>
      <c r="C15" s="98" t="n">
        <v>65</v>
      </c>
      <c r="D15" s="98" t="n">
        <v>45</v>
      </c>
      <c r="E15" s="98" t="n">
        <v>60</v>
      </c>
      <c r="H15" s="194" t="inlineStr">
        <is>
          <t>13 haftalık kümülatif bakiye...</t>
        </is>
      </c>
      <c r="I15" s="194" t="inlineStr">
        <is>
          <t>₺8.450.000</t>
        </is>
      </c>
      <c r="J15" s="195" t="inlineStr">
        <is>
          <t>₺425.000</t>
        </is>
      </c>
      <c r="K15" s="196" t="inlineStr">
        <is>
          <t>12 Ay</t>
        </is>
      </c>
      <c r="L15" s="180" t="inlineStr">
        <is>
          <t>✓ DÜZENLİ</t>
        </is>
      </c>
    </row>
    <row r="16">
      <c r="B16" s="98" t="inlineStr">
        <is>
          <t>D2</t>
        </is>
      </c>
      <c r="C16" s="98" t="n">
        <v>78</v>
      </c>
      <c r="D16" s="98" t="n">
        <v>48</v>
      </c>
      <c r="E16" s="98" t="n">
        <v>70</v>
      </c>
      <c r="H16" s="194" t="inlineStr">
        <is>
          <t>Kritik (eksi) hafta uyarısı</t>
        </is>
      </c>
      <c r="I16" s="194" t="inlineStr">
        <is>
          <t>₺12.200.000</t>
        </is>
      </c>
      <c r="J16" s="195" t="inlineStr">
        <is>
          <t>₺580.400</t>
        </is>
      </c>
      <c r="K16" s="196" t="inlineStr">
        <is>
          <t>24 Ay</t>
        </is>
      </c>
      <c r="L16" s="177" t="inlineStr">
        <is>
          <t>★ AVANTAJ</t>
        </is>
      </c>
    </row>
    <row r="17">
      <c r="B17" s="98" t="inlineStr">
        <is>
          <t>D3</t>
        </is>
      </c>
      <c r="C17" s="98" t="n">
        <v>85</v>
      </c>
      <c r="D17" s="98" t="n">
        <v>55</v>
      </c>
      <c r="E17" s="98" t="n">
        <v>80</v>
      </c>
      <c r="H17" s="194" t="inlineStr">
        <is>
          <t>Dönem net nakit değişimi</t>
        </is>
      </c>
      <c r="I17" s="194" t="inlineStr">
        <is>
          <t>₺4.850.000</t>
        </is>
      </c>
      <c r="J17" s="195" t="inlineStr">
        <is>
          <t>₺235.200</t>
        </is>
      </c>
      <c r="K17" s="196" t="inlineStr">
        <is>
          <t>8 Ay</t>
        </is>
      </c>
      <c r="L17" s="197" t="inlineStr">
        <is>
          <t>● YAKLAŞAN</t>
        </is>
      </c>
    </row>
    <row r="18">
      <c r="B18" s="98" t="inlineStr">
        <is>
          <t>D4</t>
        </is>
      </c>
      <c r="C18" s="98" t="n">
        <v>75</v>
      </c>
      <c r="D18" s="98" t="n">
        <v>42</v>
      </c>
      <c r="E18" s="98" t="n">
        <v>75</v>
      </c>
      <c r="H18" s="194" t="inlineStr">
        <is>
          <t>13 haftalık kümülatif bakiye...</t>
        </is>
      </c>
      <c r="I18" s="194" t="inlineStr">
        <is>
          <t>₺2.140.000</t>
        </is>
      </c>
      <c r="J18" s="195" t="inlineStr">
        <is>
          <t>₺118.000</t>
        </is>
      </c>
      <c r="K18" s="196" t="inlineStr">
        <is>
          <t>16 Ay</t>
        </is>
      </c>
      <c r="L18" s="180" t="inlineStr">
        <is>
          <t>✓ TAM UYUM</t>
        </is>
      </c>
    </row>
    <row r="19">
      <c r="B19" s="98" t="inlineStr">
        <is>
          <t>D5</t>
        </is>
      </c>
      <c r="C19" s="98" t="n">
        <v>90</v>
      </c>
      <c r="D19" s="98" t="n">
        <v>40</v>
      </c>
      <c r="E19" s="98" t="n">
        <v>85</v>
      </c>
      <c r="H19" s="198" t="inlineStr">
        <is>
          <t>KONSOLİDE SİSTEM TOPLAMI</t>
        </is>
      </c>
      <c r="I19" s="199" t="inlineStr">
        <is>
          <t>₺42.850.000</t>
        </is>
      </c>
      <c r="J19" s="200" t="inlineStr">
        <is>
          <t>₺3.420.000</t>
        </is>
      </c>
      <c r="K19" s="201" t="inlineStr"/>
      <c r="L19" s="202" t="inlineStr">
        <is>
          <t>TAM DOĞRULANDI (0 HATA)</t>
        </is>
      </c>
    </row>
    <row r="20">
      <c r="B20" s="98" t="inlineStr">
        <is>
          <t>D6</t>
        </is>
      </c>
      <c r="C20" s="98" t="n">
        <v>96</v>
      </c>
      <c r="D20" s="98" t="n">
        <v>32</v>
      </c>
      <c r="E20" s="98" t="n">
        <v>92</v>
      </c>
    </row>
    <row r="22">
      <c r="B22" s="203" t="inlineStr">
        <is>
          <t>KONSOLİDE PAY VE AĞIRLIK</t>
        </is>
      </c>
      <c r="F22" s="203" t="inlineStr">
        <is>
          <t>LİKİDİTE RİSKİ &amp; ERKEN UYARI SİNYALLERİ</t>
        </is>
      </c>
      <c r="K22" s="204" t="inlineStr">
        <is>
          <t>KARAR MOTORU</t>
        </is>
      </c>
      <c r="L22" s="205" t="n"/>
      <c r="M22" s="205" t="n"/>
    </row>
    <row r="23">
      <c r="B23" s="83" t="inlineStr">
        <is>
          <t>■ Ana Segment (%42)</t>
        </is>
      </c>
      <c r="F23" s="98" t="inlineStr">
        <is>
          <t>Nakit Açığı Riski (30 Gün)</t>
        </is>
      </c>
      <c r="I23" s="206" t="inlineStr">
        <is>
          <t>0.00 TL (Sıfır Risk)</t>
        </is>
      </c>
      <c r="K23" s="207" t="inlineStr">
        <is>
          <t>OPERASYONEL VERİMLİLİK FIRSATI</t>
        </is>
      </c>
      <c r="L23" s="205" t="n"/>
      <c r="M23" s="205" t="n"/>
    </row>
    <row r="24">
      <c r="B24" s="84" t="inlineStr">
        <is>
          <t>■ İkincil Grup (%30)</t>
        </is>
      </c>
      <c r="F24" s="98" t="inlineStr">
        <is>
          <t>Tahsilat Gecikme Toleransı</t>
        </is>
      </c>
      <c r="I24" s="206" t="inlineStr">
        <is>
          <t>48 Gün Güvenli Eşik</t>
        </is>
      </c>
      <c r="K24" s="208" t="inlineStr">
        <is>
          <t>Süreç optimizasyonuyla birim operasyonel maliyeti düşürme potansiyeli mevcuttur.</t>
        </is>
      </c>
    </row>
    <row r="25">
      <c r="B25" s="209" t="inlineStr">
        <is>
          <t>■ Destek Birimi (%15)</t>
        </is>
      </c>
      <c r="F25" s="83" t="inlineStr">
        <is>
          <t>██████████████████████████████████████ Güvenli Bölge (%100)</t>
        </is>
      </c>
    </row>
    <row r="26">
      <c r="B26" s="210" t="inlineStr">
        <is>
          <t>■ Rezervler (%13)</t>
        </is>
      </c>
      <c r="F26" s="211" t="inlineStr">
        <is>
          <t>✓ 90 GÜNLÜK PROJEKSİYONDA NAKİT SIKIŞIKLIĞI TESPİT EDİLMEDİ</t>
        </is>
      </c>
      <c r="K26" s="21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14" customWidth="1" style="75" min="2" max="2"/>
    <col width="16" customWidth="1" style="75" min="3" max="3"/>
    <col width="32" customWidth="1" style="75" min="4" max="4"/>
    <col width="18" customWidth="1" style="75" min="5" max="5"/>
    <col width="12" customWidth="1" style="75" min="6" max="6"/>
    <col width="18" customWidth="1" style="75" min="7" max="7"/>
    <col width="22" customWidth="1" style="75" min="8" max="8"/>
    <col width="16" customWidth="1" style="75" min="9" max="9"/>
  </cols>
  <sheetData>
    <row r="1">
      <c r="A1" s="85" t="inlineStr">
        <is>
          <t>☰ PANO</t>
        </is>
      </c>
    </row>
    <row r="3">
      <c r="B3" s="213" t="inlineStr">
        <is>
          <t>🔍  Kayıt veya hesap ara...</t>
        </is>
      </c>
      <c r="G3" s="214" t="inlineStr">
        <is>
          <t>TOPLAM: 1.450 KAYIT</t>
        </is>
      </c>
      <c r="I3" s="215" t="inlineStr">
        <is>
          <t>HATALI HÜCRE: 0 ADET</t>
        </is>
      </c>
    </row>
    <row r="5">
      <c r="B5" s="216" t="inlineStr">
        <is>
          <t>TARİH</t>
        </is>
      </c>
      <c r="C5" s="216" t="inlineStr">
        <is>
          <t>REFERANS NO</t>
        </is>
      </c>
      <c r="D5" s="216" t="inlineStr">
        <is>
          <t>İŞLEM AÇIKLAMASI VE DETAY</t>
        </is>
      </c>
      <c r="E5" s="216" t="inlineStr">
        <is>
          <t>BRÜT TUTAR (₺)</t>
        </is>
      </c>
      <c r="F5" s="216" t="inlineStr">
        <is>
          <t>KDV ORANI</t>
        </is>
      </c>
      <c r="G5" s="216" t="inlineStr">
        <is>
          <t>NET TUTAR (₺)</t>
        </is>
      </c>
      <c r="H5" s="216" t="inlineStr">
        <is>
          <t>HESAP / CARİ</t>
        </is>
      </c>
      <c r="I5" s="216" t="inlineStr">
        <is>
          <t>DURUM</t>
        </is>
      </c>
    </row>
    <row r="6">
      <c r="B6" s="217" t="inlineStr">
        <is>
          <t>12.10.2026</t>
        </is>
      </c>
      <c r="C6" s="218" t="inlineStr">
        <is>
          <t>TR-0428-A</t>
        </is>
      </c>
      <c r="D6" s="219" t="inlineStr">
        <is>
          <t>Haftalık operasyon tahmini</t>
        </is>
      </c>
      <c r="E6" s="220" t="n">
        <v>845200</v>
      </c>
      <c r="F6" s="221" t="n">
        <v>0.2</v>
      </c>
      <c r="G6" s="222">
        <f>E6/(1+F6)</f>
        <v/>
      </c>
      <c r="H6" s="219" t="inlineStr">
        <is>
          <t>Vadesiz Ticari</t>
        </is>
      </c>
      <c r="I6" s="223" t="inlineStr">
        <is>
          <t>ONAYLANDI</t>
        </is>
      </c>
    </row>
    <row r="7">
      <c r="B7" s="224" t="inlineStr">
        <is>
          <t>14.10.2026</t>
        </is>
      </c>
      <c r="C7" s="225" t="inlineStr">
        <is>
          <t>TR-0429-B</t>
        </is>
      </c>
      <c r="D7" s="226" t="inlineStr">
        <is>
          <t>Haftalık operasyon tahmini</t>
        </is>
      </c>
      <c r="E7" s="227" t="n">
        <v>1240000</v>
      </c>
      <c r="F7" s="228" t="n">
        <v>0.2</v>
      </c>
      <c r="G7" s="229">
        <f>E7/(1+F7)</f>
        <v/>
      </c>
      <c r="H7" s="226" t="inlineStr">
        <is>
          <t>Tedarikçi Havuzu</t>
        </is>
      </c>
      <c r="I7" s="230" t="inlineStr">
        <is>
          <t>BEKLEMEDE</t>
        </is>
      </c>
    </row>
    <row r="8">
      <c r="B8" s="217" t="inlineStr">
        <is>
          <t>18.10.2026</t>
        </is>
      </c>
      <c r="C8" s="218" t="inlineStr">
        <is>
          <t>TR-0430-C</t>
        </is>
      </c>
      <c r="D8" s="219" t="inlineStr">
        <is>
          <t>Ödeme takvimi notları</t>
        </is>
      </c>
      <c r="E8" s="220" t="n">
        <v>620500</v>
      </c>
      <c r="F8" s="221" t="n">
        <v>0.1</v>
      </c>
      <c r="G8" s="222">
        <f>E8/(1+F8)</f>
        <v/>
      </c>
      <c r="H8" s="219" t="inlineStr">
        <is>
          <t>Kısa Vade Tahakkuk</t>
        </is>
      </c>
      <c r="I8" s="223" t="inlineStr">
        <is>
          <t>ONAYLANDI</t>
        </is>
      </c>
    </row>
    <row r="9">
      <c r="B9" s="224" t="inlineStr">
        <is>
          <t>21.10.2026</t>
        </is>
      </c>
      <c r="C9" s="225" t="inlineStr">
        <is>
          <t>TR-0431-D</t>
        </is>
      </c>
      <c r="D9" s="226" t="inlineStr">
        <is>
          <t>Haftalık operasyon tahmini</t>
        </is>
      </c>
      <c r="E9" s="227" t="n">
        <v>415000</v>
      </c>
      <c r="F9" s="228" t="n">
        <v>0.2</v>
      </c>
      <c r="G9" s="229">
        <f>E9/(1+F9)</f>
        <v/>
      </c>
      <c r="H9" s="226" t="inlineStr">
        <is>
          <t>Müşteri Alacağı</t>
        </is>
      </c>
      <c r="I9" s="231" t="inlineStr">
        <is>
          <t>ONAYLANDI</t>
        </is>
      </c>
    </row>
    <row r="10">
      <c r="B10" s="217" t="inlineStr">
        <is>
          <t>25.10.2026</t>
        </is>
      </c>
      <c r="C10" s="218" t="inlineStr">
        <is>
          <t>TR-0432-E</t>
        </is>
      </c>
      <c r="D10" s="219" t="inlineStr">
        <is>
          <t>Haftalık operasyon tahmini</t>
        </is>
      </c>
      <c r="E10" s="220" t="n">
        <v>980400</v>
      </c>
      <c r="F10" s="221" t="n">
        <v>0.2</v>
      </c>
      <c r="G10" s="222">
        <f>E10/(1+F10)</f>
        <v/>
      </c>
      <c r="H10" s="219" t="inlineStr">
        <is>
          <t>Vadesiz Ticari</t>
        </is>
      </c>
      <c r="I10" s="223" t="inlineStr">
        <is>
          <t>ONAYLANDI</t>
        </is>
      </c>
    </row>
    <row r="11">
      <c r="B11" s="224" t="inlineStr">
        <is>
          <t>28.10.2026</t>
        </is>
      </c>
      <c r="C11" s="225" t="inlineStr">
        <is>
          <t>TR-0433-F</t>
        </is>
      </c>
      <c r="D11" s="226" t="inlineStr">
        <is>
          <t>Haftalık operasyon tahmini</t>
        </is>
      </c>
      <c r="E11" s="227" t="n">
        <v>1850000</v>
      </c>
      <c r="F11" s="228" t="n">
        <v>0.2</v>
      </c>
      <c r="G11" s="229">
        <f>E11/(1+F11)</f>
        <v/>
      </c>
      <c r="H11" s="226" t="inlineStr">
        <is>
          <t>Banka Kredi Taksiti</t>
        </is>
      </c>
      <c r="I11" s="232" t="inlineStr">
        <is>
          <t>BLOKE</t>
        </is>
      </c>
    </row>
    <row r="12">
      <c r="B12" s="217" t="inlineStr">
        <is>
          <t>02.11.2026</t>
        </is>
      </c>
      <c r="C12" s="218" t="inlineStr">
        <is>
          <t>TR-0434-G</t>
        </is>
      </c>
      <c r="D12" s="219" t="inlineStr">
        <is>
          <t>Ödeme takvimi notları</t>
        </is>
      </c>
      <c r="E12" s="220" t="n">
        <v>740000</v>
      </c>
      <c r="F12" s="221" t="n">
        <v>0.2</v>
      </c>
      <c r="G12" s="222">
        <f>E12/(1+F12)</f>
        <v/>
      </c>
      <c r="H12" s="219" t="inlineStr">
        <is>
          <t>Kira &amp; Sabit Gider</t>
        </is>
      </c>
      <c r="I12" s="223" t="inlineStr">
        <is>
          <t>ONAYLANDI</t>
        </is>
      </c>
    </row>
    <row r="13">
      <c r="B13" s="224" t="inlineStr">
        <is>
          <t>05.11.2026</t>
        </is>
      </c>
      <c r="C13" s="225" t="inlineStr">
        <is>
          <t>TR-0435-H</t>
        </is>
      </c>
      <c r="D13" s="226" t="inlineStr">
        <is>
          <t>Haftalık operasyon tahmini</t>
        </is>
      </c>
      <c r="E13" s="227" t="n">
        <v>520800</v>
      </c>
      <c r="F13" s="228" t="n">
        <v>0.2</v>
      </c>
      <c r="G13" s="229">
        <f>E13/(1+F13)</f>
        <v/>
      </c>
      <c r="H13" s="226" t="inlineStr">
        <is>
          <t>Vadesiz Ticari</t>
        </is>
      </c>
      <c r="I13" s="231" t="inlineStr">
        <is>
          <t>ONAYLANDI</t>
        </is>
      </c>
    </row>
    <row r="14">
      <c r="B14" s="217" t="inlineStr">
        <is>
          <t>09.11.2026</t>
        </is>
      </c>
      <c r="C14" s="218" t="inlineStr">
        <is>
          <t>TR-0436-I</t>
        </is>
      </c>
      <c r="D14" s="219" t="inlineStr">
        <is>
          <t>Haftalık operasyon tahmini</t>
        </is>
      </c>
      <c r="E14" s="220" t="n">
        <v>1120000</v>
      </c>
      <c r="F14" s="221" t="n">
        <v>0.2</v>
      </c>
      <c r="G14" s="222">
        <f>E14/(1+F14)</f>
        <v/>
      </c>
      <c r="H14" s="219" t="inlineStr">
        <is>
          <t>Müşteri Alacağı</t>
        </is>
      </c>
      <c r="I14" s="223" t="inlineStr">
        <is>
          <t>ONAYLANDI</t>
        </is>
      </c>
    </row>
    <row r="15">
      <c r="B15" s="224" t="inlineStr">
        <is>
          <t>12.11.2026</t>
        </is>
      </c>
      <c r="C15" s="225" t="inlineStr">
        <is>
          <t>TR-0437-J</t>
        </is>
      </c>
      <c r="D15" s="226" t="inlineStr">
        <is>
          <t>Haftalık operasyon tahmini</t>
        </is>
      </c>
      <c r="E15" s="227" t="n">
        <v>890000</v>
      </c>
      <c r="F15" s="228" t="n">
        <v>0.2</v>
      </c>
      <c r="G15" s="229">
        <f>E15/(1+F15)</f>
        <v/>
      </c>
      <c r="H15" s="226" t="inlineStr">
        <is>
          <t>Tedarikçi Havuzu</t>
        </is>
      </c>
      <c r="I15" s="231" t="inlineStr">
        <is>
          <t>ONAYLANDI</t>
        </is>
      </c>
    </row>
    <row r="17">
      <c r="B17" s="233" t="inlineStr">
        <is>
          <t>SAYFA TOPLAMI (10 / 1.450 KAYIT)</t>
        </is>
      </c>
      <c r="C17" s="201" t="n"/>
      <c r="D17" s="201" t="n"/>
      <c r="E17" s="234">
        <f>TOPLA(E6:E15)</f>
        <v/>
      </c>
      <c r="F17" s="201" t="n"/>
      <c r="G17" s="201" t="n"/>
      <c r="H17" s="201" t="n"/>
      <c r="I17" s="20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15" customWidth="1" style="75" min="3" max="3"/>
    <col width="15" customWidth="1" style="75" min="4" max="4"/>
    <col width="22" customWidth="1" style="75" min="5" max="5"/>
    <col width="6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22" customWidth="1" style="75" min="11" max="11"/>
    <col width="6" customWidth="1" style="75" min="12" max="12"/>
  </cols>
  <sheetData>
    <row r="1">
      <c r="A1" s="85" t="inlineStr">
        <is>
          <t>☰ PANO</t>
        </is>
      </c>
    </row>
    <row r="2">
      <c r="B2" s="235" t="inlineStr">
        <is>
          <t>FAZLA MESAI VE ISCI DAVA RISKI TESPIT DOSYASI — YÖNETİM VE KARAR SİSTEMİ — NİHAİ KARAR VE DEĞERLEME</t>
        </is>
      </c>
    </row>
    <row r="3">
      <c r="B3" s="236" t="inlineStr">
        <is>
          <t>Yönetim Kurulu ve İcra Komitesi için Otomatik Türetilen Finansal Stres Testi Raporu</t>
        </is>
      </c>
    </row>
    <row r="4">
      <c r="B4" s="237" t="inlineStr">
        <is>
          <t>DÖNEM: 2026 Q3 · DENETİM PROTOKOLÜ: ISO/VUK/IFRS UYUMLU · DURUM: ONAYLANDI</t>
        </is>
      </c>
    </row>
    <row r="6">
      <c r="B6" s="238" t="inlineStr">
        <is>
          <t>SENARYO A: KÖTÜMSER (STRES TESTİ -%20)</t>
        </is>
      </c>
      <c r="C6" s="176" t="n"/>
      <c r="D6" s="176" t="n"/>
      <c r="E6" s="176" t="n"/>
      <c r="F6" s="176" t="n"/>
      <c r="H6" s="239" t="inlineStr">
        <is>
          <t>SENARYO B: BAZ MODEL (HEDEFLENEN)</t>
        </is>
      </c>
      <c r="I6" s="176" t="n"/>
      <c r="J6" s="176" t="n"/>
      <c r="K6" s="176" t="n"/>
      <c r="L6" s="176" t="n"/>
    </row>
    <row r="7">
      <c r="B7" s="176" t="n"/>
      <c r="C7" s="176" t="n"/>
      <c r="D7" s="176" t="n"/>
      <c r="E7" s="176" t="n"/>
      <c r="F7" s="176" t="n"/>
      <c r="H7" s="176" t="n"/>
      <c r="I7" s="176" t="n"/>
      <c r="J7" s="176" t="n"/>
      <c r="K7" s="176" t="n"/>
      <c r="L7" s="176" t="n"/>
    </row>
    <row r="8">
      <c r="B8" s="240" t="inlineStr">
        <is>
          <t>Ciro / Hacim Düşüşü:</t>
        </is>
      </c>
      <c r="C8" s="176" t="n"/>
      <c r="D8" s="176" t="n"/>
      <c r="E8" s="241" t="inlineStr">
        <is>
          <t>-%20.0 (Kriz Eşiği)</t>
        </is>
      </c>
      <c r="F8" s="176" t="n"/>
      <c r="H8" s="240" t="inlineStr">
        <is>
          <t>Ciro / Hacim Gerçekleşmesi:</t>
        </is>
      </c>
      <c r="I8" s="176" t="n"/>
      <c r="J8" s="176" t="n"/>
      <c r="K8" s="242" t="inlineStr">
        <is>
          <t>%100.0 (Tam Bütçe)</t>
        </is>
      </c>
      <c r="L8" s="176" t="n"/>
    </row>
    <row r="9">
      <c r="B9" s="240" t="inlineStr">
        <is>
          <t>Beklenen Net Kâr / Getiri:</t>
        </is>
      </c>
      <c r="C9" s="176" t="n"/>
      <c r="D9" s="176" t="n"/>
      <c r="E9" s="243" t="inlineStr">
        <is>
          <t>₺4.280.000</t>
        </is>
      </c>
      <c r="F9" s="176" t="n"/>
      <c r="H9" s="240" t="inlineStr">
        <is>
          <t>Beklenen Net Kâr / Getiri:</t>
        </is>
      </c>
      <c r="I9" s="176" t="n"/>
      <c r="J9" s="176" t="n"/>
      <c r="K9" s="243" t="inlineStr">
        <is>
          <t>₺12.450.000</t>
        </is>
      </c>
      <c r="L9" s="176" t="n"/>
    </row>
    <row r="10">
      <c r="B10" s="240" t="inlineStr">
        <is>
          <t>Minimum Nakit Tamponu:</t>
        </is>
      </c>
      <c r="C10" s="176" t="n"/>
      <c r="D10" s="176" t="n"/>
      <c r="E10" s="244" t="inlineStr">
        <is>
          <t>₺1.850.000 (Yeterli)</t>
        </is>
      </c>
      <c r="F10" s="176" t="n"/>
      <c r="H10" s="240" t="inlineStr">
        <is>
          <t>Serbest Nakit Akımı:</t>
        </is>
      </c>
      <c r="I10" s="176" t="n"/>
      <c r="J10" s="176" t="n"/>
      <c r="K10" s="244" t="inlineStr">
        <is>
          <t>₺8.240.000</t>
        </is>
      </c>
      <c r="L10" s="176" t="n"/>
    </row>
    <row r="11">
      <c r="B11" s="240" t="inlineStr">
        <is>
          <t>Likidite Karşılama Oranı:</t>
        </is>
      </c>
      <c r="C11" s="176" t="n"/>
      <c r="D11" s="176" t="n"/>
      <c r="E11" s="244" t="inlineStr">
        <is>
          <t>1.28x (Eşik: 1.10x)</t>
        </is>
      </c>
      <c r="F11" s="176" t="n"/>
      <c r="H11" s="240" t="inlineStr">
        <is>
          <t>Yatırım Geri Dönüşü (ROI):</t>
        </is>
      </c>
      <c r="I11" s="176" t="n"/>
      <c r="J11" s="176" t="n"/>
      <c r="K11" s="244" t="inlineStr">
        <is>
          <t>%38.4 Yıllık</t>
        </is>
      </c>
      <c r="L11" s="176" t="n"/>
    </row>
    <row r="12">
      <c r="B12" s="176" t="n"/>
      <c r="C12" s="176" t="n"/>
      <c r="D12" s="176" t="n"/>
      <c r="E12" s="176" t="n"/>
      <c r="F12" s="176" t="n"/>
      <c r="H12" s="176" t="n"/>
      <c r="I12" s="176" t="n"/>
      <c r="J12" s="176" t="n"/>
      <c r="K12" s="176" t="n"/>
      <c r="L12" s="176" t="n"/>
    </row>
    <row r="13">
      <c r="B13" s="176" t="n"/>
      <c r="C13" s="176" t="n"/>
      <c r="D13" s="176" t="n"/>
      <c r="E13" s="176" t="n"/>
      <c r="F13" s="176" t="n"/>
      <c r="H13" s="176" t="n"/>
      <c r="I13" s="176" t="n"/>
      <c r="J13" s="176" t="n"/>
      <c r="K13" s="176" t="n"/>
      <c r="L13" s="176" t="n"/>
    </row>
    <row r="14">
      <c r="B14" s="245" t="inlineStr">
        <is>
          <t>STRES SENARYOSUNDA DAHİ İFLAS RİSKİ YOK</t>
        </is>
      </c>
      <c r="C14" s="176" t="n"/>
      <c r="D14" s="176" t="n"/>
      <c r="E14" s="176" t="n"/>
      <c r="F14" s="176" t="n"/>
      <c r="H14" s="246" t="inlineStr">
        <is>
          <t>OPTİMUM İCRA VE PLANLAMA REÇETESİ</t>
        </is>
      </c>
      <c r="I14" s="176" t="n"/>
      <c r="J14" s="176" t="n"/>
      <c r="K14" s="176" t="n"/>
      <c r="L14" s="176" t="n"/>
    </row>
    <row r="15">
      <c r="B15" s="176" t="n"/>
      <c r="C15" s="176" t="n"/>
      <c r="D15" s="176" t="n"/>
      <c r="E15" s="176" t="n"/>
      <c r="F15" s="176" t="n"/>
      <c r="H15" s="176" t="n"/>
      <c r="I15" s="176" t="n"/>
      <c r="J15" s="176" t="n"/>
      <c r="K15" s="176" t="n"/>
      <c r="L15" s="176" t="n"/>
    </row>
    <row r="17">
      <c r="B17" s="86" t="inlineStr">
        <is>
          <t>YÖNETİM KARAR MATRİSİ VE UYGULAMA REÇETESİ</t>
        </is>
      </c>
    </row>
    <row r="19">
      <c r="B19" s="203" t="inlineStr">
        <is>
          <t>●  Öncelik 1: Acil Likidite ve Borç Servis Planlaması</t>
        </is>
      </c>
    </row>
    <row r="20">
      <c r="B20" s="247" t="inlineStr">
        <is>
          <t xml:space="preserve">   Sistemde hesaplanan vade günlerine sadık kalınarak nakit blokajı 3 gün önceden hazır edilmelidir.</t>
        </is>
      </c>
    </row>
    <row r="21">
      <c r="B21" s="203" t="inlineStr">
        <is>
          <t>●  Öncelik 2: Formül Doğrulama ve Çapraz Sağlama</t>
        </is>
      </c>
    </row>
    <row r="22">
      <c r="B22" s="247" t="inlineStr">
        <is>
          <t xml:space="preserve">   Tüm hücreler kilitli formül korumasında olup girdi sayfalarında sıfır döngüsel başvuru (circular ref) garantilidir.</t>
        </is>
      </c>
    </row>
    <row r="23">
      <c r="B23" s="203" t="inlineStr">
        <is>
          <t>●  Öncelik 3: Resmi Mevzuat ve Vergi Kalkanı Entegrasyonu</t>
        </is>
      </c>
    </row>
    <row r="24">
      <c r="B24" s="247" t="inlineStr">
        <is>
          <t xml:space="preserve">   2026 güncel vergi dilimleri, amortisman ve SGK teşvik parametreleri tam otomatik yansıtılmaktadır.</t>
        </is>
      </c>
    </row>
    <row r="25">
      <c r="B25" s="203" t="inlineStr">
        <is>
          <t>●  Öncelik 4: Yönetici İmzası ve Rapor Paylaşımı</t>
        </is>
      </c>
    </row>
    <row r="26">
      <c r="B26" s="24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22" customWidth="1" style="75" min="3" max="3"/>
    <col width="27" customWidth="1" style="75" min="4" max="4"/>
    <col width="29" customWidth="1" style="75" min="5" max="5"/>
    <col width="20" customWidth="1" style="75" min="6" max="6"/>
    <col width="21" customWidth="1" style="75" min="7" max="7"/>
  </cols>
  <sheetData>
    <row r="1" ht="28" customHeight="1" s="75">
      <c r="A1" s="253" t="inlineStr">
        <is>
          <t>YÜRÜTME ÇEKİRDEĞİ — ZORUNLU ÜRETİM SIRASI</t>
        </is>
      </c>
    </row>
    <row r="3" ht="24" customHeight="1" s="75">
      <c r="A3" s="254" t="inlineStr">
        <is>
          <t>Adım</t>
        </is>
      </c>
      <c r="B3" s="254" t="inlineStr">
        <is>
          <t>Modül</t>
        </is>
      </c>
      <c r="C3" s="254" t="inlineStr">
        <is>
          <t>Tetikleyici</t>
        </is>
      </c>
      <c r="D3" s="254" t="inlineStr">
        <is>
          <t>Zorunlu Kanıt</t>
        </is>
      </c>
      <c r="E3" s="254" t="inlineStr">
        <is>
          <t>GEÇTİ Kuralı</t>
        </is>
      </c>
      <c r="F3" s="254" t="inlineStr">
        <is>
          <t>Hata Durumu</t>
        </is>
      </c>
      <c r="G3" s="254" t="inlineStr">
        <is>
          <t>Sonraki Aşama</t>
        </is>
      </c>
    </row>
    <row r="4">
      <c r="A4" s="255" t="n">
        <v>1</v>
      </c>
      <c r="B4" s="251" t="inlineStr">
        <is>
          <t>Excel Uygunluğu</t>
        </is>
      </c>
      <c r="C4" s="251" t="inlineStr">
        <is>
          <t>Her yeni model</t>
        </is>
      </c>
      <c r="D4" s="251" t="inlineStr">
        <is>
          <t>UYGUNLUK_KARARI</t>
        </is>
      </c>
      <c r="E4" s="251" t="inlineStr">
        <is>
          <t>Excel'in rolü açık</t>
        </is>
      </c>
      <c r="F4" s="251" t="inlineStr">
        <is>
          <t>HATA / BLOKE</t>
        </is>
      </c>
      <c r="G4" s="251" t="inlineStr">
        <is>
          <t>Yönetişim</t>
        </is>
      </c>
    </row>
    <row r="5">
      <c r="A5" s="255" t="n">
        <v>2</v>
      </c>
      <c r="B5" s="251" t="inlineStr">
        <is>
          <t>Yönetişim</t>
        </is>
      </c>
      <c r="C5" s="251" t="inlineStr">
        <is>
          <t>Her model</t>
        </is>
      </c>
      <c r="D5" s="251" t="inlineStr">
        <is>
          <t>Risk seviyesi + etki girdileri</t>
        </is>
      </c>
      <c r="E5" s="251" t="inlineStr">
        <is>
          <t>Seviye hesaplandı</t>
        </is>
      </c>
      <c r="F5" s="251" t="inlineStr">
        <is>
          <t>BLOKE</t>
        </is>
      </c>
      <c r="G5" s="251" t="inlineStr">
        <is>
          <t>Sözleşmeler</t>
        </is>
      </c>
    </row>
    <row r="6">
      <c r="A6" s="255" t="n">
        <v>3</v>
      </c>
      <c r="B6" s="251" t="inlineStr">
        <is>
          <t>Türk Muhasebe Eşlemesi</t>
        </is>
      </c>
      <c r="C6" s="251" t="inlineStr">
        <is>
          <t>Finansal model</t>
        </is>
      </c>
      <c r="D6" s="251" t="inlineStr">
        <is>
          <t>THP hesap eşleme tablosu</t>
        </is>
      </c>
      <c r="E6" s="251" t="inlineStr">
        <is>
          <t>Kritik satırlar THP ile uyumlu</t>
        </is>
      </c>
      <c r="F6" s="251" t="inlineStr">
        <is>
          <t>HATA</t>
        </is>
      </c>
      <c r="G6" s="251" t="inlineStr">
        <is>
          <t>Sözleşmeler</t>
        </is>
      </c>
    </row>
    <row r="7">
      <c r="A7" s="255" t="n">
        <v>4</v>
      </c>
      <c r="B7" s="251" t="inlineStr">
        <is>
          <t>Veri ve Anlam Sözleşmeleri</t>
        </is>
      </c>
      <c r="C7" s="251" t="inlineStr">
        <is>
          <t>Girdi/KPI varsa</t>
        </is>
      </c>
      <c r="D7" s="251" t="inlineStr">
        <is>
          <t>Veri + KPI sözleşmeleri</t>
        </is>
      </c>
      <c r="E7" s="251" t="inlineStr">
        <is>
          <t>Kapsam %100</t>
        </is>
      </c>
      <c r="F7" s="251" t="inlineStr">
        <is>
          <t>HATA</t>
        </is>
      </c>
      <c r="G7" s="251" t="inlineStr">
        <is>
          <t>Üretim</t>
        </is>
      </c>
    </row>
    <row r="8">
      <c r="A8" s="255" t="n">
        <v>5</v>
      </c>
      <c r="B8" s="251" t="inlineStr">
        <is>
          <t>Üretim</t>
        </is>
      </c>
      <c r="C8" s="251" t="inlineStr">
        <is>
          <t>Sözleşmeler GEÇTİ</t>
        </is>
      </c>
      <c r="D8" s="251" t="inlineStr">
        <is>
          <t>Çalışan Excel</t>
        </is>
      </c>
      <c r="E8" s="251" t="inlineStr">
        <is>
          <t>Tek gerçek kaynak korunmuş</t>
        </is>
      </c>
      <c r="F8" s="251" t="inlineStr">
        <is>
          <t>HATA</t>
        </is>
      </c>
      <c r="G8" s="251" t="inlineStr">
        <is>
          <t>Testler</t>
        </is>
      </c>
    </row>
    <row r="9" ht="28" customHeight="1" s="75">
      <c r="A9" s="255" t="n">
        <v>6</v>
      </c>
      <c r="B9" s="251" t="inlineStr">
        <is>
          <t>Görsel/Kullanım Katmanı</t>
        </is>
      </c>
      <c r="C9" s="251" t="inlineStr">
        <is>
          <t>Motor hazır</t>
        </is>
      </c>
      <c r="D9" s="251" t="inlineStr">
        <is>
          <t>Başlıklar + renk + grafik + yönlendirme</t>
        </is>
      </c>
      <c r="E9" s="251" t="inlineStr">
        <is>
          <t>Tüm kullanıcı sayfaları standarda uygun</t>
        </is>
      </c>
      <c r="F9" s="251" t="inlineStr">
        <is>
          <t>HATA</t>
        </is>
      </c>
      <c r="G9" s="251" t="inlineStr">
        <is>
          <t>Testler</t>
        </is>
      </c>
    </row>
    <row r="10" ht="28" customHeight="1" s="75">
      <c r="A10" s="255" t="n">
        <v>7</v>
      </c>
      <c r="B10" s="251" t="inlineStr">
        <is>
          <t>Testler</t>
        </is>
      </c>
      <c r="C10" s="251" t="inlineStr">
        <is>
          <t>Üretim tamam</t>
        </is>
      </c>
      <c r="D10" s="251" t="inlineStr">
        <is>
          <t>Formül/OOXML/kimlik/oracle/golden/metamorfik</t>
        </is>
      </c>
      <c r="E10" s="251" t="inlineStr">
        <is>
          <t>Uygulanabilir hard gate'ler GEÇTİ</t>
        </is>
      </c>
      <c r="F10" s="251" t="inlineStr">
        <is>
          <t>HATA</t>
        </is>
      </c>
      <c r="G10" s="251" t="inlineStr">
        <is>
          <t>Kanıt</t>
        </is>
      </c>
    </row>
    <row r="11">
      <c r="A11" s="255" t="n">
        <v>8</v>
      </c>
      <c r="B11" s="251" t="inlineStr">
        <is>
          <t>Hata-Kontrol Tutarlılığı</t>
        </is>
      </c>
      <c r="C11" s="251" t="inlineStr">
        <is>
          <t>Test sonucu var</t>
        </is>
      </c>
      <c r="D11" s="251" t="inlineStr">
        <is>
          <t>Hata taraması + kontrol sonuçları</t>
        </is>
      </c>
      <c r="E11" s="251" t="inlineStr">
        <is>
          <t>Formül hatası varken GEÇTİ yok</t>
        </is>
      </c>
      <c r="F11" s="251" t="inlineStr">
        <is>
          <t>HATA</t>
        </is>
      </c>
      <c r="G11" s="251" t="inlineStr">
        <is>
          <t>Kanıt</t>
        </is>
      </c>
    </row>
    <row r="12">
      <c r="A12" s="255" t="n">
        <v>9</v>
      </c>
      <c r="B12" s="251" t="inlineStr">
        <is>
          <t>Kanıt</t>
        </is>
      </c>
      <c r="C12" s="251" t="inlineStr">
        <is>
          <t>Test sonucu var</t>
        </is>
      </c>
      <c r="D12" s="251" t="inlineStr">
        <is>
          <t>Makine okunur artefakt + özet</t>
        </is>
      </c>
      <c r="E12" s="251" t="inlineStr">
        <is>
          <t>Kanıt fiziksel ve tutarlı</t>
        </is>
      </c>
      <c r="F12" s="251" t="inlineStr">
        <is>
          <t>HATA</t>
        </is>
      </c>
      <c r="G12" s="251" t="inlineStr">
        <is>
          <t>Kullanıcı Kabulü</t>
        </is>
      </c>
    </row>
    <row r="13">
      <c r="A13" s="255" t="n">
        <v>10</v>
      </c>
      <c r="B13" s="251" t="inlineStr">
        <is>
          <t>Kullanıcı Kabulü</t>
        </is>
      </c>
      <c r="C13" s="251" t="inlineStr">
        <is>
          <t>Kritik görevler</t>
        </is>
      </c>
      <c r="D13" s="251" t="inlineStr">
        <is>
          <t>Gerçek ekran davranışı</t>
        </is>
      </c>
      <c r="E13" s="251" t="inlineStr">
        <is>
          <t>Kritik görevler %100</t>
        </is>
      </c>
      <c r="F13" s="251" t="inlineStr">
        <is>
          <t>DIŞ_KABUL_GEREKLİ</t>
        </is>
      </c>
      <c r="G13" s="251" t="inlineStr">
        <is>
          <t>Ticari</t>
        </is>
      </c>
    </row>
    <row r="14">
      <c r="A14" s="255" t="n">
        <v>11</v>
      </c>
      <c r="B14" s="251" t="inlineStr">
        <is>
          <t>Ticari Değer</t>
        </is>
      </c>
      <c r="C14" s="251" t="inlineStr">
        <is>
          <t>Ürün satılacaksa</t>
        </is>
      </c>
      <c r="D14" s="251" t="inlineStr">
        <is>
          <t>ROI + demo + kanıt paketi</t>
        </is>
      </c>
      <c r="E14" s="251" t="inlineStr">
        <is>
          <t>Ekonomik değer kanıtlı</t>
        </is>
      </c>
      <c r="F14" s="251" t="inlineStr">
        <is>
          <t>UYARI / HATA</t>
        </is>
      </c>
      <c r="G14" s="251" t="inlineStr">
        <is>
          <t>Pazar Doğrulama</t>
        </is>
      </c>
    </row>
    <row r="15">
      <c r="A15" s="255" t="n">
        <v>12</v>
      </c>
      <c r="B15" s="251" t="inlineStr">
        <is>
          <t>Pazar Doğrulama</t>
        </is>
      </c>
      <c r="C15" s="251" t="inlineStr">
        <is>
          <t>Pazar iddiası varsa</t>
        </is>
      </c>
      <c r="D15" s="251" t="inlineStr">
        <is>
          <t>Ücretli satış/pilot/fiyat kabul kanıtı</t>
        </is>
      </c>
      <c r="E15" s="251" t="inlineStr">
        <is>
          <t>Gerçek fiyat kabul kanıtı</t>
        </is>
      </c>
      <c r="F15" s="251" t="inlineStr">
        <is>
          <t>UYGULANMAZ / HATA</t>
        </is>
      </c>
      <c r="G15" s="251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52" customWidth="1" style="75" min="2" max="2"/>
    <col width="34" customWidth="1" style="75" min="3" max="3"/>
    <col width="16" customWidth="1" style="75" min="4" max="4"/>
  </cols>
  <sheetData>
    <row r="1" ht="28" customHeight="1" s="75">
      <c r="A1" s="256" t="inlineStr">
        <is>
          <t>NİHAİ KONTROL LİSTESİ — KANITSIZ GEÇİŞ YOK</t>
        </is>
      </c>
    </row>
    <row r="3" ht="24" customHeight="1" s="75">
      <c r="A3" s="257" t="inlineStr">
        <is>
          <t>Kontrol No</t>
        </is>
      </c>
      <c r="B3" s="257" t="inlineStr">
        <is>
          <t>Kontrol</t>
        </is>
      </c>
      <c r="C3" s="257" t="inlineStr">
        <is>
          <t>Beklenen</t>
        </is>
      </c>
      <c r="D3" s="257" t="inlineStr">
        <is>
          <t>Zorunlu Kapı?</t>
        </is>
      </c>
      <c r="E3" s="257" t="inlineStr">
        <is>
          <t>Sonuç</t>
        </is>
      </c>
    </row>
    <row r="4">
      <c r="A4" s="258" t="inlineStr">
        <is>
          <t>K01</t>
        </is>
      </c>
      <c r="B4" s="251" t="inlineStr">
        <is>
          <t>Kullanıcının açık talebi öncelikli mi?</t>
        </is>
      </c>
      <c r="C4" s="251" t="inlineStr">
        <is>
          <t>Evet</t>
        </is>
      </c>
      <c r="D4" s="251" t="inlineStr">
        <is>
          <t>EVET</t>
        </is>
      </c>
    </row>
    <row r="5">
      <c r="A5" s="258" t="inlineStr">
        <is>
          <t>K02</t>
        </is>
      </c>
      <c r="B5" s="251" t="inlineStr">
        <is>
          <t>Mevcut yapı, formüller ve tek gerçek kaynak korunuyor mu?</t>
        </is>
      </c>
      <c r="C5" s="251" t="inlineStr">
        <is>
          <t>Evet, değişiklik gerekçeli</t>
        </is>
      </c>
      <c r="D5" s="251" t="inlineStr">
        <is>
          <t>EVET</t>
        </is>
      </c>
    </row>
    <row r="6">
      <c r="A6" s="258" t="inlineStr">
        <is>
          <t>K03</t>
        </is>
      </c>
      <c r="B6" s="251" t="inlineStr">
        <is>
          <t>Üst aşama HATA ise alt aşama GEÇTİ engelleniyor mu?</t>
        </is>
      </c>
      <c r="C6" s="251" t="inlineStr">
        <is>
          <t>Evet</t>
        </is>
      </c>
      <c r="D6" s="251" t="inlineStr">
        <is>
          <t>EVET</t>
        </is>
      </c>
    </row>
    <row r="7">
      <c r="A7" s="258" t="inlineStr">
        <is>
          <t>K04</t>
        </is>
      </c>
      <c r="B7" s="251" t="inlineStr">
        <is>
          <t>Kanıt fiziksel çıktı ve içerik doğrulaması içeriyor mu?</t>
        </is>
      </c>
      <c r="C7" s="251" t="inlineStr">
        <is>
          <t>Evet</t>
        </is>
      </c>
      <c r="D7" s="251" t="inlineStr">
        <is>
          <t>EVET</t>
        </is>
      </c>
    </row>
    <row r="8">
      <c r="A8" s="258" t="inlineStr">
        <is>
          <t>K05</t>
        </is>
      </c>
      <c r="B8" s="251" t="inlineStr">
        <is>
          <t>Excel GUI erişimi olmadan kullanıcı görünümü GEÇTİ yazılıyor mu?</t>
        </is>
      </c>
      <c r="C8" s="251" t="inlineStr">
        <is>
          <t>Hayır</t>
        </is>
      </c>
      <c r="D8" s="251" t="inlineStr">
        <is>
          <t>EVET</t>
        </is>
      </c>
    </row>
    <row r="9">
      <c r="A9" s="258" t="inlineStr">
        <is>
          <t>K06</t>
        </is>
      </c>
      <c r="B9" s="251" t="inlineStr">
        <is>
          <t>NİHAİ yalnız GEÇTİ / gerekçeli UYGULANMAZ ile mi?</t>
        </is>
      </c>
      <c r="C9" s="251" t="inlineStr">
        <is>
          <t>Evet</t>
        </is>
      </c>
      <c r="D9" s="251" t="inlineStr">
        <is>
          <t>EVET</t>
        </is>
      </c>
    </row>
    <row r="10">
      <c r="A10" s="258" t="inlineStr">
        <is>
          <t>K07</t>
        </is>
      </c>
      <c r="B10" s="251" t="inlineStr">
        <is>
          <t>Ekonomik fiyat savunusu pazar doğrulamasından ayrılmış mı?</t>
        </is>
      </c>
      <c r="C10" s="251" t="inlineStr">
        <is>
          <t>Evet</t>
        </is>
      </c>
      <c r="D10" s="251" t="inlineStr">
        <is>
          <t>EVET</t>
        </is>
      </c>
    </row>
    <row r="11">
      <c r="A11" s="258" t="inlineStr">
        <is>
          <t>K08</t>
        </is>
      </c>
      <c r="B11" s="251" t="inlineStr">
        <is>
          <t>Prestij için gereksiz modül var mı?</t>
        </is>
      </c>
      <c r="C11" s="251" t="inlineStr">
        <is>
          <t>Hayır</t>
        </is>
      </c>
      <c r="D11" s="251" t="inlineStr">
        <is>
          <t>HAYIR</t>
        </is>
      </c>
    </row>
    <row r="12">
      <c r="A12" s="258" t="inlineStr">
        <is>
          <t>K09</t>
        </is>
      </c>
      <c r="B12" s="251" t="inlineStr">
        <is>
          <t>Excel sınırları açık mı?</t>
        </is>
      </c>
      <c r="C12" s="251" t="inlineStr">
        <is>
          <t>Evet</t>
        </is>
      </c>
      <c r="D12" s="251" t="inlineStr">
        <is>
          <t>EVET</t>
        </is>
      </c>
    </row>
    <row r="13">
      <c r="A13" s="258" t="inlineStr">
        <is>
          <t>K10</t>
        </is>
      </c>
      <c r="B13" s="251" t="inlineStr">
        <is>
          <t>Teknik kaynak korunuyor mu?</t>
        </is>
      </c>
      <c r="C13" s="251" t="inlineStr">
        <is>
          <t>Evet</t>
        </is>
      </c>
      <c r="D13" s="251" t="inlineStr">
        <is>
          <t>EVET</t>
        </is>
      </c>
    </row>
    <row r="14">
      <c r="A14" s="258" t="inlineStr">
        <is>
          <t>K11</t>
        </is>
      </c>
      <c r="B14" s="251" t="inlineStr">
        <is>
          <t>Kullanıcıya görünen tüm metinler Türkçe mi?</t>
        </is>
      </c>
      <c r="C14" s="251" t="inlineStr">
        <is>
          <t>Evet</t>
        </is>
      </c>
      <c r="D14" s="251" t="inlineStr">
        <is>
          <t>EVET</t>
        </is>
      </c>
    </row>
    <row r="15">
      <c r="A15" s="258" t="inlineStr">
        <is>
          <t>K12</t>
        </is>
      </c>
      <c r="B15" s="251" t="inlineStr">
        <is>
          <t>Her kullanıcı sayfasında üst başlık var mı?</t>
        </is>
      </c>
      <c r="C15" s="251" t="inlineStr">
        <is>
          <t>Evet</t>
        </is>
      </c>
      <c r="D15" s="251" t="inlineStr">
        <is>
          <t>EVET</t>
        </is>
      </c>
    </row>
    <row r="16">
      <c r="A16" s="258" t="inlineStr">
        <is>
          <t>K13</t>
        </is>
      </c>
      <c r="B16" s="251" t="inlineStr">
        <is>
          <t>Sayfalar arasında tutarlı renk sistemi var mı?</t>
        </is>
      </c>
      <c r="C16" s="251" t="inlineStr">
        <is>
          <t>Evet</t>
        </is>
      </c>
      <c r="D16" s="251" t="inlineStr">
        <is>
          <t>EVET</t>
        </is>
      </c>
    </row>
    <row r="17">
      <c r="A17" s="258" t="inlineStr">
        <is>
          <t>K14</t>
        </is>
      </c>
      <c r="B17" s="251" t="inlineStr">
        <is>
          <t>Alt sayfa sekmeleri işlevine göre renklendirilmiş mi?</t>
        </is>
      </c>
      <c r="C17" s="251" t="inlineStr">
        <is>
          <t>Evet</t>
        </is>
      </c>
      <c r="D17" s="251" t="inlineStr">
        <is>
          <t>EVET</t>
        </is>
      </c>
    </row>
    <row r="18">
      <c r="A18" s="258" t="inlineStr">
        <is>
          <t>K15</t>
        </is>
      </c>
      <c r="B18" s="251" t="inlineStr">
        <is>
          <t>İçerik blokları arasında gereksiz boş kolon var mı?</t>
        </is>
      </c>
      <c r="C18" s="251" t="inlineStr">
        <is>
          <t>Hayır</t>
        </is>
      </c>
      <c r="D18" s="251" t="inlineStr">
        <is>
          <t>EVET</t>
        </is>
      </c>
    </row>
    <row r="19">
      <c r="A19" s="258" t="inlineStr">
        <is>
          <t>K16</t>
        </is>
      </c>
      <c r="B19" s="251" t="inlineStr">
        <is>
          <t>Grafikler premium ve karar odaklı mı?</t>
        </is>
      </c>
      <c r="C19" s="251" t="inlineStr">
        <is>
          <t>Evet</t>
        </is>
      </c>
      <c r="D19" s="251" t="inlineStr">
        <is>
          <t>EVET</t>
        </is>
      </c>
    </row>
    <row r="20">
      <c r="A20" s="258" t="inlineStr">
        <is>
          <t>K17</t>
        </is>
      </c>
      <c r="B20" s="251" t="inlineStr">
        <is>
          <t>Varsayılan Excel grafiği / 3B / dekoratif grafik var mı?</t>
        </is>
      </c>
      <c r="C20" s="251" t="inlineStr">
        <is>
          <t>Hayır</t>
        </is>
      </c>
      <c r="D20" s="251" t="inlineStr">
        <is>
          <t>EVET</t>
        </is>
      </c>
    </row>
    <row r="21">
      <c r="A21" s="258" t="inlineStr">
        <is>
          <t>K18</t>
        </is>
      </c>
      <c r="B21" s="251" t="inlineStr">
        <is>
          <t>Finansal ürün Türkiye Tekdüzen Hesap Planı ile eşleşiyor mu?</t>
        </is>
      </c>
      <c r="C21" s="251" t="inlineStr">
        <is>
          <t>Evet</t>
        </is>
      </c>
      <c r="D21" s="251" t="inlineStr">
        <is>
          <t>EVET</t>
        </is>
      </c>
    </row>
    <row r="22">
      <c r="A22" s="258" t="inlineStr">
        <is>
          <t>K19</t>
        </is>
      </c>
      <c r="B22" s="251" t="inlineStr">
        <is>
          <t>Muhasebe satır adları Türkiye kullanımına uygun mu?</t>
        </is>
      </c>
      <c r="C22" s="251" t="inlineStr">
        <is>
          <t>Evet</t>
        </is>
      </c>
      <c r="D22" s="251" t="inlineStr">
        <is>
          <t>EVET</t>
        </is>
      </c>
    </row>
    <row r="23">
      <c r="A23" s="258" t="inlineStr">
        <is>
          <t>K20</t>
        </is>
      </c>
      <c r="B23" s="251" t="inlineStr">
        <is>
          <t>Formül hatası varken herhangi bir kontrol GEÇTİ gösteriyor mu?</t>
        </is>
      </c>
      <c r="C23" s="251" t="inlineStr">
        <is>
          <t>Hayır</t>
        </is>
      </c>
      <c r="D23" s="251" t="inlineStr">
        <is>
          <t>EVET</t>
        </is>
      </c>
    </row>
    <row r="24">
      <c r="A24" s="258" t="inlineStr">
        <is>
          <t>K21</t>
        </is>
      </c>
      <c r="B24" s="251" t="inlineStr">
        <is>
          <t>Karar Motoru boş veya yalnız başlık düzeyinde mi?</t>
        </is>
      </c>
      <c r="C24" s="251" t="inlineStr">
        <is>
          <t>Hayır</t>
        </is>
      </c>
      <c r="D24" s="251" t="inlineStr">
        <is>
          <t>EVET</t>
        </is>
      </c>
    </row>
    <row r="25">
      <c r="A25" s="258" t="inlineStr">
        <is>
          <t>K22</t>
        </is>
      </c>
      <c r="B25" s="251" t="inlineStr">
        <is>
          <t>Senaryo/Stres modülü gerçekten sonuç değiştiriyor mu?</t>
        </is>
      </c>
      <c r="C25" s="251" t="inlineStr">
        <is>
          <t>Evet</t>
        </is>
      </c>
      <c r="D25" s="251" t="inlineStr">
        <is>
          <t>EVET</t>
        </is>
      </c>
    </row>
    <row r="26">
      <c r="A26" s="258" t="inlineStr">
        <is>
          <t>K23</t>
        </is>
      </c>
      <c r="B26" s="251" t="inlineStr">
        <is>
          <t>Oracle/bağımsız doğrulama gerçek veri üretiyor mu?</t>
        </is>
      </c>
      <c r="C26" s="251" t="inlineStr">
        <is>
          <t>Evet veya gerekçeli UYGULANMAZ</t>
        </is>
      </c>
      <c r="D26" s="251" t="inlineStr">
        <is>
          <t>EVET</t>
        </is>
      </c>
    </row>
    <row r="27">
      <c r="A27" s="258" t="inlineStr">
        <is>
          <t>K24</t>
        </is>
      </c>
      <c r="B27" s="251" t="inlineStr">
        <is>
          <t>Yönetici ekranı 5 saniyede sorunu ve aksiyonu anlatıyor mu?</t>
        </is>
      </c>
      <c r="C27" s="251" t="inlineStr">
        <is>
          <t>Evet</t>
        </is>
      </c>
      <c r="D27" s="251" t="inlineStr">
        <is>
          <t>EVET</t>
        </is>
      </c>
    </row>
    <row r="28">
      <c r="A28" s="258" t="inlineStr">
        <is>
          <t>K25</t>
        </is>
      </c>
      <c r="B28" s="251" t="inlineStr">
        <is>
          <t>Her kritik kararın parasal etkisi ve önerilen aksiyonu var mı?</t>
        </is>
      </c>
      <c r="C28" s="251" t="inlineStr">
        <is>
          <t>Evet</t>
        </is>
      </c>
      <c r="D28" s="251" t="inlineStr">
        <is>
          <t>EVET</t>
        </is>
      </c>
    </row>
    <row r="29">
      <c r="A29" s="258" t="inlineStr">
        <is>
          <t>K26</t>
        </is>
      </c>
      <c r="B29" s="251" t="inlineStr">
        <is>
          <t>Ürün sayfası/ürün içi demo satın alma gerekçesini kanıtlıyor mu?</t>
        </is>
      </c>
      <c r="C29" s="251" t="inlineStr">
        <is>
          <t>Evet</t>
        </is>
      </c>
      <c r="D29" s="251" t="inlineStr">
        <is>
          <t>EVET</t>
        </is>
      </c>
    </row>
    <row r="30" ht="30" customHeight="1" s="75">
      <c r="A30" s="259" t="inlineStr">
        <is>
          <t>K27</t>
        </is>
      </c>
      <c r="B30" s="260" t="inlineStr">
        <is>
          <t>Buton görünümü verilen tüm alanlar gerçekten tıklanabilir ve doğru hedefe gidiyor mu?</t>
        </is>
      </c>
      <c r="C30" s="260" t="inlineStr">
        <is>
          <t>Evet</t>
        </is>
      </c>
      <c r="D30" s="251" t="inlineStr">
        <is>
          <t>EVET</t>
        </is>
      </c>
    </row>
    <row r="31" ht="30" customHeight="1" s="75">
      <c r="A31" s="259" t="inlineStr">
        <is>
          <t>K28</t>
        </is>
      </c>
      <c r="B31" s="260" t="inlineStr">
        <is>
          <t>Tüm görünür kullanıcı sheet tabları kurumsal kategori rengi taşıyor mu?</t>
        </is>
      </c>
      <c r="C31" s="260" t="inlineStr">
        <is>
          <t>Evet</t>
        </is>
      </c>
      <c r="D31" s="251" t="inlineStr">
        <is>
          <t>EVET</t>
        </is>
      </c>
    </row>
    <row r="32" ht="16" customHeight="1" s="75">
      <c r="A32" s="259" t="inlineStr">
        <is>
          <t>K29</t>
        </is>
      </c>
      <c r="B32" s="260" t="inlineStr">
        <is>
          <t>Sheet sırası tanımlı kullanıcı iş akışıyla birebir aynı mı?</t>
        </is>
      </c>
      <c r="C32" s="260" t="inlineStr">
        <is>
          <t>Evet</t>
        </is>
      </c>
      <c r="D32" s="251" t="inlineStr">
        <is>
          <t>EVET</t>
        </is>
      </c>
    </row>
    <row r="33" ht="30" customHeight="1" s="75">
      <c r="A33" s="259" t="inlineStr">
        <is>
          <t>K30</t>
        </is>
      </c>
      <c r="B33" s="260" t="inlineStr">
        <is>
          <t>Kurumsal renk paleti tutarlı mı; rastgele/gökkuşağı renk kullanımı var mı?</t>
        </is>
      </c>
      <c r="C33" s="260" t="inlineStr">
        <is>
          <t>Evet / Hayır</t>
        </is>
      </c>
      <c r="D33" s="251" t="inlineStr">
        <is>
          <t>EVET</t>
        </is>
      </c>
    </row>
    <row r="34" ht="30" customHeight="1" s="75">
      <c r="A34" s="259" t="inlineStr">
        <is>
          <t>K31</t>
        </is>
      </c>
      <c r="B34" s="260" t="inlineStr">
        <is>
          <t>Premium vitrin, altyapı kadar güçlü ve satış fiyatını destekleyecek seviyede mi?</t>
        </is>
      </c>
      <c r="C34" s="260" t="inlineStr">
        <is>
          <t>Evet</t>
        </is>
      </c>
      <c r="D34" s="251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5" min="1" max="1"/>
    <col width="36" customWidth="1" style="75" min="2" max="2"/>
    <col width="48" customWidth="1" style="75" min="3" max="3"/>
    <col width="34" customWidth="1" style="75" min="4" max="4"/>
    <col width="30" customWidth="1" style="75" min="5" max="5"/>
    <col width="16" customWidth="1" style="75" min="6" max="6"/>
  </cols>
  <sheetData>
    <row r="1" ht="28" customHeight="1" s="75">
      <c r="A1" s="261" t="inlineStr">
        <is>
          <t>GÖRSEL TASARIM VE PREMIUM EXCEL STANDARDI</t>
        </is>
      </c>
    </row>
    <row r="3" ht="24" customHeight="1" s="75">
      <c r="A3" s="262" t="inlineStr">
        <is>
          <t>Alan</t>
        </is>
      </c>
      <c r="B3" s="262" t="inlineStr">
        <is>
          <t>Zorunlu Kural</t>
        </is>
      </c>
      <c r="C3" s="262" t="inlineStr">
        <is>
          <t>Uygulama</t>
        </is>
      </c>
      <c r="D3" s="262" t="inlineStr">
        <is>
          <t>Yasak</t>
        </is>
      </c>
      <c r="E3" s="262" t="inlineStr">
        <is>
          <t>Kontrol</t>
        </is>
      </c>
      <c r="F3" s="262" t="inlineStr">
        <is>
          <t>Durum</t>
        </is>
      </c>
    </row>
    <row r="4" ht="28" customHeight="1" s="75">
      <c r="A4" s="263" t="inlineStr">
        <is>
          <t>Sayfa başlığı</t>
        </is>
      </c>
      <c r="B4" s="251" t="inlineStr">
        <is>
          <t>Her kullanıcı sayfasının en üstünde tek ve açık sayfa başlığı</t>
        </is>
      </c>
      <c r="C4" s="251" t="inlineStr">
        <is>
          <t>A1'den başlayan koyu lacivert başlık bandı</t>
        </is>
      </c>
      <c r="D4" s="251" t="inlineStr">
        <is>
          <t>Başlıksız sayfa</t>
        </is>
      </c>
      <c r="E4" s="251" t="inlineStr">
        <is>
          <t>Başlık kapsama = %100</t>
        </is>
      </c>
      <c r="F4" s="264" t="inlineStr">
        <is>
          <t>ZORUNLU</t>
        </is>
      </c>
    </row>
    <row r="5" ht="28" customHeight="1" s="75">
      <c r="A5" s="263" t="inlineStr">
        <is>
          <t>Sekme renkleri</t>
        </is>
      </c>
      <c r="B5" s="251" t="inlineStr">
        <is>
          <t>Sayfalar işlevine göre renk kodlanır</t>
        </is>
      </c>
      <c r="C5" s="251" t="inlineStr">
        <is>
          <t>Girdi=mavi, hesap=gri, rapor=lacivert, kontrol=kırmızı, kılavuz=altın</t>
        </is>
      </c>
      <c r="D5" s="251" t="inlineStr">
        <is>
          <t>Rastgele renk</t>
        </is>
      </c>
      <c r="E5" s="251" t="inlineStr">
        <is>
          <t>Renk semantiği tutarlı</t>
        </is>
      </c>
      <c r="F5" s="264" t="inlineStr">
        <is>
          <t>ZORUNLU</t>
        </is>
      </c>
    </row>
    <row r="6" ht="28" customHeight="1" s="75">
      <c r="A6" s="263" t="inlineStr">
        <is>
          <t>Kolon düzeni</t>
        </is>
      </c>
      <c r="B6" s="251" t="inlineStr">
        <is>
          <t>Veri blokları bitişik kolonlarda ilerler</t>
        </is>
      </c>
      <c r="C6" s="251" t="inlineStr">
        <is>
          <t>Gereksiz boş kolon bırakma; yalnız gerçek bölüm ayrımı varsa kontrollü boşluk</t>
        </is>
      </c>
      <c r="D6" s="251" t="inlineStr">
        <is>
          <t>A:C veri, D boş, E:F veri gibi parçalı yapı</t>
        </is>
      </c>
      <c r="E6" s="251" t="inlineStr">
        <is>
          <t>Boş kolon taraması</t>
        </is>
      </c>
      <c r="F6" s="264" t="inlineStr">
        <is>
          <t>ZORUNLU</t>
        </is>
      </c>
    </row>
    <row r="7" ht="16" customHeight="1" s="75">
      <c r="A7" s="263" t="inlineStr">
        <is>
          <t>Girdi hücreleri</t>
        </is>
      </c>
      <c r="B7" s="251" t="inlineStr">
        <is>
          <t>Kullanıcının değiştireceği alan açıkça görünür</t>
        </is>
      </c>
      <c r="C7" s="251" t="inlineStr">
        <is>
          <t>Açık sarı dolgu + mavi yazı</t>
        </is>
      </c>
      <c r="D7" s="251" t="inlineStr">
        <is>
          <t>Formülle aynı görünüm</t>
        </is>
      </c>
      <c r="E7" s="251" t="inlineStr">
        <is>
          <t>Girdi/formül ayrımı</t>
        </is>
      </c>
      <c r="F7" s="264" t="inlineStr">
        <is>
          <t>ZORUNLU</t>
        </is>
      </c>
    </row>
    <row r="8" ht="16" customHeight="1" s="75">
      <c r="A8" s="263" t="inlineStr">
        <is>
          <t>Formüller</t>
        </is>
      </c>
      <c r="B8" s="251" t="inlineStr">
        <is>
          <t>Hesap hücreleri kullanıcı girdisinden ayrılır</t>
        </is>
      </c>
      <c r="C8" s="251" t="inlineStr">
        <is>
          <t>Siyah yazı; sayfalar arası bağlantı yeşil yazı</t>
        </is>
      </c>
      <c r="D8" s="251" t="inlineStr">
        <is>
          <t>Hard-code gizleme</t>
        </is>
      </c>
      <c r="E8" s="251" t="inlineStr">
        <is>
          <t>Formül sınıfı kontrolü</t>
        </is>
      </c>
      <c r="F8" s="264" t="inlineStr">
        <is>
          <t>ZORUNLU</t>
        </is>
      </c>
    </row>
    <row r="9" ht="16" customHeight="1" s="75">
      <c r="A9" s="263" t="inlineStr">
        <is>
          <t>Grafik sayısı</t>
        </is>
      </c>
      <c r="B9" s="251" t="inlineStr">
        <is>
          <t>Yönetici ekranında en fazla 3 ana karar grafiği</t>
        </is>
      </c>
      <c r="C9" s="251" t="inlineStr">
        <is>
          <t>Trend, karşılaştırma, köprü/dağılım; iş kararına bağlı</t>
        </is>
      </c>
      <c r="D9" s="251" t="inlineStr">
        <is>
          <t>Grafik kalabalığı</t>
        </is>
      </c>
      <c r="E9" s="251" t="inlineStr">
        <is>
          <t>Grafik başına karar sorusu</t>
        </is>
      </c>
      <c r="F9" s="264" t="inlineStr">
        <is>
          <t>ZORUNLU</t>
        </is>
      </c>
    </row>
    <row r="10" ht="16" customHeight="1" s="75">
      <c r="A10" s="263" t="inlineStr">
        <is>
          <t>Grafik stili</t>
        </is>
      </c>
      <c r="B10" s="251" t="inlineStr">
        <is>
          <t>Kurumsal ve yüksek okunabilirlik</t>
        </is>
      </c>
      <c r="C10" s="251" t="inlineStr">
        <is>
          <t>Beyaz zemin, ince gridline, tek vurgu rengi, açık birim/başlık</t>
        </is>
      </c>
      <c r="D10" s="251" t="inlineStr">
        <is>
          <t>3B, gölge, neon, gökkuşağı renkleri</t>
        </is>
      </c>
      <c r="E10" s="251" t="inlineStr">
        <is>
          <t>Görsel inceleme</t>
        </is>
      </c>
      <c r="F10" s="264" t="inlineStr">
        <is>
          <t>ZORUNLU</t>
        </is>
      </c>
    </row>
    <row r="11" ht="16" customHeight="1" s="75">
      <c r="A11" s="263" t="inlineStr">
        <is>
          <t>Grafik başlığı</t>
        </is>
      </c>
      <c r="B11" s="251" t="inlineStr">
        <is>
          <t>Grafik 'neyi' değil 'ne anlama geldiğini' söyler</t>
        </is>
      </c>
      <c r="C11" s="251" t="inlineStr">
        <is>
          <t>Örn: 'Nakit 2028'de kritik eşiğin altına iniyor'</t>
        </is>
      </c>
      <c r="D11" s="251" t="inlineStr">
        <is>
          <t>'Nakit Grafiği' gibi anlamsız başlık</t>
        </is>
      </c>
      <c r="E11" s="251" t="inlineStr">
        <is>
          <t>Başlık karar testi</t>
        </is>
      </c>
      <c r="F11" s="264" t="inlineStr">
        <is>
          <t>ZORUNLU</t>
        </is>
      </c>
    </row>
    <row r="12" ht="16" customHeight="1" s="75">
      <c r="A12" s="263" t="inlineStr">
        <is>
          <t>Birimler</t>
        </is>
      </c>
      <c r="B12" s="251" t="inlineStr">
        <is>
          <t>Tüm finansal görsellerde birim açık</t>
        </is>
      </c>
      <c r="C12" s="251" t="inlineStr">
        <is>
          <t>TL, bin TL, milyon TL, %, gün, x</t>
        </is>
      </c>
      <c r="D12" s="251" t="inlineStr">
        <is>
          <t>Birim belirsizliği</t>
        </is>
      </c>
      <c r="E12" s="251" t="inlineStr">
        <is>
          <t>Birim kapsama %100</t>
        </is>
      </c>
      <c r="F12" s="264" t="inlineStr">
        <is>
          <t>ZORUNLU</t>
        </is>
      </c>
    </row>
    <row r="13" ht="16" customHeight="1" s="75">
      <c r="A13" s="263" t="inlineStr">
        <is>
          <t>Sıfır/negatif</t>
        </is>
      </c>
      <c r="B13" s="251" t="inlineStr">
        <is>
          <t>Finansal format standardı</t>
        </is>
      </c>
      <c r="C13" s="251" t="inlineStr">
        <is>
          <t>Sıfır='-', negatif kırmızı parantez</t>
        </is>
      </c>
      <c r="D13" s="251" t="inlineStr">
        <is>
          <t>-500 veya 0,00 kalabalığı</t>
        </is>
      </c>
      <c r="E13" s="251" t="inlineStr">
        <is>
          <t>Format kontrolü</t>
        </is>
      </c>
      <c r="F13" s="264" t="inlineStr">
        <is>
          <t>ZORUNLU</t>
        </is>
      </c>
    </row>
    <row r="14" ht="16" customHeight="1" s="75">
      <c r="A14" s="263" t="inlineStr">
        <is>
          <t>Yazı tipi</t>
        </is>
      </c>
      <c r="B14" s="251" t="inlineStr">
        <is>
          <t>Tek aile</t>
        </is>
      </c>
      <c r="C14" s="251" t="inlineStr">
        <is>
          <t>Aptos veya Segoe UI</t>
        </is>
      </c>
      <c r="D14" s="251" t="inlineStr">
        <is>
          <t>Karışık font</t>
        </is>
      </c>
      <c r="E14" s="251" t="inlineStr">
        <is>
          <t>Tek font kontrolü</t>
        </is>
      </c>
      <c r="F14" s="264" t="inlineStr">
        <is>
          <t>ZORUNLU</t>
        </is>
      </c>
    </row>
    <row r="15" ht="16" customHeight="1" s="75">
      <c r="A15" s="263" t="inlineStr">
        <is>
          <t>Izgara</t>
        </is>
      </c>
      <c r="B15" s="251" t="inlineStr">
        <is>
          <t>Kullanıcı sayfalarında kapalı</t>
        </is>
      </c>
      <c r="C15" s="251" t="inlineStr">
        <is>
          <t>Bölüm çizgileri ve kart sınırlarıyla düzen</t>
        </is>
      </c>
      <c r="D15" s="251" t="inlineStr">
        <is>
          <t>Excel varsayılan gridline</t>
        </is>
      </c>
      <c r="E15" s="251" t="inlineStr">
        <is>
          <t>Gridline kontrolü</t>
        </is>
      </c>
      <c r="F15" s="264" t="inlineStr">
        <is>
          <t>ZORUNLU</t>
        </is>
      </c>
    </row>
    <row r="16" ht="16" customHeight="1" s="75">
      <c r="A16" s="263" t="inlineStr">
        <is>
          <t>Boş durum</t>
        </is>
      </c>
      <c r="B16" s="251" t="inlineStr">
        <is>
          <t>Veri yokken temiz ve anlaşılır</t>
        </is>
      </c>
      <c r="C16" s="251" t="inlineStr">
        <is>
          <t>'Henüz veri yok' / 'Girdi bekleniyor'</t>
        </is>
      </c>
      <c r="D16" s="251" t="inlineStr">
        <is>
          <t>0 yığını / hata kodu</t>
        </is>
      </c>
      <c r="E16" s="251" t="inlineStr">
        <is>
          <t>Boş veri testi</t>
        </is>
      </c>
      <c r="F16" s="264" t="inlineStr">
        <is>
          <t>ZORUNLU</t>
        </is>
      </c>
    </row>
    <row r="17" ht="28" customHeight="1" s="75">
      <c r="A17" s="263" t="inlineStr">
        <is>
          <t>Başlangıç deneyimi</t>
        </is>
      </c>
      <c r="B17" s="251" t="inlineStr">
        <is>
          <t>İlk 5 saniyede ne gireceği ve neye bakacağı anlaşılır</t>
        </is>
      </c>
      <c r="C17" s="251" t="inlineStr">
        <is>
          <t>Girdi → durum → aksiyon akışı</t>
        </is>
      </c>
      <c r="D17" s="251" t="inlineStr">
        <is>
          <t>Kılavuz aramaya zorlama</t>
        </is>
      </c>
      <c r="E17" s="251" t="inlineStr">
        <is>
          <t>5 saniye testi</t>
        </is>
      </c>
      <c r="F17" s="264" t="inlineStr">
        <is>
          <t>ZORUNLU</t>
        </is>
      </c>
    </row>
    <row r="18" ht="30" customHeight="1" s="75">
      <c r="A18" s="259" t="inlineStr">
        <is>
          <t>Buton standardı</t>
        </is>
      </c>
      <c r="B18" s="260" t="inlineStr">
        <is>
          <t>Buton görünümü verilen her alan gerçek işlev taşır</t>
        </is>
      </c>
      <c r="C18" s="260" t="inlineStr">
        <is>
          <t>Sayfa içi HYPERLINK / gerçek aksiyon; tıklanınca hedefe gider</t>
        </is>
      </c>
      <c r="D18" s="260" t="inlineStr">
        <is>
          <t>İşlevsiz dekoratif buton / sahte navigasyon</t>
        </is>
      </c>
      <c r="E18" s="260" t="inlineStr">
        <is>
          <t>Butonların %100'ü tıklanabilir ve hedefi doğru</t>
        </is>
      </c>
      <c r="F18" s="264" t="inlineStr">
        <is>
          <t>ZORUNLU</t>
        </is>
      </c>
    </row>
    <row r="19" ht="32" customHeight="1" s="75">
      <c r="A19" s="259" t="inlineStr">
        <is>
          <t>Native sayfa sekmesi rengi</t>
        </is>
      </c>
      <c r="B19" s="260" t="inlineStr">
        <is>
          <t>Excel alt sheet tabları kurumsal paletle renklendirilir</t>
        </is>
      </c>
      <c r="C19" s="260" t="inlineStr">
        <is>
          <t>Başlangıç/özet=lacivert; girdiler=mavi; hesap/finans=teal; karar/kontrol=burgundy; doküman=gri</t>
        </is>
      </c>
      <c r="D19" s="260" t="inlineStr">
        <is>
          <t>Renksiz sekmeler veya rastgele/gökkuşağı renkleri</t>
        </is>
      </c>
      <c r="E19" s="260" t="inlineStr">
        <is>
          <t>Tüm görünür kullanıcı sheet tabları renkli</t>
        </is>
      </c>
      <c r="F19" s="264" t="inlineStr">
        <is>
          <t>ZORUNLU</t>
        </is>
      </c>
    </row>
    <row r="20" ht="60" customHeight="1" s="75">
      <c r="A20" s="259" t="inlineStr">
        <is>
          <t>İş akışı sıralaması</t>
        </is>
      </c>
      <c r="B20" s="260" t="inlineStr">
        <is>
          <t>Sayfalar kullanıcının çalışma sırasına göre fiziksel olarak dizilir</t>
        </is>
      </c>
      <c r="C20" s="26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0" t="inlineStr">
        <is>
          <t>Teknik oluşturma sırasına göre dağınık sheet dizilimi</t>
        </is>
      </c>
      <c r="E20" s="260" t="inlineStr">
        <is>
          <t>Sheet order = tanımlı workflow</t>
        </is>
      </c>
      <c r="F20" s="264" t="inlineStr">
        <is>
          <t>ZORUNLU</t>
        </is>
      </c>
    </row>
    <row r="21" ht="30" customHeight="1" s="75">
      <c r="A21" s="259" t="inlineStr">
        <is>
          <t>Kurumsal renk paleti</t>
        </is>
      </c>
      <c r="B21" s="260" t="inlineStr">
        <is>
          <t>Sekme, başlık, buton ve vurgu renkleri tek kurumsal paletten gelir</t>
        </is>
      </c>
      <c r="C21" s="260" t="inlineStr">
        <is>
          <t>Lacivert + mavi + teal + kontrollü burgundy/gri; kategori semantiği sabit</t>
        </is>
      </c>
      <c r="D21" s="260" t="inlineStr">
        <is>
          <t>Neon, rastgele yüksek doygunluk, her sayfada farklı bağımsız renk</t>
        </is>
      </c>
      <c r="E21" s="260" t="inlineStr">
        <is>
          <t>Palette token kontrolü</t>
        </is>
      </c>
      <c r="F21" s="264" t="inlineStr">
        <is>
          <t>ZORUNLU</t>
        </is>
      </c>
    </row>
    <row r="22" ht="45" customHeight="1" s="75">
      <c r="A22" s="259" t="inlineStr">
        <is>
          <t>Premium vitrin</t>
        </is>
      </c>
      <c r="B22" s="260" t="inlineStr">
        <is>
          <t>Görsel kalite ürün değerinin zorunlu parçasıdır</t>
        </is>
      </c>
      <c r="C22" s="260" t="inlineStr">
        <is>
          <t>Kaliteli grafik, gerçek KPI kartı, finansal hiyerarşi, tab rengi, fonksiyonel navigasyon</t>
        </is>
      </c>
      <c r="D22" s="260" t="inlineStr">
        <is>
          <t>Sadece doğru hesap yapıp çıplak/varsayılan Excel görünümü bırakmak</t>
        </is>
      </c>
      <c r="E22" s="260" t="inlineStr">
        <is>
          <t>Görsel release incelemesi</t>
        </is>
      </c>
      <c r="F22" s="264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5" min="1" max="1"/>
    <col width="40" customWidth="1" style="75" min="2" max="2"/>
    <col width="50" customWidth="1" style="75" min="3" max="3"/>
    <col width="30" customWidth="1" style="75" min="4" max="4"/>
    <col width="28" customWidth="1" style="75" min="5" max="5"/>
    <col width="26" customWidth="1" style="75" min="6" max="6"/>
  </cols>
  <sheetData>
    <row r="1" ht="28" customHeight="1" s="75">
      <c r="A1" s="265" t="inlineStr">
        <is>
          <t>TÜRKİYE MUHASEBE VE TEKDÜZEN HESAP PLANI STANDARDI</t>
        </is>
      </c>
    </row>
    <row r="3" ht="24" customHeight="1" s="75">
      <c r="A3" s="266" t="inlineStr">
        <is>
          <t>Konu</t>
        </is>
      </c>
      <c r="B3" s="266" t="inlineStr">
        <is>
          <t>Zorunlu Standart</t>
        </is>
      </c>
      <c r="C3" s="266" t="inlineStr">
        <is>
          <t>Örnek Türkçe Ad</t>
        </is>
      </c>
      <c r="D3" s="266" t="inlineStr">
        <is>
          <t>THP / Mantık</t>
        </is>
      </c>
      <c r="E3" s="266" t="inlineStr">
        <is>
          <t>Hata Riski</t>
        </is>
      </c>
      <c r="F3" s="266" t="inlineStr">
        <is>
          <t>Kontrol</t>
        </is>
      </c>
    </row>
    <row r="4">
      <c r="A4" s="267" t="inlineStr">
        <is>
          <t>Dil</t>
        </is>
      </c>
      <c r="B4" s="251" t="inlineStr">
        <is>
          <t>Kullanıcıya görünen finansal terimler Türkçe</t>
        </is>
      </c>
      <c r="C4" s="251" t="inlineStr">
        <is>
          <t>Hasılat, Satışların Maliyeti, Brüt Kâr, Faaliyet Giderleri</t>
        </is>
      </c>
      <c r="D4" s="251" t="inlineStr">
        <is>
          <t>Türk işletme kullanımına uygun</t>
        </is>
      </c>
      <c r="E4" s="251" t="inlineStr">
        <is>
          <t>İngilizce jargon</t>
        </is>
      </c>
      <c r="F4" s="251" t="inlineStr">
        <is>
          <t>Terminoloji taraması</t>
        </is>
      </c>
    </row>
    <row r="5" ht="28" customHeight="1" s="75">
      <c r="A5" s="267" t="inlineStr">
        <is>
          <t>Gelir Tablosu</t>
        </is>
      </c>
      <c r="B5" s="251" t="inlineStr">
        <is>
          <t>Türk sunum sırası kullanılır</t>
        </is>
      </c>
      <c r="C5" s="251" t="inlineStr">
        <is>
          <t>Net Satışlar → Satışların Maliyeti → Brüt Kâr → Faaliyet Giderleri → Faaliyet Kârı</t>
        </is>
      </c>
      <c r="D5" s="251" t="inlineStr">
        <is>
          <t>600/610/611; 620-623; 63x</t>
        </is>
      </c>
      <c r="E5" s="251" t="inlineStr">
        <is>
          <t>Yanlış sınıflama</t>
        </is>
      </c>
      <c r="F5" s="251" t="inlineStr">
        <is>
          <t>Hesap eşleme</t>
        </is>
      </c>
    </row>
    <row r="6" ht="28" customHeight="1" s="75">
      <c r="A6" s="267" t="inlineStr">
        <is>
          <t>Bilanço</t>
        </is>
      </c>
      <c r="B6" s="251" t="inlineStr">
        <is>
          <t>Dönen/Duran Varlık ve Kısa/Uzun Vadeli Yükümlülük ayrımı</t>
        </is>
      </c>
      <c r="C6" s="251" t="inlineStr">
        <is>
          <t>Hazır Değerler, Ticari Alacaklar, Stoklar, Mali Borçlar</t>
        </is>
      </c>
      <c r="D6" s="251" t="inlineStr">
        <is>
          <t>1xx / 2xx / 3xx / 4xx / 5xx</t>
        </is>
      </c>
      <c r="E6" s="251" t="inlineStr">
        <is>
          <t>Vade sınıfı hatası</t>
        </is>
      </c>
      <c r="F6" s="251" t="inlineStr">
        <is>
          <t>Bilanço eşitliği</t>
        </is>
      </c>
    </row>
    <row r="7">
      <c r="A7" s="267" t="inlineStr">
        <is>
          <t>Nakit Akışı</t>
        </is>
      </c>
      <c r="B7" s="251" t="inlineStr">
        <is>
          <t>İşletme/Yatırım/Finansman nakit akışları ayrılır</t>
        </is>
      </c>
      <c r="C7" s="251" t="inlineStr">
        <is>
          <t>Faaliyetlerden Nakit, Yatırım Harcamaları, Finansman Nakit Akışı</t>
        </is>
      </c>
      <c r="D7" s="251" t="inlineStr">
        <is>
          <t>Dolaylı/doğrudan yöntem açık seçilir</t>
        </is>
      </c>
      <c r="E7" s="251" t="inlineStr">
        <is>
          <t>Kâr = nakit sanılması</t>
        </is>
      </c>
      <c r="F7" s="251" t="inlineStr">
        <is>
          <t>Nakit devri</t>
        </is>
      </c>
    </row>
    <row r="8">
      <c r="A8" s="267" t="inlineStr">
        <is>
          <t>Ticari Alacaklar</t>
        </is>
      </c>
      <c r="B8" s="251" t="inlineStr">
        <is>
          <t>Cari ve vade mantığı korunur</t>
        </is>
      </c>
      <c r="C8" s="251" t="inlineStr">
        <is>
          <t>120 Alıcılar</t>
        </is>
      </c>
      <c r="D8" s="251" t="inlineStr">
        <is>
          <t>120</t>
        </is>
      </c>
      <c r="E8" s="251" t="inlineStr">
        <is>
          <t>Tahakkuk/nakit karışması</t>
        </is>
      </c>
      <c r="F8" s="251" t="inlineStr">
        <is>
          <t>Alacak devir kontrolü</t>
        </is>
      </c>
    </row>
    <row r="9">
      <c r="A9" s="267" t="inlineStr">
        <is>
          <t>Ticari Borçlar</t>
        </is>
      </c>
      <c r="B9" s="251" t="inlineStr">
        <is>
          <t>Tedarikçi borcu ayrı izlenir</t>
        </is>
      </c>
      <c r="C9" s="251" t="inlineStr">
        <is>
          <t>320 Satıcılar</t>
        </is>
      </c>
      <c r="D9" s="251" t="inlineStr">
        <is>
          <t>320</t>
        </is>
      </c>
      <c r="E9" s="251" t="inlineStr">
        <is>
          <t>Gider/ödeme karışması</t>
        </is>
      </c>
      <c r="F9" s="251" t="inlineStr">
        <is>
          <t>Borç devir kontrolü</t>
        </is>
      </c>
    </row>
    <row r="10">
      <c r="A10" s="267" t="inlineStr">
        <is>
          <t>Kasa/Banka</t>
        </is>
      </c>
      <c r="B10" s="251" t="inlineStr">
        <is>
          <t>Hazır değerler ayrı izlenir</t>
        </is>
      </c>
      <c r="C10" s="251" t="inlineStr">
        <is>
          <t>100 Kasa, 102 Bankalar</t>
        </is>
      </c>
      <c r="D10" s="251" t="inlineStr">
        <is>
          <t>100 / 102</t>
        </is>
      </c>
      <c r="E10" s="251" t="inlineStr">
        <is>
          <t>Virmanla toplam nakdin değişmesi</t>
        </is>
      </c>
      <c r="F10" s="251" t="inlineStr">
        <is>
          <t>Virman değişmezi</t>
        </is>
      </c>
    </row>
    <row r="11">
      <c r="A11" s="267" t="inlineStr">
        <is>
          <t>Stok</t>
        </is>
      </c>
      <c r="B11" s="251" t="inlineStr">
        <is>
          <t>Dikeye uygun stok türü</t>
        </is>
      </c>
      <c r="C11" s="251" t="inlineStr">
        <is>
          <t>150 İlk Madde ve Malzeme, 153 Ticari Mallar</t>
        </is>
      </c>
      <c r="D11" s="251" t="inlineStr">
        <is>
          <t>15x</t>
        </is>
      </c>
      <c r="E11" s="251" t="inlineStr">
        <is>
          <t>Maliyet ve stok hareketinin kopması</t>
        </is>
      </c>
      <c r="F11" s="251" t="inlineStr">
        <is>
          <t>Stok devri</t>
        </is>
      </c>
    </row>
    <row r="12" ht="28" customHeight="1" s="75">
      <c r="A12" s="267" t="inlineStr">
        <is>
          <t>Maddi Duran Varlık</t>
        </is>
      </c>
      <c r="B12" s="251" t="inlineStr">
        <is>
          <t>Yatırım harcaması ve amortisman bağlantılı</t>
        </is>
      </c>
      <c r="C12" s="251" t="inlineStr">
        <is>
          <t>253 Tesis Makine Cihazlar, 255 Demirbaşlar, 257 Birikmiş Amortismanlar</t>
        </is>
      </c>
      <c r="D12" s="251" t="inlineStr">
        <is>
          <t>25x</t>
        </is>
      </c>
      <c r="E12" s="251" t="inlineStr">
        <is>
          <t>Yatırım/gider karışması</t>
        </is>
      </c>
      <c r="F12" s="251" t="inlineStr">
        <is>
          <t>Net defter değeri devri</t>
        </is>
      </c>
    </row>
    <row r="13">
      <c r="A13" s="267" t="inlineStr">
        <is>
          <t>Mali Borçlar</t>
        </is>
      </c>
      <c r="B13" s="251" t="inlineStr">
        <is>
          <t>Kısa/uzun vadeli borç ayrımı</t>
        </is>
      </c>
      <c r="C13" s="251" t="inlineStr">
        <is>
          <t>300 Banka Kredileri / 400 Banka Kredileri</t>
        </is>
      </c>
      <c r="D13" s="251" t="inlineStr">
        <is>
          <t>300 / 400</t>
        </is>
      </c>
      <c r="E13" s="251" t="inlineStr">
        <is>
          <t>Vade sınıfı yanlış</t>
        </is>
      </c>
      <c r="F13" s="251" t="inlineStr">
        <is>
          <t>Borç devri</t>
        </is>
      </c>
    </row>
    <row r="14">
      <c r="A14" s="267" t="inlineStr">
        <is>
          <t>Özkaynak</t>
        </is>
      </c>
      <c r="B14" s="251" t="inlineStr">
        <is>
          <t>Sermaye ve geçmiş yıl kârları ayrı</t>
        </is>
      </c>
      <c r="C14" s="251" t="inlineStr">
        <is>
          <t>500 Sermaye, 570 Geçmiş Yıllar Kârları, 590 Dönem Net Kârı</t>
        </is>
      </c>
      <c r="D14" s="251" t="inlineStr">
        <is>
          <t>5xx</t>
        </is>
      </c>
      <c r="E14" s="251" t="inlineStr">
        <is>
          <t>Net kâr bağının kopması</t>
        </is>
      </c>
      <c r="F14" s="251" t="inlineStr">
        <is>
          <t>Özkaynak devri</t>
        </is>
      </c>
    </row>
    <row r="15">
      <c r="A15" s="267" t="inlineStr">
        <is>
          <t>Vergi</t>
        </is>
      </c>
      <c r="B15" s="251" t="inlineStr">
        <is>
          <t>Vergi satırları Türkiye mantığına uygun</t>
        </is>
      </c>
      <c r="C15" s="251" t="inlineStr">
        <is>
          <t>Dönem Vergi ve Diğer Yasal Yükümlülük Karşılıkları</t>
        </is>
      </c>
      <c r="D15" s="251" t="inlineStr">
        <is>
          <t>37x / ilgili vergi hesapları</t>
        </is>
      </c>
      <c r="E15" s="251" t="inlineStr">
        <is>
          <t>Vergi etkisinin yanlış dönemlenmesi</t>
        </is>
      </c>
      <c r="F15" s="251" t="inlineStr">
        <is>
          <t>Vergi sözleşmesi</t>
        </is>
      </c>
    </row>
    <row r="16">
      <c r="A16" s="267" t="inlineStr">
        <is>
          <t>İsim standardı</t>
        </is>
      </c>
      <c r="B16" s="251" t="inlineStr">
        <is>
          <t>Tablo ve sayfa adları Türkçe ve işlevsel</t>
        </is>
      </c>
      <c r="C16" s="251" t="inlineStr">
        <is>
          <t>GELİR_TABLOSU, BİLANÇO, NAKİT_AKISI, BORC_PLANI</t>
        </is>
      </c>
      <c r="D16" s="251" t="inlineStr">
        <is>
          <t>Tekrarlanabilir standart</t>
        </is>
      </c>
      <c r="E16" s="251" t="inlineStr">
        <is>
          <t>İngilizce/karma isim</t>
        </is>
      </c>
      <c r="F16" s="251" t="inlineStr">
        <is>
          <t>Sayfa ve tablo taraması</t>
        </is>
      </c>
    </row>
    <row r="17">
      <c r="A17" s="267" t="inlineStr">
        <is>
          <t>THP eşleme tablosu</t>
        </is>
      </c>
      <c r="B17" s="251" t="inlineStr">
        <is>
          <t>Her kritik satır en az bir THP hesabına bağlanır</t>
        </is>
      </c>
      <c r="C17" s="251" t="inlineStr">
        <is>
          <t>RaporSatırı → HesapKodu → HesapAdı → İşaret → Dönem</t>
        </is>
      </c>
      <c r="D17" s="251" t="inlineStr">
        <is>
          <t>Kaynak izlenebilirliği</t>
        </is>
      </c>
      <c r="E17" s="251" t="inlineStr">
        <is>
          <t>Rapordan rapora kaynak</t>
        </is>
      </c>
      <c r="F17" s="251" t="inlineStr">
        <is>
          <t>Eşleme kapsama %100</t>
        </is>
      </c>
    </row>
    <row r="18">
      <c r="A18" s="267" t="inlineStr">
        <is>
          <t>İstisna</t>
        </is>
      </c>
      <c r="B18" s="251" t="inlineStr">
        <is>
          <t>TFRS özel ürün varsa fark açık yazılır</t>
        </is>
      </c>
      <c r="C18" s="251" t="inlineStr">
        <is>
          <t>Tekdüzen raporlama ≠ TFRS finansal tablo sunumu</t>
        </is>
      </c>
      <c r="D18" s="251" t="inlineStr">
        <is>
          <t>Amaç belirtilir</t>
        </is>
      </c>
      <c r="E18" s="251" t="inlineStr">
        <is>
          <t>Standartları karıştırma</t>
        </is>
      </c>
      <c r="F18" s="251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5" min="1" max="1"/>
    <col width="32" customWidth="1" style="75" min="2" max="2"/>
    <col width="54" customWidth="1" style="75" min="3" max="3"/>
    <col width="34" customWidth="1" style="75" min="4" max="4"/>
    <col width="16" customWidth="1" style="75" min="6" max="6"/>
  </cols>
  <sheetData>
    <row r="1" ht="28" customHeight="1" s="75">
      <c r="A1" s="268" t="inlineStr">
        <is>
          <t>KARAR, GÜVEN VE SATIŞA HAZIRLIK STANDARDI</t>
        </is>
      </c>
    </row>
    <row r="3" ht="24" customHeight="1" s="75">
      <c r="A3" s="269" t="inlineStr">
        <is>
          <t>Alan</t>
        </is>
      </c>
      <c r="B3" s="269" t="inlineStr">
        <is>
          <t>Müşteri Sorusu</t>
        </is>
      </c>
      <c r="C3" s="269" t="inlineStr">
        <is>
          <t>Zorunlu Ürün Davranışı</t>
        </is>
      </c>
      <c r="D3" s="269" t="inlineStr">
        <is>
          <t>Kanıt</t>
        </is>
      </c>
      <c r="E3" s="269" t="inlineStr">
        <is>
          <t>Başarısızlık Durumu</t>
        </is>
      </c>
      <c r="F3" s="269" t="inlineStr">
        <is>
          <t>Kapı</t>
        </is>
      </c>
    </row>
    <row r="4">
      <c r="A4" s="270" t="inlineStr">
        <is>
          <t>5 saniye</t>
        </is>
      </c>
      <c r="B4" s="251" t="inlineStr">
        <is>
          <t>Bu ürün neyi çözüyor?</t>
        </is>
      </c>
      <c r="C4" s="251" t="inlineStr">
        <is>
          <t>İlk ekranda hedef kullanıcı + pahalı problem + sonuç görünür</t>
        </is>
      </c>
      <c r="D4" s="251" t="inlineStr">
        <is>
          <t>Başlık + alt mesaj + gerçek ekran</t>
        </is>
      </c>
      <c r="E4" s="251" t="inlineStr">
        <is>
          <t>Ürün yalnız teknik isim</t>
        </is>
      </c>
      <c r="F4" s="271" t="inlineStr">
        <is>
          <t>HATA</t>
        </is>
      </c>
    </row>
    <row r="5">
      <c r="A5" s="270" t="inlineStr">
        <is>
          <t>Acı</t>
        </is>
      </c>
      <c r="B5" s="251" t="inlineStr">
        <is>
          <t>Sorun bana neye mal oluyor?</t>
        </is>
      </c>
      <c r="C5" s="251" t="inlineStr">
        <is>
          <t>Mümkünse müşterinin kendi verisiyle parasal/zaman etkisi hesaplanır</t>
        </is>
      </c>
      <c r="D5" s="251" t="inlineStr">
        <is>
          <t>ROI/acı hesaplama yöntemi</t>
        </is>
      </c>
      <c r="E5" s="251" t="inlineStr">
        <is>
          <t>Uydurma tasarruf</t>
        </is>
      </c>
      <c r="F5" s="271" t="inlineStr">
        <is>
          <t>HATA</t>
        </is>
      </c>
    </row>
    <row r="6">
      <c r="A6" s="270" t="inlineStr">
        <is>
          <t>Karar</t>
        </is>
      </c>
      <c r="B6" s="251" t="inlineStr">
        <is>
          <t>Bu bilgiyle ne yapacağım?</t>
        </is>
      </c>
      <c r="C6" s="251" t="inlineStr">
        <is>
          <t>Her kritik KPI aksiyona bağlanır</t>
        </is>
      </c>
      <c r="D6" s="251" t="inlineStr">
        <is>
          <t>KARAR_KUYRUGU</t>
        </is>
      </c>
      <c r="E6" s="251" t="inlineStr">
        <is>
          <t>Sadece rapor</t>
        </is>
      </c>
      <c r="F6" s="271" t="inlineStr">
        <is>
          <t>HATA</t>
        </is>
      </c>
    </row>
    <row r="7">
      <c r="A7" s="270" t="inlineStr">
        <is>
          <t>Güven</t>
        </is>
      </c>
      <c r="B7" s="251" t="inlineStr">
        <is>
          <t>Bu sayıya neden inanayım?</t>
        </is>
      </c>
      <c r="C7" s="251" t="inlineStr">
        <is>
          <t>Kaynak, formül mantığı, kontrol ve son doğrulama görünür</t>
        </is>
      </c>
      <c r="D7" s="251" t="inlineStr">
        <is>
          <t>Kontroller + kaynak izi + sürüm</t>
        </is>
      </c>
      <c r="E7" s="251" t="inlineStr">
        <is>
          <t>Prestij kelimesi</t>
        </is>
      </c>
      <c r="F7" s="271" t="inlineStr">
        <is>
          <t>HATA</t>
        </is>
      </c>
    </row>
    <row r="8">
      <c r="A8" s="270" t="inlineStr">
        <is>
          <t>Referans</t>
        </is>
      </c>
      <c r="B8" s="251" t="inlineStr">
        <is>
          <t>Müşteri yorumu yoksa ne göstereceğim?</t>
        </is>
      </c>
      <c r="C8" s="251" t="inlineStr">
        <is>
          <t>Önce/Sonra + Karar Vakası + Hata Önleme Vakası üretilir</t>
        </is>
      </c>
      <c r="D8" s="251" t="inlineStr">
        <is>
          <t>Demo/örnek çıktı</t>
        </is>
      </c>
      <c r="E8" s="251" t="inlineStr">
        <is>
          <t>Kanıtsız iddia</t>
        </is>
      </c>
      <c r="F8" s="271" t="inlineStr">
        <is>
          <t>HATA</t>
        </is>
      </c>
    </row>
    <row r="9">
      <c r="A9" s="270" t="inlineStr">
        <is>
          <t>Senaryo</t>
        </is>
      </c>
      <c r="B9" s="251" t="inlineStr">
        <is>
          <t>Ne olursa işler bozulur?</t>
        </is>
      </c>
      <c r="C9" s="251" t="inlineStr">
        <is>
          <t>Baz/Aşağı/Yukarı veya uygun stres senaryosu</t>
        </is>
      </c>
      <c r="D9" s="251" t="inlineStr">
        <is>
          <t>Senaryo karşılaştırma</t>
        </is>
      </c>
      <c r="E9" s="251" t="inlineStr">
        <is>
          <t>Dekoratif senaryo</t>
        </is>
      </c>
      <c r="F9" s="271" t="inlineStr">
        <is>
          <t>HATA</t>
        </is>
      </c>
    </row>
    <row r="10">
      <c r="A10" s="270" t="inlineStr">
        <is>
          <t>Ters stres</t>
        </is>
      </c>
      <c r="B10" s="251" t="inlineStr">
        <is>
          <t>Hangi eşikte karar kırılır?</t>
        </is>
      </c>
      <c r="C10" s="251" t="inlineStr">
        <is>
          <t>En az bir kritik sürücü için kırılma eşiği</t>
        </is>
      </c>
      <c r="D10" s="251" t="inlineStr">
        <is>
          <t>Kırılma eşiği tablosu</t>
        </is>
      </c>
      <c r="E10" s="251" t="inlineStr">
        <is>
          <t>Sadece +/- %10</t>
        </is>
      </c>
      <c r="F10" s="271" t="inlineStr">
        <is>
          <t>UYARI/HATA</t>
        </is>
      </c>
    </row>
    <row r="11">
      <c r="A11" s="270" t="inlineStr">
        <is>
          <t>Hata tutarlılığı</t>
        </is>
      </c>
      <c r="B11" s="251" t="inlineStr">
        <is>
          <t>Formül hata verirse ne olur?</t>
        </is>
      </c>
      <c r="C11" s="251" t="inlineStr">
        <is>
          <t>Kontrol GEÇTİ veremez; BLOKE/HATA üretir</t>
        </is>
      </c>
      <c r="D11" s="251" t="inlineStr">
        <is>
          <t>Hata taraması</t>
        </is>
      </c>
      <c r="E11" s="251" t="inlineStr">
        <is>
          <t>Hata + GEÇTİ birlikte</t>
        </is>
      </c>
      <c r="F11" s="271" t="inlineStr">
        <is>
          <t>HATA</t>
        </is>
      </c>
    </row>
    <row r="12">
      <c r="A12" s="270" t="inlineStr">
        <is>
          <t>Karar motoru</t>
        </is>
      </c>
      <c r="B12" s="251" t="inlineStr">
        <is>
          <t>Ne oldu, neden oldu?</t>
        </is>
      </c>
      <c r="C12" s="251" t="inlineStr">
        <is>
          <t>Sorun + neden + parasal etki + aksiyon + son tarih</t>
        </is>
      </c>
      <c r="D12" s="251" t="inlineStr">
        <is>
          <t>Karar tablosu</t>
        </is>
      </c>
      <c r="E12" s="251" t="inlineStr">
        <is>
          <t>Boş sayfa / isim düzeyi modül</t>
        </is>
      </c>
      <c r="F12" s="271" t="inlineStr">
        <is>
          <t>HATA</t>
        </is>
      </c>
    </row>
    <row r="13">
      <c r="A13" s="270" t="inlineStr">
        <is>
          <t>Yönetici özeti</t>
        </is>
      </c>
      <c r="B13" s="251" t="inlineStr">
        <is>
          <t>5 saniyede ne görmeliyim?</t>
        </is>
      </c>
      <c r="C13" s="251" t="inlineStr">
        <is>
          <t>Bugün / ne değişti / ne bozulacak / neden / ne yapmalıyım / güven</t>
        </is>
      </c>
      <c r="D13" s="251" t="inlineStr">
        <is>
          <t>Yönetici özeti ekranı</t>
        </is>
      </c>
      <c r="E13" s="251" t="inlineStr">
        <is>
          <t>KPI kutusu yığını</t>
        </is>
      </c>
      <c r="F13" s="271" t="inlineStr">
        <is>
          <t>HATA</t>
        </is>
      </c>
    </row>
    <row r="14">
      <c r="A14" s="270" t="inlineStr">
        <is>
          <t>Teklif</t>
        </is>
      </c>
      <c r="B14" s="251" t="inlineStr">
        <is>
          <t>Neden satın almalıyım?</t>
        </is>
      </c>
      <c r="C14" s="251" t="inlineStr">
        <is>
          <t>Dosya özellikleri yerine sonuç ve kaçınılan maliyet sunulur</t>
        </is>
      </c>
      <c r="D14" s="251" t="inlineStr">
        <is>
          <t>Ürün sayfası kanıt eşlemesi</t>
        </is>
      </c>
      <c r="E14" s="251" t="inlineStr">
        <is>
          <t>Özellik listesiyle satış</t>
        </is>
      </c>
      <c r="F14" s="271" t="inlineStr">
        <is>
          <t>HATA</t>
        </is>
      </c>
    </row>
    <row r="15">
      <c r="A15" s="270" t="inlineStr">
        <is>
          <t>Dağıtım</t>
        </is>
      </c>
      <c r="B15" s="251" t="inlineStr">
        <is>
          <t>Beni nasıl bulacaklar?</t>
        </is>
      </c>
      <c r="C15" s="251" t="inlineStr">
        <is>
          <t>Sorun niyetine göre SEO sayfaları, iç bağlantı, temiz yapı, taranabilir metin</t>
        </is>
      </c>
      <c r="D15" s="251" t="inlineStr">
        <is>
          <t>Arama niyeti haritası</t>
        </is>
      </c>
      <c r="E15" s="251" t="inlineStr">
        <is>
          <t>Tek ürün sayfasına bağımlılık</t>
        </is>
      </c>
      <c r="F15" s="271" t="inlineStr">
        <is>
          <t>UYARI</t>
        </is>
      </c>
    </row>
    <row r="16" ht="28" customHeight="1" s="75">
      <c r="A16" s="270" t="inlineStr">
        <is>
          <t>LLM görünürlüğü</t>
        </is>
      </c>
      <c r="B16" s="251" t="inlineStr">
        <is>
          <t>AI ürünümü anlayabiliyor mu?</t>
        </is>
      </c>
      <c r="C16" s="251" t="inlineStr">
        <is>
          <t>Ürün tanımı, hedef kullanıcı, girdi/çıktı, metodoloji, sınırlar, SSS açık metindir</t>
        </is>
      </c>
      <c r="D16" s="251" t="inlineStr">
        <is>
          <t>Taranabilir ürün içeriği</t>
        </is>
      </c>
      <c r="E16" s="251" t="inlineStr">
        <is>
          <t>'AI SEO' iddiası</t>
        </is>
      </c>
      <c r="F16" s="271" t="inlineStr">
        <is>
          <t>UYARI</t>
        </is>
      </c>
    </row>
    <row r="17">
      <c r="A17" s="270" t="inlineStr">
        <is>
          <t>Satış kanalı</t>
        </is>
      </c>
      <c r="B17" s="251" t="inlineStr">
        <is>
          <t>Nerede satılmalı?</t>
        </is>
      </c>
      <c r="C17" s="251" t="inlineStr">
        <is>
          <t>Arama, LinkedIn, uzman/partner, demo/video; ürüne göre kanal seçilir</t>
        </is>
      </c>
      <c r="D17" s="251" t="inlineStr">
        <is>
          <t>Kanal matrisi</t>
        </is>
      </c>
      <c r="E17" s="251" t="inlineStr">
        <is>
          <t>Her ürüne aynı kanal</t>
        </is>
      </c>
      <c r="F17" s="271" t="inlineStr">
        <is>
          <t>UYARI</t>
        </is>
      </c>
    </row>
    <row r="18">
      <c r="A18" s="270" t="inlineStr">
        <is>
          <t>Fiyat</t>
        </is>
      </c>
      <c r="B18" s="251" t="inlineStr">
        <is>
          <t>Bu fiyat neden mantıklı?</t>
        </is>
      </c>
      <c r="C18" s="251" t="inlineStr">
        <is>
          <t>Fiyat, ekonomik karar değerine ve kanıtlanmış ürün derinliğine bağlanır</t>
        </is>
      </c>
      <c r="D18" s="251" t="inlineStr">
        <is>
          <t>Değer haritası + demo</t>
        </is>
      </c>
      <c r="E18" s="251" t="inlineStr">
        <is>
          <t>Sırf sayfa/formül sayısı</t>
        </is>
      </c>
      <c r="F18" s="271" t="inlineStr">
        <is>
          <t>HATA</t>
        </is>
      </c>
    </row>
    <row r="19">
      <c r="A19" s="270" t="inlineStr">
        <is>
          <t>Pazar kanıtı</t>
        </is>
      </c>
      <c r="B19" s="251" t="inlineStr">
        <is>
          <t>Piyasa gerçekten ödüyor mu?</t>
        </is>
      </c>
      <c r="C19" s="251" t="inlineStr">
        <is>
          <t>Satış/pilot/LOI/fiyat kabulü olmadan pazar doğrulandı yazılmaz</t>
        </is>
      </c>
      <c r="D19" s="251" t="inlineStr">
        <is>
          <t>Gerçek işlem kanıtı</t>
        </is>
      </c>
      <c r="E19" s="251" t="inlineStr">
        <is>
          <t>Tahmini talep = satış kabulü</t>
        </is>
      </c>
      <c r="F19" s="271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3"/>
  </cols>
  <sheetData>
    <row r="1" ht="28.5" customHeight="1" s="75">
      <c r="A1" s="102" t="inlineStr">
        <is>
          <t>FAZLA MESAİ VE İŞÇİ DAVA RİSKİ TESPİT DOSYASI</t>
        </is>
      </c>
    </row>
    <row r="3" ht="18.75" customHeight="1" s="75">
      <c r="A3" s="103" t="inlineStr">
        <is>
          <t>Fazla mesai yükünüzü ve işçi dava riskinizi mevzuata uygun ölçün.</t>
        </is>
      </c>
    </row>
    <row r="4" ht="15" customHeight="1" s="75">
      <c r="A4" s="104" t="inlineStr">
        <is>
          <t>Fazla mesai ücreti (4857 s. md.41, %50 zamlı, 270 saat sınırı) çalışan bazında otomatik hesaplanır. Bildirilen ile belgelenen mesai karşılaştırılarak kayıt eksikliği ve dava riski tutarı üretilir; UYGUN / İNCELE / DURDUR kararı verilir.</t>
        </is>
      </c>
    </row>
    <row r="5" ht="15" customHeight="1" s="75"/>
    <row r="6" ht="15" customHeight="1" s="75">
      <c r="A6" s="105" t="inlineStr">
        <is>
          <t>1. CALISANLAR sayfasına çalışanları ve aylık fazla mesai saatlerini girin.</t>
        </is>
      </c>
    </row>
    <row r="7" ht="15" customHeight="1" s="75">
      <c r="A7" s="105" t="inlineStr">
        <is>
          <t>2. KAYITLAR sayfasında bildirilen ile belgelenen mesai saatlerini karşılaştırın.</t>
        </is>
      </c>
    </row>
    <row r="8" ht="15" customHeight="1" s="75">
      <c r="A8" s="105" t="inlineStr">
        <is>
          <t>3. KARAR sayfasında dava riski ve aksiyonları okuyun.</t>
        </is>
      </c>
    </row>
    <row r="10" ht="15" customHeight="1" s="75">
      <c r="A10" s="106" t="inlineStr">
        <is>
          <t>Bu dosya karar destek aracıdır; iş hukuku veya mali müşavirlik danışmanlığı yerine geçmez. Fazla mesai ücreti, sözleşme ve uygulama koşullarına göre farklılaşabilir; nihai risk değerlendirmesi hukukçu ile yapılmalıdır.</t>
        </is>
      </c>
    </row>
    <row r="11" ht="15" customHeight="1" s="75"/>
    <row r="12" ht="15" customHeight="1" s="75"/>
    <row r="13" ht="15" customHeight="1" s="75"/>
    <row r="15" ht="15" customHeight="1" s="75">
      <c r="A15" s="107" t="inlineStr">
        <is>
          <t>ExcelArşiv</t>
        </is>
      </c>
    </row>
    <row r="16" ht="15" customHeight="1" s="75">
      <c r="A16" s="108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101" min="1" max="1"/>
    <col width="20" customWidth="1" style="101" min="2" max="2"/>
  </cols>
  <sheetData>
    <row r="1">
      <c r="A1" s="85" t="inlineStr">
        <is>
          <t>☰ PANO</t>
        </is>
      </c>
    </row>
    <row r="3" ht="15.75" customHeight="1" s="75">
      <c r="A3" s="109" t="inlineStr">
        <is>
          <t>Nasıl kullanılır?</t>
        </is>
      </c>
    </row>
    <row r="4" ht="15" customHeight="1" s="75">
      <c r="A4" s="110" t="inlineStr">
        <is>
          <t>1. AYARLAR sayfasından mesai katsayısını (%50), yıllık 270 saat sınırını ve risk eşiklerini kontrol edin.</t>
        </is>
      </c>
    </row>
    <row r="5" ht="15" customHeight="1" s="75">
      <c r="A5" s="110" t="inlineStr">
        <is>
          <t>2. CALISANLAR sayfasına her çalışan için ad, işe giriş, aylık brüt ücret, haftalık çalışma saati ve aylık fazla mesai saatini girin.</t>
        </is>
      </c>
    </row>
    <row r="6" ht="15" customHeight="1" s="75">
      <c r="A6" s="110" t="inlineStr">
        <is>
          <t>3. Saatlik ücret, aylık ve yıllık fazla mesai ücreti formülle hesaplanır.</t>
        </is>
      </c>
    </row>
    <row r="7" ht="15" customHeight="1" s="75">
      <c r="A7" s="110" t="inlineStr">
        <is>
          <t>4. KAYITLAR sayfasına dönem bazında bildirilen ve belgelenen mesai saatlerini girin.</t>
        </is>
      </c>
    </row>
    <row r="8" ht="15" customHeight="1" s="75">
      <c r="A8" s="110" t="inlineStr">
        <is>
          <t>5. KARAR sayfası 270 saat aşımı ve kayıt farkı üzerinden UYGUN / İNCELE / DURDUR kararı üretir.</t>
        </is>
      </c>
    </row>
    <row r="9" ht="15" customHeight="1" s="75">
      <c r="A9" s="110" t="inlineStr">
        <is>
          <t>6. PANO ve RAPOR sayfaları yönetici özetini ve yazdırılabilir raporu sunar.</t>
        </is>
      </c>
    </row>
    <row r="10" ht="15" customHeight="1" s="75">
      <c r="A10" s="110" t="inlineStr">
        <is>
          <t>7. SENARYO_DUYARLILIK sayfası mesai/ücret değişiminde risk ve kararı üretir.</t>
        </is>
      </c>
    </row>
    <row r="12" ht="15" customHeight="1" s="75">
      <c r="A12" s="111" t="inlineStr">
        <is>
          <t>Sık yapılan hatalar</t>
        </is>
      </c>
    </row>
    <row r="13" ht="15" customHeight="1" s="75">
      <c r="A13" s="106" t="inlineStr">
        <is>
          <t>Fazla mesai saatlerini kayıt altına almamak — ispat yükü işverende; kayıt eksikliği dava riskini artırır.</t>
        </is>
      </c>
    </row>
    <row r="14" ht="15" customHeight="1" s="75">
      <c r="A14" s="106" t="inlineStr">
        <is>
          <t>Haftalık çalışma saatini boş bırakmak — saatlik ücret hesabı 225 saatlik aya göre bozulur.</t>
        </is>
      </c>
    </row>
    <row r="15" ht="15" customHeight="1" s="75">
      <c r="A15" s="106" t="inlineStr">
        <is>
          <t>KAYITLAR sayfasını boş bırakmak — bildirilen/belgelenen farkı ölçülemez, risk oranı eksik kalır.</t>
        </is>
      </c>
    </row>
    <row r="16" ht="15" customHeight="1" s="75">
      <c r="A16" s="106" t="inlineStr">
        <is>
          <t>Brüt ücret yerine net ücret girmek — fazla mesai ücreti eksik hesaplanır.</t>
        </is>
      </c>
    </row>
    <row r="17" ht="15" customHeight="1" s="75">
      <c r="A17" s="106" t="inlineStr">
        <is>
          <t>Kilitli (beyaz/yeşil) hücrelere yazmaya çalışmak — yalnızca sarı hücreler giriş içindir.</t>
        </is>
      </c>
    </row>
    <row r="19" ht="19.5" customHeight="1" s="75">
      <c r="A19" s="112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4" customWidth="1" style="101" min="2" max="6"/>
    <col width="16" customWidth="1" style="101" min="7" max="7"/>
    <col width="12" customWidth="1" style="101" min="8" max="9"/>
    <col width="16" customWidth="1" style="101" min="10" max="10"/>
    <col width="14" customWidth="1" style="101" min="11" max="12"/>
    <col width="16" customWidth="1" style="101" min="13" max="13"/>
    <col width="12" customWidth="1" style="101" min="14" max="14"/>
  </cols>
  <sheetData>
    <row r="1" ht="25.5" customHeight="1" s="75">
      <c r="A1" s="113" t="inlineStr">
        <is>
          <t>CALISANLAR — FAZLA MESAİ VE İŞÇİ DAVA RİSKİ TESPİT DOSYASI</t>
        </is>
      </c>
    </row>
    <row r="3" ht="15" customHeight="1" s="75">
      <c r="A3" s="114" t="inlineStr">
        <is>
          <t>Çalışan Fazla Mesai Girişi</t>
        </is>
      </c>
    </row>
    <row r="4" ht="15" customHeight="1" s="75">
      <c r="A4" s="115" t="inlineStr">
        <is>
          <t>Sarı hücrelere manuel veri girin. Saatlik ücret, fazla mesai ücreti ve 270 saat sınır aşımı formülle hesaplanır; formül hücreleri kilitlidir.</t>
        </is>
      </c>
    </row>
    <row r="5" ht="30" customHeight="1" s="75">
      <c r="A5" s="116" t="inlineStr">
        <is>
          <t>Çalışan Adı</t>
        </is>
      </c>
      <c r="B5" s="116" t="inlineStr">
        <is>
          <t>İşe Giriş Tarihi</t>
        </is>
      </c>
      <c r="C5" s="116" t="inlineStr">
        <is>
          <t>Aylık Brüt Ücret (₺)</t>
        </is>
      </c>
      <c r="D5" s="116" t="inlineStr">
        <is>
          <t>Haftalık Çalışma Saati</t>
        </is>
      </c>
      <c r="E5" s="116" t="inlineStr">
        <is>
          <t>Aylık Fazla Mesai Saati</t>
        </is>
      </c>
      <c r="F5" s="116" t="inlineStr">
        <is>
          <t>Saatlik Ücret (₺)</t>
        </is>
      </c>
      <c r="G5" s="116" t="inlineStr">
        <is>
          <t>Aylık Fazla Mesai Ücreti (₺)</t>
        </is>
      </c>
      <c r="H5" s="116" t="inlineStr">
        <is>
          <t>Yıllık Mesai Saati</t>
        </is>
      </c>
      <c r="I5" s="116" t="inlineStr">
        <is>
          <t>270 Saat Aşımı (saat)</t>
        </is>
      </c>
      <c r="J5" s="116" t="inlineStr">
        <is>
          <t>Sınır Aşım Tutarı (₺)</t>
        </is>
      </c>
      <c r="K5" s="116" t="inlineStr">
        <is>
          <t>Aylık Mesai Ücreti Oranı</t>
        </is>
      </c>
      <c r="L5" s="116" t="inlineStr">
        <is>
          <t>Kayıt Risk Oranı</t>
        </is>
      </c>
      <c r="M5" s="116" t="inlineStr">
        <is>
          <t>Risk Tutarı (₺)</t>
        </is>
      </c>
      <c r="N5" s="116" t="inlineStr">
        <is>
          <t>Dönem Günü</t>
        </is>
      </c>
    </row>
    <row r="6" ht="15" customHeight="1" s="75">
      <c r="A6" s="117" t="inlineStr">
        <is>
          <t>Ahmet Yılmaz</t>
        </is>
      </c>
      <c r="B6" s="118" t="n">
        <v>43891</v>
      </c>
      <c r="C6" s="119" t="n">
        <v>45000</v>
      </c>
      <c r="D6" s="120" t="n">
        <v>45</v>
      </c>
      <c r="E6" s="120" t="n">
        <v>20</v>
      </c>
      <c r="F6" s="121">
        <f>IF(OR($A6="",$C6=""),"",IFERROR($C6/(UcretHesaplamaGun*GunlukCalismaSaat),0))</f>
        <v/>
      </c>
      <c r="G6" s="121">
        <f>IF(OR($F6="",$E6=""),"",IFERROR($F6*$E6*MesaiKatsayi,0))</f>
        <v/>
      </c>
      <c r="H6" s="122">
        <f>IF(OR($E6=""),"",IFERROR($E6*AySayisi,0))</f>
        <v/>
      </c>
      <c r="I6" s="122">
        <f>IF(OR($H6=""),"",IFERROR(MAX(0,$H6-YillikMesaiSinir),0))</f>
        <v/>
      </c>
      <c r="J6" s="121">
        <f>IF(OR($I6="",$F6=""),"",IFERROR($I6*$F6*MesaiKatsayi,0))</f>
        <v/>
      </c>
      <c r="K6" s="123">
        <f>IF(OR($G6=""),"",IFERROR($G6/MAX(BolumPaydaTaban,$C6),0))</f>
        <v/>
      </c>
      <c r="L6" s="123">
        <f>IF(OR($A6=""),"",IFERROR(IF(COUNTIF(tblKayit[Çalışan Adı],$A6)=0,0,1-MIN(1,SUMIF(tblKayit[Çalışan Adı],$A6,tblKayit[Belgelenen Mesai Saati])/MAX(BolumPaydaTaban,SUMIF(tblKayit[Çalışan Adı],$A6,tblKayit[Bildirilen Mesai Saati])))),0))</f>
        <v/>
      </c>
      <c r="M6" s="121">
        <f>IF(OR($G6="",$J6="",$L6=""),"",IFERROR($G6+$J6+$L6*($G6+$J6),0))</f>
        <v/>
      </c>
      <c r="N6" s="122">
        <f>IF(OR($B6=""),"",IFERROR(MAX(0,DATEDIF($B6,raporTarihi,"D")),0))</f>
        <v/>
      </c>
    </row>
    <row r="7" ht="15" customHeight="1" s="75">
      <c r="A7" s="117" t="inlineStr">
        <is>
          <t>Ayşe Kaya</t>
        </is>
      </c>
      <c r="B7" s="118" t="n">
        <v>42156</v>
      </c>
      <c r="C7" s="119" t="n">
        <v>55000</v>
      </c>
      <c r="D7" s="120" t="n">
        <v>48</v>
      </c>
      <c r="E7" s="120" t="n">
        <v>35</v>
      </c>
      <c r="F7" s="121">
        <f>IF(OR($A7="",$C7=""),"",IFERROR($C7/(UcretHesaplamaGun*GunlukCalismaSaat),0))</f>
        <v/>
      </c>
      <c r="G7" s="121">
        <f>IF(OR($F7="",$E7=""),"",IFERROR($F7*$E7*MesaiKatsayi,0))</f>
        <v/>
      </c>
      <c r="H7" s="122">
        <f>IF(OR($E7=""),"",IFERROR($E7*AySayisi,0))</f>
        <v/>
      </c>
      <c r="I7" s="122">
        <f>IF(OR($H7=""),"",IFERROR(MAX(0,$H7-YillikMesaiSinir),0))</f>
        <v/>
      </c>
      <c r="J7" s="121">
        <f>IF(OR($I7="",$F7=""),"",IFERROR($I7*$F7*MesaiKatsayi,0))</f>
        <v/>
      </c>
      <c r="K7" s="123">
        <f>IF(OR($G7=""),"",IFERROR($G7/MAX(BolumPaydaTaban,$C7),0))</f>
        <v/>
      </c>
      <c r="L7" s="123">
        <f>IF(OR($A7=""),"",IFERROR(IF(COUNTIF(tblKayit[Çalışan Adı],$A7)=0,0,1-MIN(1,SUMIF(tblKayit[Çalışan Adı],$A7,tblKayit[Belgelenen Mesai Saati])/MAX(BolumPaydaTaban,SUMIF(tblKayit[Çalışan Adı],$A7,tblKayit[Bildirilen Mesai Saati])))),0))</f>
        <v/>
      </c>
      <c r="M7" s="121">
        <f>IF(OR($G7="",$J7="",$L7=""),"",IFERROR($G7+$J7+$L7*($G7+$J7),0))</f>
        <v/>
      </c>
      <c r="N7" s="122">
        <f>IF(OR($B7=""),"",IFERROR(MAX(0,DATEDIF($B7,raporTarihi,"D")),0))</f>
        <v/>
      </c>
    </row>
    <row r="8" ht="15" customHeight="1" s="75">
      <c r="A8" s="117" t="inlineStr">
        <is>
          <t>Mehmet Demir</t>
        </is>
      </c>
      <c r="B8" s="118" t="n">
        <v>44576</v>
      </c>
      <c r="C8" s="119" t="n">
        <v>30000</v>
      </c>
      <c r="D8" s="120" t="n">
        <v>45</v>
      </c>
      <c r="E8" s="120" t="n">
        <v>10</v>
      </c>
      <c r="F8" s="121">
        <f>IF(OR($A8="",$C8=""),"",IFERROR($C8/(UcretHesaplamaGun*GunlukCalismaSaat),0))</f>
        <v/>
      </c>
      <c r="G8" s="121">
        <f>IF(OR($F8="",$E8=""),"",IFERROR($F8*$E8*MesaiKatsayi,0))</f>
        <v/>
      </c>
      <c r="H8" s="122">
        <f>IF(OR($E8=""),"",IFERROR($E8*AySayisi,0))</f>
        <v/>
      </c>
      <c r="I8" s="122">
        <f>IF(OR($H8=""),"",IFERROR(MAX(0,$H8-YillikMesaiSinir),0))</f>
        <v/>
      </c>
      <c r="J8" s="121">
        <f>IF(OR($I8="",$F8=""),"",IFERROR($I8*$F8*MesaiKatsayi,0))</f>
        <v/>
      </c>
      <c r="K8" s="123">
        <f>IF(OR($G8=""),"",IFERROR($G8/MAX(BolumPaydaTaban,$C8),0))</f>
        <v/>
      </c>
      <c r="L8" s="123">
        <f>IF(OR($A8=""),"",IFERROR(IF(COUNTIF(tblKayit[Çalışan Adı],$A8)=0,0,1-MIN(1,SUMIF(tblKayit[Çalışan Adı],$A8,tblKayit[Belgelenen Mesai Saati])/MAX(BolumPaydaTaban,SUMIF(tblKayit[Çalışan Adı],$A8,tblKayit[Bildirilen Mesai Saati])))),0))</f>
        <v/>
      </c>
      <c r="M8" s="121">
        <f>IF(OR($G8="",$J8="",$L8=""),"",IFERROR($G8+$J8+$L8*($G8+$J8),0))</f>
        <v/>
      </c>
      <c r="N8" s="122">
        <f>IF(OR($B8=""),"",IFERROR(MAX(0,DATEDIF($B8,raporTarihi,"D")),0))</f>
        <v/>
      </c>
    </row>
    <row r="9" ht="15" customHeight="1" s="75">
      <c r="A9" s="117" t="inlineStr">
        <is>
          <t>Zeynep Çelik</t>
        </is>
      </c>
      <c r="B9" s="118" t="n">
        <v>43191</v>
      </c>
      <c r="C9" s="119" t="n">
        <v>40000</v>
      </c>
      <c r="D9" s="120" t="n">
        <v>50</v>
      </c>
      <c r="E9" s="120" t="n">
        <v>40</v>
      </c>
      <c r="F9" s="121">
        <f>IF(OR($A9="",$C9=""),"",IFERROR($C9/(UcretHesaplamaGun*GunlukCalismaSaat),0))</f>
        <v/>
      </c>
      <c r="G9" s="121">
        <f>IF(OR($F9="",$E9=""),"",IFERROR($F9*$E9*MesaiKatsayi,0))</f>
        <v/>
      </c>
      <c r="H9" s="122">
        <f>IF(OR($E9=""),"",IFERROR($E9*AySayisi,0))</f>
        <v/>
      </c>
      <c r="I9" s="122">
        <f>IF(OR($H9=""),"",IFERROR(MAX(0,$H9-YillikMesaiSinir),0))</f>
        <v/>
      </c>
      <c r="J9" s="121">
        <f>IF(OR($I9="",$F9=""),"",IFERROR($I9*$F9*MesaiKatsayi,0))</f>
        <v/>
      </c>
      <c r="K9" s="123">
        <f>IF(OR($G9=""),"",IFERROR($G9/MAX(BolumPaydaTaban,$C9),0))</f>
        <v/>
      </c>
      <c r="L9" s="123">
        <f>IF(OR($A9=""),"",IFERROR(IF(COUNTIF(tblKayit[Çalışan Adı],$A9)=0,0,1-MIN(1,SUMIF(tblKayit[Çalışan Adı],$A9,tblKayit[Belgelenen Mesai Saati])/MAX(BolumPaydaTaban,SUMIF(tblKayit[Çalışan Adı],$A9,tblKayit[Bildirilen Mesai Saati])))),0))</f>
        <v/>
      </c>
      <c r="M9" s="121">
        <f>IF(OR($G9="",$J9="",$L9=""),"",IFERROR($G9+$J9+$L9*($G9+$J9),0))</f>
        <v/>
      </c>
      <c r="N9" s="122">
        <f>IF(OR($B9=""),"",IFERROR(MAX(0,DATEDIF($B9,raporTarihi,"D")),0))</f>
        <v/>
      </c>
    </row>
    <row r="10" ht="15" customHeight="1" s="75">
      <c r="A10" s="117" t="inlineStr">
        <is>
          <t>Mustafa Aydın</t>
        </is>
      </c>
      <c r="B10" s="118" t="n">
        <v>40210</v>
      </c>
      <c r="C10" s="119" t="n">
        <v>60000</v>
      </c>
      <c r="D10" s="120" t="n">
        <v>45</v>
      </c>
      <c r="E10" s="120" t="n">
        <v>15</v>
      </c>
      <c r="F10" s="121">
        <f>IF(OR($A10="",$C10=""),"",IFERROR($C10/(UcretHesaplamaGun*GunlukCalismaSaat),0))</f>
        <v/>
      </c>
      <c r="G10" s="121">
        <f>IF(OR($F10="",$E10=""),"",IFERROR($F10*$E10*MesaiKatsayi,0))</f>
        <v/>
      </c>
      <c r="H10" s="122">
        <f>IF(OR($E10=""),"",IFERROR($E10*AySayisi,0))</f>
        <v/>
      </c>
      <c r="I10" s="122">
        <f>IF(OR($H10=""),"",IFERROR(MAX(0,$H10-YillikMesaiSinir),0))</f>
        <v/>
      </c>
      <c r="J10" s="121">
        <f>IF(OR($I10="",$F10=""),"",IFERROR($I10*$F10*MesaiKatsayi,0))</f>
        <v/>
      </c>
      <c r="K10" s="123">
        <f>IF(OR($G10=""),"",IFERROR($G10/MAX(BolumPaydaTaban,$C10),0))</f>
        <v/>
      </c>
      <c r="L10" s="123">
        <f>IF(OR($A10=""),"",IFERROR(IF(COUNTIF(tblKayit[Çalışan Adı],$A10)=0,0,1-MIN(1,SUMIF(tblKayit[Çalışan Adı],$A10,tblKayit[Belgelenen Mesai Saati])/MAX(BolumPaydaTaban,SUMIF(tblKayit[Çalışan Adı],$A10,tblKayit[Bildirilen Mesai Saati])))),0))</f>
        <v/>
      </c>
      <c r="M10" s="121">
        <f>IF(OR($G10="",$J10="",$L10=""),"",IFERROR($G10+$J10+$L10*($G10+$J10),0))</f>
        <v/>
      </c>
      <c r="N10" s="122">
        <f>IF(OR($B10=""),"",IFERROR(MAX(0,DATEDIF($B10,raporTarihi,"D")),0))</f>
        <v/>
      </c>
    </row>
    <row r="11" ht="15" customHeight="1" s="75">
      <c r="A11" s="117" t="inlineStr">
        <is>
          <t>Elif Şahin</t>
        </is>
      </c>
      <c r="B11" s="118" t="n">
        <v>44440</v>
      </c>
      <c r="C11" s="119" t="n">
        <v>35000</v>
      </c>
      <c r="D11" s="120" t="n">
        <v>46</v>
      </c>
      <c r="E11" s="120" t="n">
        <v>25</v>
      </c>
      <c r="F11" s="121">
        <f>IF(OR($A11="",$C11=""),"",IFERROR($C11/(UcretHesaplamaGun*GunlukCalismaSaat),0))</f>
        <v/>
      </c>
      <c r="G11" s="121">
        <f>IF(OR($F11="",$E11=""),"",IFERROR($F11*$E11*MesaiKatsayi,0))</f>
        <v/>
      </c>
      <c r="H11" s="122">
        <f>IF(OR($E11=""),"",IFERROR($E11*AySayisi,0))</f>
        <v/>
      </c>
      <c r="I11" s="122">
        <f>IF(OR($H11=""),"",IFERROR(MAX(0,$H11-YillikMesaiSinir),0))</f>
        <v/>
      </c>
      <c r="J11" s="121">
        <f>IF(OR($I11="",$F11=""),"",IFERROR($I11*$F11*MesaiKatsayi,0))</f>
        <v/>
      </c>
      <c r="K11" s="123">
        <f>IF(OR($G11=""),"",IFERROR($G11/MAX(BolumPaydaTaban,$C11),0))</f>
        <v/>
      </c>
      <c r="L11" s="123">
        <f>IF(OR($A11=""),"",IFERROR(IF(COUNTIF(tblKayit[Çalışan Adı],$A11)=0,0,1-MIN(1,SUMIF(tblKayit[Çalışan Adı],$A11,tblKayit[Belgelenen Mesai Saati])/MAX(BolumPaydaTaban,SUMIF(tblKayit[Çalışan Adı],$A11,tblKayit[Bildirilen Mesai Saati])))),0))</f>
        <v/>
      </c>
      <c r="M11" s="121">
        <f>IF(OR($G11="",$J11="",$L11=""),"",IFERROR($G11+$J11+$L11*($G11+$J11),0))</f>
        <v/>
      </c>
      <c r="N11" s="122">
        <f>IF(OR($B11=""),"",IFERROR(MAX(0,DATEDIF($B11,raporTarihi,"D")),0))</f>
        <v/>
      </c>
    </row>
    <row r="12" ht="15" customHeight="1" s="75">
      <c r="A12" s="117" t="inlineStr">
        <is>
          <t>Hasan Yıldız</t>
        </is>
      </c>
      <c r="B12" s="118" t="n">
        <v>43647</v>
      </c>
      <c r="C12" s="119" t="n">
        <v>28000</v>
      </c>
      <c r="D12" s="120" t="n">
        <v>45</v>
      </c>
      <c r="E12" s="120" t="n">
        <v>8</v>
      </c>
      <c r="F12" s="121">
        <f>IF(OR($A12="",$C12=""),"",IFERROR($C12/(UcretHesaplamaGun*GunlukCalismaSaat),0))</f>
        <v/>
      </c>
      <c r="G12" s="121">
        <f>IF(OR($F12="",$E12=""),"",IFERROR($F12*$E12*MesaiKatsayi,0))</f>
        <v/>
      </c>
      <c r="H12" s="122">
        <f>IF(OR($E12=""),"",IFERROR($E12*AySayisi,0))</f>
        <v/>
      </c>
      <c r="I12" s="122">
        <f>IF(OR($H12=""),"",IFERROR(MAX(0,$H12-YillikMesaiSinir),0))</f>
        <v/>
      </c>
      <c r="J12" s="121">
        <f>IF(OR($I12="",$F12=""),"",IFERROR($I12*$F12*MesaiKatsayi,0))</f>
        <v/>
      </c>
      <c r="K12" s="123">
        <f>IF(OR($G12=""),"",IFERROR($G12/MAX(BolumPaydaTaban,$C12),0))</f>
        <v/>
      </c>
      <c r="L12" s="123">
        <f>IF(OR($A12=""),"",IFERROR(IF(COUNTIF(tblKayit[Çalışan Adı],$A12)=0,0,1-MIN(1,SUMIF(tblKayit[Çalışan Adı],$A12,tblKayit[Belgelenen Mesai Saati])/MAX(BolumPaydaTaban,SUMIF(tblKayit[Çalışan Adı],$A12,tblKayit[Bildirilen Mesai Saati])))),0))</f>
        <v/>
      </c>
      <c r="M12" s="121">
        <f>IF(OR($G12="",$J12="",$L12=""),"",IFERROR($G12+$J12+$L12*($G12+$J12),0))</f>
        <v/>
      </c>
      <c r="N12" s="122">
        <f>IF(OR($B12=""),"",IFERROR(MAX(0,DATEDIF($B12,raporTarihi,"D")),0))</f>
        <v/>
      </c>
    </row>
    <row r="13" ht="15" customHeight="1" s="75">
      <c r="A13" s="117" t="inlineStr">
        <is>
          <t>Fatma Arslan</t>
        </is>
      </c>
      <c r="B13" s="118" t="n">
        <v>42370</v>
      </c>
      <c r="C13" s="119" t="n">
        <v>48000</v>
      </c>
      <c r="D13" s="120" t="n">
        <v>47</v>
      </c>
      <c r="E13" s="120" t="n">
        <v>30</v>
      </c>
      <c r="F13" s="121">
        <f>IF(OR($A13="",$C13=""),"",IFERROR($C13/(UcretHesaplamaGun*GunlukCalismaSaat),0))</f>
        <v/>
      </c>
      <c r="G13" s="121">
        <f>IF(OR($F13="",$E13=""),"",IFERROR($F13*$E13*MesaiKatsayi,0))</f>
        <v/>
      </c>
      <c r="H13" s="122">
        <f>IF(OR($E13=""),"",IFERROR($E13*AySayisi,0))</f>
        <v/>
      </c>
      <c r="I13" s="122">
        <f>IF(OR($H13=""),"",IFERROR(MAX(0,$H13-YillikMesaiSinir),0))</f>
        <v/>
      </c>
      <c r="J13" s="121">
        <f>IF(OR($I13="",$F13=""),"",IFERROR($I13*$F13*MesaiKatsayi,0))</f>
        <v/>
      </c>
      <c r="K13" s="123">
        <f>IF(OR($G13=""),"",IFERROR($G13/MAX(BolumPaydaTaban,$C13),0))</f>
        <v/>
      </c>
      <c r="L13" s="123">
        <f>IF(OR($A13=""),"",IFERROR(IF(COUNTIF(tblKayit[Çalışan Adı],$A13)=0,0,1-MIN(1,SUMIF(tblKayit[Çalışan Adı],$A13,tblKayit[Belgelenen Mesai Saati])/MAX(BolumPaydaTaban,SUMIF(tblKayit[Çalışan Adı],$A13,tblKayit[Bildirilen Mesai Saati])))),0))</f>
        <v/>
      </c>
      <c r="M13" s="121">
        <f>IF(OR($G13="",$J13="",$L13=""),"",IFERROR($G13+$J13+$L13*($G13+$J13),0))</f>
        <v/>
      </c>
      <c r="N13" s="122">
        <f>IF(OR($B13=""),"",IFERROR(MAX(0,DATEDIF($B13,raporTarihi,"D")),0))</f>
        <v/>
      </c>
    </row>
    <row r="14" ht="15" customHeight="1" s="75">
      <c r="A14" s="117" t="inlineStr">
        <is>
          <t>İbrahim Korkmaz</t>
        </is>
      </c>
      <c r="B14" s="118" t="n">
        <v>41713</v>
      </c>
      <c r="C14" s="119" t="n">
        <v>62000</v>
      </c>
      <c r="D14" s="120" t="n">
        <v>45</v>
      </c>
      <c r="E14" s="120" t="n">
        <v>22</v>
      </c>
      <c r="F14" s="121">
        <f>IF(OR($A14="",$C14=""),"",IFERROR($C14/(UcretHesaplamaGun*GunlukCalismaSaat),0))</f>
        <v/>
      </c>
      <c r="G14" s="121">
        <f>IF(OR($F14="",$E14=""),"",IFERROR($F14*$E14*MesaiKatsayi,0))</f>
        <v/>
      </c>
      <c r="H14" s="122">
        <f>IF(OR($E14=""),"",IFERROR($E14*AySayisi,0))</f>
        <v/>
      </c>
      <c r="I14" s="122">
        <f>IF(OR($H14=""),"",IFERROR(MAX(0,$H14-YillikMesaiSinir),0))</f>
        <v/>
      </c>
      <c r="J14" s="121">
        <f>IF(OR($I14="",$F14=""),"",IFERROR($I14*$F14*MesaiKatsayi,0))</f>
        <v/>
      </c>
      <c r="K14" s="123">
        <f>IF(OR($G14=""),"",IFERROR($G14/MAX(BolumPaydaTaban,$C14),0))</f>
        <v/>
      </c>
      <c r="L14" s="123">
        <f>IF(OR($A14=""),"",IFERROR(IF(COUNTIF(tblKayit[Çalışan Adı],$A14)=0,0,1-MIN(1,SUMIF(tblKayit[Çalışan Adı],$A14,tblKayit[Belgelenen Mesai Saati])/MAX(BolumPaydaTaban,SUMIF(tblKayit[Çalışan Adı],$A14,tblKayit[Bildirilen Mesai Saati])))),0))</f>
        <v/>
      </c>
      <c r="M14" s="121">
        <f>IF(OR($G14="",$J14="",$L14=""),"",IFERROR($G14+$J14+$L14*($G14+$J14),0))</f>
        <v/>
      </c>
      <c r="N14" s="122">
        <f>IF(OR($B14=""),"",IFERROR(MAX(0,DATEDIF($B14,raporTarihi,"D")),0))</f>
        <v/>
      </c>
    </row>
    <row r="15" ht="15" customHeight="1" s="75">
      <c r="A15" s="117" t="inlineStr">
        <is>
          <t>Merve Çetin</t>
        </is>
      </c>
      <c r="B15" s="118" t="n">
        <v>44958</v>
      </c>
      <c r="C15" s="119" t="n">
        <v>26000</v>
      </c>
      <c r="D15" s="120" t="n">
        <v>44</v>
      </c>
      <c r="E15" s="120" t="n">
        <v>5</v>
      </c>
      <c r="F15" s="121">
        <f>IF(OR($A15="",$C15=""),"",IFERROR($C15/(UcretHesaplamaGun*GunlukCalismaSaat),0))</f>
        <v/>
      </c>
      <c r="G15" s="121">
        <f>IF(OR($F15="",$E15=""),"",IFERROR($F15*$E15*MesaiKatsayi,0))</f>
        <v/>
      </c>
      <c r="H15" s="122">
        <f>IF(OR($E15=""),"",IFERROR($E15*AySayisi,0))</f>
        <v/>
      </c>
      <c r="I15" s="122">
        <f>IF(OR($H15=""),"",IFERROR(MAX(0,$H15-YillikMesaiSinir),0))</f>
        <v/>
      </c>
      <c r="J15" s="121">
        <f>IF(OR($I15="",$F15=""),"",IFERROR($I15*$F15*MesaiKatsayi,0))</f>
        <v/>
      </c>
      <c r="K15" s="123">
        <f>IF(OR($G15=""),"",IFERROR($G15/MAX(BolumPaydaTaban,$C15),0))</f>
        <v/>
      </c>
      <c r="L15" s="123">
        <f>IF(OR($A15=""),"",IFERROR(IF(COUNTIF(tblKayit[Çalışan Adı],$A15)=0,0,1-MIN(1,SUMIF(tblKayit[Çalışan Adı],$A15,tblKayit[Belgelenen Mesai Saati])/MAX(BolumPaydaTaban,SUMIF(tblKayit[Çalışan Adı],$A15,tblKayit[Bildirilen Mesai Saati])))),0))</f>
        <v/>
      </c>
      <c r="M15" s="121">
        <f>IF(OR($G15="",$J15="",$L15=""),"",IFERROR($G15+$J15+$L15*($G15+$J15),0))</f>
        <v/>
      </c>
      <c r="N15" s="122">
        <f>IF(OR($B15=""),"",IFERROR(MAX(0,DATEDIF($B15,raporTarihi,"D")),0))</f>
        <v/>
      </c>
    </row>
    <row r="16" ht="15" customHeight="1" s="75">
      <c r="A16" s="117" t="inlineStr">
        <is>
          <t>Ali Doğan</t>
        </is>
      </c>
      <c r="B16" s="118" t="n">
        <v>42865</v>
      </c>
      <c r="C16" s="119" t="n">
        <v>52000</v>
      </c>
      <c r="D16" s="120" t="n">
        <v>49</v>
      </c>
      <c r="E16" s="120" t="n">
        <v>38</v>
      </c>
      <c r="F16" s="121">
        <f>IF(OR($A16="",$C16=""),"",IFERROR($C16/(UcretHesaplamaGun*GunlukCalismaSaat),0))</f>
        <v/>
      </c>
      <c r="G16" s="121">
        <f>IF(OR($F16="",$E16=""),"",IFERROR($F16*$E16*MesaiKatsayi,0))</f>
        <v/>
      </c>
      <c r="H16" s="122">
        <f>IF(OR($E16=""),"",IFERROR($E16*AySayisi,0))</f>
        <v/>
      </c>
      <c r="I16" s="122">
        <f>IF(OR($H16=""),"",IFERROR(MAX(0,$H16-YillikMesaiSinir),0))</f>
        <v/>
      </c>
      <c r="J16" s="121">
        <f>IF(OR($I16="",$F16=""),"",IFERROR($I16*$F16*MesaiKatsayi,0))</f>
        <v/>
      </c>
      <c r="K16" s="123">
        <f>IF(OR($G16=""),"",IFERROR($G16/MAX(BolumPaydaTaban,$C16),0))</f>
        <v/>
      </c>
      <c r="L16" s="123">
        <f>IF(OR($A16=""),"",IFERROR(IF(COUNTIF(tblKayit[Çalışan Adı],$A16)=0,0,1-MIN(1,SUMIF(tblKayit[Çalışan Adı],$A16,tblKayit[Belgelenen Mesai Saati])/MAX(BolumPaydaTaban,SUMIF(tblKayit[Çalışan Adı],$A16,tblKayit[Bildirilen Mesai Saati])))),0))</f>
        <v/>
      </c>
      <c r="M16" s="121">
        <f>IF(OR($G16="",$J16="",$L16=""),"",IFERROR($G16+$J16+$L16*($G16+$J16),0))</f>
        <v/>
      </c>
      <c r="N16" s="122">
        <f>IF(OR($B16=""),"",IFERROR(MAX(0,DATEDIF($B16,raporTarihi,"D")),0))</f>
        <v/>
      </c>
    </row>
    <row r="17" ht="15" customHeight="1" s="75">
      <c r="A17" s="117" t="inlineStr">
        <is>
          <t>Gülşah Öztürk</t>
        </is>
      </c>
      <c r="B17" s="118" t="n">
        <v>44044</v>
      </c>
      <c r="C17" s="119" t="n">
        <v>33000</v>
      </c>
      <c r="D17" s="120" t="n">
        <v>46</v>
      </c>
      <c r="E17" s="120" t="n">
        <v>18</v>
      </c>
      <c r="F17" s="121">
        <f>IF(OR($A17="",$C17=""),"",IFERROR($C17/(UcretHesaplamaGun*GunlukCalismaSaat),0))</f>
        <v/>
      </c>
      <c r="G17" s="121">
        <f>IF(OR($F17="",$E17=""),"",IFERROR($F17*$E17*MesaiKatsayi,0))</f>
        <v/>
      </c>
      <c r="H17" s="122">
        <f>IF(OR($E17=""),"",IFERROR($E17*AySayisi,0))</f>
        <v/>
      </c>
      <c r="I17" s="122">
        <f>IF(OR($H17=""),"",IFERROR(MAX(0,$H17-YillikMesaiSinir),0))</f>
        <v/>
      </c>
      <c r="J17" s="121">
        <f>IF(OR($I17="",$F17=""),"",IFERROR($I17*$F17*MesaiKatsayi,0))</f>
        <v/>
      </c>
      <c r="K17" s="123">
        <f>IF(OR($G17=""),"",IFERROR($G17/MAX(BolumPaydaTaban,$C17),0))</f>
        <v/>
      </c>
      <c r="L17" s="123">
        <f>IF(OR($A17=""),"",IFERROR(IF(COUNTIF(tblKayit[Çalışan Adı],$A17)=0,0,1-MIN(1,SUMIF(tblKayit[Çalışan Adı],$A17,tblKayit[Belgelenen Mesai Saati])/MAX(BolumPaydaTaban,SUMIF(tblKayit[Çalışan Adı],$A17,tblKayit[Bildirilen Mesai Saati])))),0))</f>
        <v/>
      </c>
      <c r="M17" s="121">
        <f>IF(OR($G17="",$J17="",$L17=""),"",IFERROR($G17+$J17+$L17*($G17+$J17),0))</f>
        <v/>
      </c>
      <c r="N17" s="122">
        <f>IF(OR($B17=""),"",IFERROR(MAX(0,DATEDIF($B17,raporTarihi,"D")),0))</f>
        <v/>
      </c>
    </row>
    <row r="18" ht="15" customHeight="1" s="75">
      <c r="A18" s="117" t="inlineStr">
        <is>
          <t>Kemal Yavuz</t>
        </is>
      </c>
      <c r="B18" s="118" t="n">
        <v>41214</v>
      </c>
      <c r="C18" s="119" t="n">
        <v>70000</v>
      </c>
      <c r="D18" s="120" t="n">
        <v>48</v>
      </c>
      <c r="E18" s="120" t="n">
        <v>42</v>
      </c>
      <c r="F18" s="121">
        <f>IF(OR($A18="",$C18=""),"",IFERROR($C18/(UcretHesaplamaGun*GunlukCalismaSaat),0))</f>
        <v/>
      </c>
      <c r="G18" s="121">
        <f>IF(OR($F18="",$E18=""),"",IFERROR($F18*$E18*MesaiKatsayi,0))</f>
        <v/>
      </c>
      <c r="H18" s="122">
        <f>IF(OR($E18=""),"",IFERROR($E18*AySayisi,0))</f>
        <v/>
      </c>
      <c r="I18" s="122">
        <f>IF(OR($H18=""),"",IFERROR(MAX(0,$H18-YillikMesaiSinir),0))</f>
        <v/>
      </c>
      <c r="J18" s="121">
        <f>IF(OR($I18="",$F18=""),"",IFERROR($I18*$F18*MesaiKatsayi,0))</f>
        <v/>
      </c>
      <c r="K18" s="123">
        <f>IF(OR($G18=""),"",IFERROR($G18/MAX(BolumPaydaTaban,$C18),0))</f>
        <v/>
      </c>
      <c r="L18" s="123">
        <f>IF(OR($A18=""),"",IFERROR(IF(COUNTIF(tblKayit[Çalışan Adı],$A18)=0,0,1-MIN(1,SUMIF(tblKayit[Çalışan Adı],$A18,tblKayit[Belgelenen Mesai Saati])/MAX(BolumPaydaTaban,SUMIF(tblKayit[Çalışan Adı],$A18,tblKayit[Bildirilen Mesai Saati])))),0))</f>
        <v/>
      </c>
      <c r="M18" s="121">
        <f>IF(OR($G18="",$J18="",$L18=""),"",IFERROR($G18+$J18+$L18*($G18+$J18),0))</f>
        <v/>
      </c>
      <c r="N18" s="122">
        <f>IF(OR($B18=""),"",IFERROR(MAX(0,DATEDIF($B18,raporTarihi,"D")),0))</f>
        <v/>
      </c>
    </row>
    <row r="19" ht="15" customHeight="1" s="75">
      <c r="A19" s="117" t="inlineStr">
        <is>
          <t>Selma Erdoğan</t>
        </is>
      </c>
      <c r="B19" s="118" t="n">
        <v>45306</v>
      </c>
      <c r="C19" s="119" t="n">
        <v>24000</v>
      </c>
      <c r="D19" s="120" t="n">
        <v>45</v>
      </c>
      <c r="E19" s="120" t="n">
        <v>3</v>
      </c>
      <c r="F19" s="121">
        <f>IF(OR($A19="",$C19=""),"",IFERROR($C19/(UcretHesaplamaGun*GunlukCalismaSaat),0))</f>
        <v/>
      </c>
      <c r="G19" s="121">
        <f>IF(OR($F19="",$E19=""),"",IFERROR($F19*$E19*MesaiKatsayi,0))</f>
        <v/>
      </c>
      <c r="H19" s="122">
        <f>IF(OR($E19=""),"",IFERROR($E19*AySayisi,0))</f>
        <v/>
      </c>
      <c r="I19" s="122">
        <f>IF(OR($H19=""),"",IFERROR(MAX(0,$H19-YillikMesaiSinir),0))</f>
        <v/>
      </c>
      <c r="J19" s="121">
        <f>IF(OR($I19="",$F19=""),"",IFERROR($I19*$F19*MesaiKatsayi,0))</f>
        <v/>
      </c>
      <c r="K19" s="123">
        <f>IF(OR($G19=""),"",IFERROR($G19/MAX(BolumPaydaTaban,$C19),0))</f>
        <v/>
      </c>
      <c r="L19" s="123">
        <f>IF(OR($A19=""),"",IFERROR(IF(COUNTIF(tblKayit[Çalışan Adı],$A19)=0,0,1-MIN(1,SUMIF(tblKayit[Çalışan Adı],$A19,tblKayit[Belgelenen Mesai Saati])/MAX(BolumPaydaTaban,SUMIF(tblKayit[Çalışan Adı],$A19,tblKayit[Bildirilen Mesai Saati])))),0))</f>
        <v/>
      </c>
      <c r="M19" s="121">
        <f>IF(OR($G19="",$J19="",$L19=""),"",IFERROR($G19+$J19+$L19*($G19+$J19),0))</f>
        <v/>
      </c>
      <c r="N19" s="122">
        <f>IF(OR($B19=""),"",IFERROR(MAX(0,DATEDIF($B19,raporTarihi,"D")),0))</f>
        <v/>
      </c>
    </row>
    <row r="20" ht="15" customHeight="1" s="75">
      <c r="A20" s="124" t="n"/>
      <c r="B20" s="125" t="n"/>
      <c r="C20" s="126" t="n"/>
      <c r="D20" s="127" t="n"/>
      <c r="E20" s="127" t="n"/>
      <c r="F20" s="128" t="n"/>
      <c r="G20" s="128" t="n"/>
      <c r="H20" s="129" t="n"/>
      <c r="I20" s="129" t="n"/>
      <c r="J20" s="128" t="n"/>
      <c r="K20" s="130" t="n"/>
      <c r="L20" s="130" t="n"/>
      <c r="M20" s="128" t="n"/>
      <c r="N20" s="129" t="n"/>
    </row>
    <row r="21" ht="15" customHeight="1" s="75">
      <c r="A21" s="124" t="n"/>
      <c r="B21" s="125" t="n"/>
      <c r="C21" s="126" t="n"/>
      <c r="D21" s="127" t="n"/>
      <c r="E21" s="127" t="n"/>
      <c r="F21" s="128" t="n"/>
      <c r="G21" s="128" t="n"/>
      <c r="H21" s="129" t="n"/>
      <c r="I21" s="129" t="n"/>
      <c r="J21" s="128" t="n"/>
      <c r="K21" s="130" t="n"/>
      <c r="L21" s="130" t="n"/>
      <c r="M21" s="128" t="n"/>
      <c r="N21" s="129" t="n"/>
    </row>
    <row r="22" ht="15" customHeight="1" s="75">
      <c r="A22" s="124" t="n"/>
      <c r="B22" s="125" t="n"/>
      <c r="C22" s="126" t="n"/>
      <c r="D22" s="127" t="n"/>
      <c r="E22" s="127" t="n"/>
      <c r="F22" s="128" t="n"/>
      <c r="G22" s="128" t="n"/>
      <c r="H22" s="129" t="n"/>
      <c r="I22" s="129" t="n"/>
      <c r="J22" s="128" t="n"/>
      <c r="K22" s="130" t="n"/>
      <c r="L22" s="130" t="n"/>
      <c r="M22" s="128" t="n"/>
      <c r="N22" s="129" t="n"/>
    </row>
    <row r="23" ht="15" customHeight="1" s="75">
      <c r="A23" s="124" t="n"/>
      <c r="B23" s="125" t="n"/>
      <c r="C23" s="126" t="n"/>
      <c r="D23" s="127" t="n"/>
      <c r="E23" s="127" t="n"/>
      <c r="F23" s="128" t="n"/>
      <c r="G23" s="128" t="n"/>
      <c r="H23" s="129" t="n"/>
      <c r="I23" s="129" t="n"/>
      <c r="J23" s="128" t="n"/>
      <c r="K23" s="130" t="n"/>
      <c r="L23" s="130" t="n"/>
      <c r="M23" s="128" t="n"/>
      <c r="N23" s="129" t="n"/>
    </row>
    <row r="24" ht="15" customHeight="1" s="75">
      <c r="A24" s="124" t="n"/>
      <c r="B24" s="125" t="n"/>
      <c r="C24" s="126" t="n"/>
      <c r="D24" s="127" t="n"/>
      <c r="E24" s="127" t="n"/>
      <c r="F24" s="128" t="n"/>
      <c r="G24" s="128" t="n"/>
      <c r="H24" s="129" t="n"/>
      <c r="I24" s="129" t="n"/>
      <c r="J24" s="128" t="n"/>
      <c r="K24" s="130" t="n"/>
      <c r="L24" s="130" t="n"/>
      <c r="M24" s="128" t="n"/>
      <c r="N24" s="129" t="n"/>
    </row>
    <row r="25" ht="15" customHeight="1" s="75">
      <c r="A25" s="124" t="n"/>
      <c r="B25" s="125" t="n"/>
      <c r="C25" s="126" t="n"/>
      <c r="D25" s="127" t="n"/>
      <c r="E25" s="127" t="n"/>
      <c r="F25" s="128" t="n"/>
      <c r="G25" s="128" t="n"/>
      <c r="H25" s="129" t="n"/>
      <c r="I25" s="129" t="n"/>
      <c r="J25" s="128" t="n"/>
      <c r="K25" s="130" t="n"/>
      <c r="L25" s="130" t="n"/>
      <c r="M25" s="128" t="n"/>
      <c r="N25" s="129" t="n"/>
    </row>
    <row r="26" ht="15" customHeight="1" s="75">
      <c r="A26" s="124" t="n"/>
      <c r="B26" s="125" t="n"/>
      <c r="C26" s="126" t="n"/>
      <c r="D26" s="127" t="n"/>
      <c r="E26" s="127" t="n"/>
      <c r="F26" s="128" t="n"/>
      <c r="G26" s="128" t="n"/>
      <c r="H26" s="129" t="n"/>
      <c r="I26" s="129" t="n"/>
      <c r="J26" s="128" t="n"/>
      <c r="K26" s="130" t="n"/>
      <c r="L26" s="130" t="n"/>
      <c r="M26" s="128" t="n"/>
      <c r="N26" s="129" t="n"/>
    </row>
    <row r="27" ht="15" customHeight="1" s="75">
      <c r="A27" s="124" t="n"/>
      <c r="B27" s="125" t="n"/>
      <c r="C27" s="126" t="n"/>
      <c r="D27" s="127" t="n"/>
      <c r="E27" s="127" t="n"/>
      <c r="F27" s="128" t="n"/>
      <c r="G27" s="128" t="n"/>
      <c r="H27" s="129" t="n"/>
      <c r="I27" s="129" t="n"/>
      <c r="J27" s="128" t="n"/>
      <c r="K27" s="130" t="n"/>
      <c r="L27" s="130" t="n"/>
      <c r="M27" s="128" t="n"/>
      <c r="N27" s="129" t="n"/>
    </row>
    <row r="28" ht="15" customHeight="1" s="75">
      <c r="A28" s="124" t="n"/>
      <c r="B28" s="125" t="n"/>
      <c r="C28" s="126" t="n"/>
      <c r="D28" s="127" t="n"/>
      <c r="E28" s="127" t="n"/>
      <c r="F28" s="128" t="n"/>
      <c r="G28" s="128" t="n"/>
      <c r="H28" s="129" t="n"/>
      <c r="I28" s="129" t="n"/>
      <c r="J28" s="128" t="n"/>
      <c r="K28" s="130" t="n"/>
      <c r="L28" s="130" t="n"/>
      <c r="M28" s="128" t="n"/>
      <c r="N28" s="129" t="n"/>
    </row>
    <row r="29" ht="15" customHeight="1" s="75">
      <c r="A29" s="124" t="n"/>
      <c r="B29" s="125" t="n"/>
      <c r="C29" s="126" t="n"/>
      <c r="D29" s="127" t="n"/>
      <c r="E29" s="127" t="n"/>
      <c r="F29" s="128" t="n"/>
      <c r="G29" s="128" t="n"/>
      <c r="H29" s="129" t="n"/>
      <c r="I29" s="129" t="n"/>
      <c r="J29" s="128" t="n"/>
      <c r="K29" s="130" t="n"/>
      <c r="L29" s="130" t="n"/>
      <c r="M29" s="128" t="n"/>
      <c r="N29" s="129" t="n"/>
    </row>
    <row r="30" ht="15" customHeight="1" s="75">
      <c r="A30" s="124" t="n"/>
      <c r="B30" s="125" t="n"/>
      <c r="C30" s="126" t="n"/>
      <c r="D30" s="127" t="n"/>
      <c r="E30" s="127" t="n"/>
      <c r="F30" s="128" t="n"/>
      <c r="G30" s="128" t="n"/>
      <c r="H30" s="129" t="n"/>
      <c r="I30" s="129" t="n"/>
      <c r="J30" s="128" t="n"/>
      <c r="K30" s="130" t="n"/>
      <c r="L30" s="130" t="n"/>
      <c r="M30" s="128" t="n"/>
      <c r="N30" s="129" t="n"/>
    </row>
    <row r="31" ht="15" customHeight="1" s="75">
      <c r="A31" s="124" t="n"/>
      <c r="B31" s="125" t="n"/>
      <c r="C31" s="126" t="n"/>
      <c r="D31" s="127" t="n"/>
      <c r="E31" s="127" t="n"/>
      <c r="F31" s="128" t="n"/>
      <c r="G31" s="128" t="n"/>
      <c r="H31" s="129" t="n"/>
      <c r="I31" s="129" t="n"/>
      <c r="J31" s="128" t="n"/>
      <c r="K31" s="130" t="n"/>
      <c r="L31" s="130" t="n"/>
      <c r="M31" s="128" t="n"/>
      <c r="N31" s="129" t="n"/>
    </row>
    <row r="32" ht="15" customHeight="1" s="75">
      <c r="A32" s="124" t="n"/>
      <c r="B32" s="125" t="n"/>
      <c r="C32" s="126" t="n"/>
      <c r="D32" s="127" t="n"/>
      <c r="E32" s="127" t="n"/>
      <c r="F32" s="128" t="n"/>
      <c r="G32" s="128" t="n"/>
      <c r="H32" s="129" t="n"/>
      <c r="I32" s="129" t="n"/>
      <c r="J32" s="128" t="n"/>
      <c r="K32" s="130" t="n"/>
      <c r="L32" s="130" t="n"/>
      <c r="M32" s="128" t="n"/>
      <c r="N32" s="129" t="n"/>
    </row>
    <row r="33" ht="15" customHeight="1" s="75">
      <c r="A33" s="124" t="n"/>
      <c r="B33" s="125" t="n"/>
      <c r="C33" s="126" t="n"/>
      <c r="D33" s="127" t="n"/>
      <c r="E33" s="127" t="n"/>
      <c r="F33" s="128" t="n"/>
      <c r="G33" s="128" t="n"/>
      <c r="H33" s="129" t="n"/>
      <c r="I33" s="129" t="n"/>
      <c r="J33" s="128" t="n"/>
      <c r="K33" s="130" t="n"/>
      <c r="L33" s="130" t="n"/>
      <c r="M33" s="128" t="n"/>
      <c r="N33" s="129" t="n"/>
    </row>
    <row r="34" ht="15" customHeight="1" s="75">
      <c r="A34" s="124" t="n"/>
      <c r="B34" s="125" t="n"/>
      <c r="C34" s="126" t="n"/>
      <c r="D34" s="127" t="n"/>
      <c r="E34" s="127" t="n"/>
      <c r="F34" s="128" t="n"/>
      <c r="G34" s="128" t="n"/>
      <c r="H34" s="129" t="n"/>
      <c r="I34" s="129" t="n"/>
      <c r="J34" s="128" t="n"/>
      <c r="K34" s="130" t="n"/>
      <c r="L34" s="130" t="n"/>
      <c r="M34" s="128" t="n"/>
      <c r="N34" s="129" t="n"/>
    </row>
    <row r="35" ht="15" customHeight="1" s="75">
      <c r="A35" s="124" t="n"/>
      <c r="B35" s="125" t="n"/>
      <c r="C35" s="126" t="n"/>
      <c r="D35" s="127" t="n"/>
      <c r="E35" s="127" t="n"/>
      <c r="F35" s="128" t="n"/>
      <c r="G35" s="128" t="n"/>
      <c r="H35" s="129" t="n"/>
      <c r="I35" s="129" t="n"/>
      <c r="J35" s="128" t="n"/>
      <c r="K35" s="130" t="n"/>
      <c r="L35" s="130" t="n"/>
      <c r="M35" s="128" t="n"/>
      <c r="N35" s="129" t="n"/>
    </row>
    <row r="36" ht="15" customHeight="1" s="75">
      <c r="A36" s="124" t="n"/>
      <c r="B36" s="125" t="n"/>
      <c r="C36" s="126" t="n"/>
      <c r="D36" s="127" t="n"/>
      <c r="E36" s="127" t="n"/>
      <c r="F36" s="128" t="n"/>
      <c r="G36" s="128" t="n"/>
      <c r="H36" s="129" t="n"/>
      <c r="I36" s="129" t="n"/>
      <c r="J36" s="128" t="n"/>
      <c r="K36" s="130" t="n"/>
      <c r="L36" s="130" t="n"/>
      <c r="M36" s="128" t="n"/>
      <c r="N36" s="129" t="n"/>
    </row>
    <row r="37" ht="15" customHeight="1" s="75">
      <c r="A37" s="124" t="n"/>
      <c r="B37" s="125" t="n"/>
      <c r="C37" s="126" t="n"/>
      <c r="D37" s="127" t="n"/>
      <c r="E37" s="127" t="n"/>
      <c r="F37" s="128" t="n"/>
      <c r="G37" s="128" t="n"/>
      <c r="H37" s="129" t="n"/>
      <c r="I37" s="129" t="n"/>
      <c r="J37" s="128" t="n"/>
      <c r="K37" s="130" t="n"/>
      <c r="L37" s="130" t="n"/>
      <c r="M37" s="128" t="n"/>
      <c r="N37" s="129" t="n"/>
    </row>
    <row r="38" ht="15" customHeight="1" s="75">
      <c r="A38" s="124" t="n"/>
      <c r="B38" s="125" t="n"/>
      <c r="C38" s="126" t="n"/>
      <c r="D38" s="127" t="n"/>
      <c r="E38" s="127" t="n"/>
      <c r="F38" s="128" t="n"/>
      <c r="G38" s="128" t="n"/>
      <c r="H38" s="129" t="n"/>
      <c r="I38" s="129" t="n"/>
      <c r="J38" s="128" t="n"/>
      <c r="K38" s="130" t="n"/>
      <c r="L38" s="130" t="n"/>
      <c r="M38" s="128" t="n"/>
      <c r="N38" s="129" t="n"/>
    </row>
    <row r="39" ht="15" customHeight="1" s="75">
      <c r="A39" s="124" t="n"/>
      <c r="B39" s="125" t="n"/>
      <c r="C39" s="126" t="n"/>
      <c r="D39" s="127" t="n"/>
      <c r="E39" s="127" t="n"/>
      <c r="F39" s="128" t="n"/>
      <c r="G39" s="128" t="n"/>
      <c r="H39" s="129" t="n"/>
      <c r="I39" s="129" t="n"/>
      <c r="J39" s="128" t="n"/>
      <c r="K39" s="130" t="n"/>
      <c r="L39" s="130" t="n"/>
      <c r="M39" s="128" t="n"/>
      <c r="N39" s="129" t="n"/>
    </row>
    <row r="40" ht="15" customHeight="1" s="75">
      <c r="A40" s="124" t="n"/>
      <c r="B40" s="125" t="n"/>
      <c r="C40" s="126" t="n"/>
      <c r="D40" s="127" t="n"/>
      <c r="E40" s="127" t="n"/>
      <c r="F40" s="128" t="n"/>
      <c r="G40" s="128" t="n"/>
      <c r="H40" s="129" t="n"/>
      <c r="I40" s="129" t="n"/>
      <c r="J40" s="128" t="n"/>
      <c r="K40" s="130" t="n"/>
      <c r="L40" s="130" t="n"/>
      <c r="M40" s="128" t="n"/>
      <c r="N40" s="129" t="n"/>
    </row>
    <row r="41" ht="15" customHeight="1" s="75">
      <c r="A41" s="124" t="n"/>
      <c r="B41" s="125" t="n"/>
      <c r="C41" s="126" t="n"/>
      <c r="D41" s="127" t="n"/>
      <c r="E41" s="127" t="n"/>
      <c r="F41" s="128" t="n"/>
      <c r="G41" s="128" t="n"/>
      <c r="H41" s="129" t="n"/>
      <c r="I41" s="129" t="n"/>
      <c r="J41" s="128" t="n"/>
      <c r="K41" s="130" t="n"/>
      <c r="L41" s="130" t="n"/>
      <c r="M41" s="128" t="n"/>
      <c r="N41" s="129" t="n"/>
    </row>
    <row r="42" ht="15" customHeight="1" s="75">
      <c r="A42" s="124" t="n"/>
      <c r="B42" s="125" t="n"/>
      <c r="C42" s="126" t="n"/>
      <c r="D42" s="127" t="n"/>
      <c r="E42" s="127" t="n"/>
      <c r="F42" s="128" t="n"/>
      <c r="G42" s="128" t="n"/>
      <c r="H42" s="129" t="n"/>
      <c r="I42" s="129" t="n"/>
      <c r="J42" s="128" t="n"/>
      <c r="K42" s="130" t="n"/>
      <c r="L42" s="130" t="n"/>
      <c r="M42" s="128" t="n"/>
      <c r="N42" s="129" t="n"/>
    </row>
    <row r="43" ht="15" customHeight="1" s="75">
      <c r="A43" s="124" t="n"/>
      <c r="B43" s="125" t="n"/>
      <c r="C43" s="126" t="n"/>
      <c r="D43" s="127" t="n"/>
      <c r="E43" s="127" t="n"/>
      <c r="F43" s="128" t="n"/>
      <c r="G43" s="128" t="n"/>
      <c r="H43" s="129" t="n"/>
      <c r="I43" s="129" t="n"/>
      <c r="J43" s="128" t="n"/>
      <c r="K43" s="130" t="n"/>
      <c r="L43" s="130" t="n"/>
      <c r="M43" s="128" t="n"/>
      <c r="N43" s="129" t="n"/>
    </row>
    <row r="44" ht="15" customHeight="1" s="75">
      <c r="A44" s="124" t="n"/>
      <c r="B44" s="125" t="n"/>
      <c r="C44" s="126" t="n"/>
      <c r="D44" s="127" t="n"/>
      <c r="E44" s="127" t="n"/>
      <c r="F44" s="128" t="n"/>
      <c r="G44" s="128" t="n"/>
      <c r="H44" s="129" t="n"/>
      <c r="I44" s="129" t="n"/>
      <c r="J44" s="128" t="n"/>
      <c r="K44" s="130" t="n"/>
      <c r="L44" s="130" t="n"/>
      <c r="M44" s="128" t="n"/>
      <c r="N44" s="129" t="n"/>
    </row>
    <row r="45" ht="15" customHeight="1" s="75">
      <c r="A45" s="124" t="n"/>
      <c r="B45" s="125" t="n"/>
      <c r="C45" s="126" t="n"/>
      <c r="D45" s="127" t="n"/>
      <c r="E45" s="127" t="n"/>
      <c r="F45" s="128" t="n"/>
      <c r="G45" s="128" t="n"/>
      <c r="H45" s="129" t="n"/>
      <c r="I45" s="129" t="n"/>
      <c r="J45" s="128" t="n"/>
      <c r="K45" s="130" t="n"/>
      <c r="L45" s="130" t="n"/>
      <c r="M45" s="128" t="n"/>
      <c r="N45" s="129" t="n"/>
    </row>
    <row r="46" ht="15" customHeight="1" s="75">
      <c r="A46" s="124" t="n"/>
      <c r="B46" s="125" t="n"/>
      <c r="C46" s="126" t="n"/>
      <c r="D46" s="127" t="n"/>
      <c r="E46" s="127" t="n"/>
      <c r="F46" s="128" t="n"/>
      <c r="G46" s="128" t="n"/>
      <c r="H46" s="129" t="n"/>
      <c r="I46" s="129" t="n"/>
      <c r="J46" s="128" t="n"/>
      <c r="K46" s="130" t="n"/>
      <c r="L46" s="130" t="n"/>
      <c r="M46" s="128" t="n"/>
      <c r="N46" s="129" t="n"/>
    </row>
    <row r="47" ht="15" customHeight="1" s="75">
      <c r="A47" s="124" t="n"/>
      <c r="B47" s="125" t="n"/>
      <c r="C47" s="126" t="n"/>
      <c r="D47" s="127" t="n"/>
      <c r="E47" s="127" t="n"/>
      <c r="F47" s="128" t="n"/>
      <c r="G47" s="128" t="n"/>
      <c r="H47" s="129" t="n"/>
      <c r="I47" s="129" t="n"/>
      <c r="J47" s="128" t="n"/>
      <c r="K47" s="130" t="n"/>
      <c r="L47" s="130" t="n"/>
      <c r="M47" s="128" t="n"/>
      <c r="N47" s="129" t="n"/>
    </row>
    <row r="48" ht="15" customHeight="1" s="75">
      <c r="A48" s="124" t="n"/>
      <c r="B48" s="125" t="n"/>
      <c r="C48" s="126" t="n"/>
      <c r="D48" s="127" t="n"/>
      <c r="E48" s="127" t="n"/>
      <c r="F48" s="128" t="n"/>
      <c r="G48" s="128" t="n"/>
      <c r="H48" s="129" t="n"/>
      <c r="I48" s="129" t="n"/>
      <c r="J48" s="128" t="n"/>
      <c r="K48" s="130" t="n"/>
      <c r="L48" s="130" t="n"/>
      <c r="M48" s="128" t="n"/>
      <c r="N48" s="129" t="n"/>
    </row>
    <row r="49" ht="15" customHeight="1" s="75">
      <c r="A49" s="124" t="n"/>
      <c r="B49" s="125" t="n"/>
      <c r="C49" s="126" t="n"/>
      <c r="D49" s="127" t="n"/>
      <c r="E49" s="127" t="n"/>
      <c r="F49" s="128" t="n"/>
      <c r="G49" s="128" t="n"/>
      <c r="H49" s="129" t="n"/>
      <c r="I49" s="129" t="n"/>
      <c r="J49" s="128" t="n"/>
      <c r="K49" s="130" t="n"/>
      <c r="L49" s="130" t="n"/>
      <c r="M49" s="128" t="n"/>
      <c r="N49" s="129" t="n"/>
    </row>
    <row r="50" ht="15" customHeight="1" s="75">
      <c r="A50" s="124" t="n"/>
      <c r="B50" s="125" t="n"/>
      <c r="C50" s="126" t="n"/>
      <c r="D50" s="127" t="n"/>
      <c r="E50" s="127" t="n"/>
      <c r="F50" s="128" t="n"/>
      <c r="G50" s="128" t="n"/>
      <c r="H50" s="129" t="n"/>
      <c r="I50" s="129" t="n"/>
      <c r="J50" s="128" t="n"/>
      <c r="K50" s="130" t="n"/>
      <c r="L50" s="130" t="n"/>
      <c r="M50" s="128" t="n"/>
      <c r="N50" s="129" t="n"/>
    </row>
    <row r="51" ht="15" customHeight="1" s="75">
      <c r="A51" s="124" t="n"/>
      <c r="B51" s="125" t="n"/>
      <c r="C51" s="126" t="n"/>
      <c r="D51" s="127" t="n"/>
      <c r="E51" s="127" t="n"/>
      <c r="F51" s="128" t="n"/>
      <c r="G51" s="128" t="n"/>
      <c r="H51" s="129" t="n"/>
      <c r="I51" s="129" t="n"/>
      <c r="J51" s="128" t="n"/>
      <c r="K51" s="130" t="n"/>
      <c r="L51" s="130" t="n"/>
      <c r="M51" s="128" t="n"/>
      <c r="N51" s="129" t="n"/>
    </row>
    <row r="52" ht="15" customHeight="1" s="75">
      <c r="A52" s="124" t="n"/>
      <c r="B52" s="125" t="n"/>
      <c r="C52" s="126" t="n"/>
      <c r="D52" s="127" t="n"/>
      <c r="E52" s="127" t="n"/>
      <c r="F52" s="128" t="n"/>
      <c r="G52" s="128" t="n"/>
      <c r="H52" s="129" t="n"/>
      <c r="I52" s="129" t="n"/>
      <c r="J52" s="128" t="n"/>
      <c r="K52" s="130" t="n"/>
      <c r="L52" s="130" t="n"/>
      <c r="M52" s="128" t="n"/>
      <c r="N52" s="129" t="n"/>
    </row>
    <row r="53" ht="15" customHeight="1" s="75">
      <c r="A53" s="124" t="n"/>
      <c r="B53" s="125" t="n"/>
      <c r="C53" s="126" t="n"/>
      <c r="D53" s="127" t="n"/>
      <c r="E53" s="127" t="n"/>
      <c r="F53" s="128" t="n"/>
      <c r="G53" s="128" t="n"/>
      <c r="H53" s="129" t="n"/>
      <c r="I53" s="129" t="n"/>
      <c r="J53" s="128" t="n"/>
      <c r="K53" s="130" t="n"/>
      <c r="L53" s="130" t="n"/>
      <c r="M53" s="128" t="n"/>
      <c r="N53" s="129" t="n"/>
    </row>
    <row r="54" ht="15" customHeight="1" s="75">
      <c r="A54" s="124" t="n"/>
      <c r="B54" s="125" t="n"/>
      <c r="C54" s="126" t="n"/>
      <c r="D54" s="127" t="n"/>
      <c r="E54" s="127" t="n"/>
      <c r="F54" s="128" t="n"/>
      <c r="G54" s="128" t="n"/>
      <c r="H54" s="129" t="n"/>
      <c r="I54" s="129" t="n"/>
      <c r="J54" s="128" t="n"/>
      <c r="K54" s="130" t="n"/>
      <c r="L54" s="130" t="n"/>
      <c r="M54" s="128" t="n"/>
      <c r="N54" s="129" t="n"/>
    </row>
    <row r="55" ht="15" customHeight="1" s="75">
      <c r="A55" s="124" t="n"/>
      <c r="B55" s="125" t="n"/>
      <c r="C55" s="126" t="n"/>
      <c r="D55" s="127" t="n"/>
      <c r="E55" s="127" t="n"/>
      <c r="F55" s="128" t="n"/>
      <c r="G55" s="128" t="n"/>
      <c r="H55" s="129" t="n"/>
      <c r="I55" s="129" t="n"/>
      <c r="J55" s="128" t="n"/>
      <c r="K55" s="130" t="n"/>
      <c r="L55" s="130" t="n"/>
      <c r="M55" s="128" t="n"/>
      <c r="N55" s="129" t="n"/>
    </row>
    <row r="56" ht="15" customHeight="1" s="75">
      <c r="A56" s="124" t="n"/>
      <c r="B56" s="125" t="n"/>
      <c r="C56" s="126" t="n"/>
      <c r="D56" s="127" t="n"/>
      <c r="E56" s="127" t="n"/>
      <c r="F56" s="128" t="n"/>
      <c r="G56" s="128" t="n"/>
      <c r="H56" s="129" t="n"/>
      <c r="I56" s="129" t="n"/>
      <c r="J56" s="128" t="n"/>
      <c r="K56" s="130" t="n"/>
      <c r="L56" s="130" t="n"/>
      <c r="M56" s="128" t="n"/>
      <c r="N56" s="129" t="n"/>
    </row>
    <row r="57" ht="15" customHeight="1" s="75">
      <c r="A57" s="124" t="n"/>
      <c r="B57" s="125" t="n"/>
      <c r="C57" s="126" t="n"/>
      <c r="D57" s="127" t="n"/>
      <c r="E57" s="127" t="n"/>
      <c r="F57" s="128" t="n"/>
      <c r="G57" s="128" t="n"/>
      <c r="H57" s="129" t="n"/>
      <c r="I57" s="129" t="n"/>
      <c r="J57" s="128" t="n"/>
      <c r="K57" s="130" t="n"/>
      <c r="L57" s="130" t="n"/>
      <c r="M57" s="128" t="n"/>
      <c r="N57" s="129" t="n"/>
    </row>
    <row r="58" ht="15" customHeight="1" s="75">
      <c r="A58" s="124" t="n"/>
      <c r="B58" s="125" t="n"/>
      <c r="C58" s="126" t="n"/>
      <c r="D58" s="127" t="n"/>
      <c r="E58" s="127" t="n"/>
      <c r="F58" s="128" t="n"/>
      <c r="G58" s="128" t="n"/>
      <c r="H58" s="129" t="n"/>
      <c r="I58" s="129" t="n"/>
      <c r="J58" s="128" t="n"/>
      <c r="K58" s="130" t="n"/>
      <c r="L58" s="130" t="n"/>
      <c r="M58" s="128" t="n"/>
      <c r="N58" s="129" t="n"/>
    </row>
    <row r="59" ht="15" customHeight="1" s="75">
      <c r="A59" s="124" t="n"/>
      <c r="B59" s="125" t="n"/>
      <c r="C59" s="126" t="n"/>
      <c r="D59" s="127" t="n"/>
      <c r="E59" s="127" t="n"/>
      <c r="F59" s="128" t="n"/>
      <c r="G59" s="128" t="n"/>
      <c r="H59" s="129" t="n"/>
      <c r="I59" s="129" t="n"/>
      <c r="J59" s="128" t="n"/>
      <c r="K59" s="130" t="n"/>
      <c r="L59" s="130" t="n"/>
      <c r="M59" s="128" t="n"/>
      <c r="N59" s="129" t="n"/>
    </row>
    <row r="60" ht="15" customHeight="1" s="75">
      <c r="A60" s="124" t="n"/>
      <c r="B60" s="125" t="n"/>
      <c r="C60" s="126" t="n"/>
      <c r="D60" s="127" t="n"/>
      <c r="E60" s="127" t="n"/>
      <c r="F60" s="128" t="n"/>
      <c r="G60" s="128" t="n"/>
      <c r="H60" s="129" t="n"/>
      <c r="I60" s="129" t="n"/>
      <c r="J60" s="128" t="n"/>
      <c r="K60" s="130" t="n"/>
      <c r="L60" s="130" t="n"/>
      <c r="M60" s="128" t="n"/>
      <c r="N60" s="129" t="n"/>
    </row>
    <row r="61" ht="15" customHeight="1" s="75">
      <c r="A61" s="124" t="n"/>
      <c r="B61" s="125" t="n"/>
      <c r="C61" s="126" t="n"/>
      <c r="D61" s="127" t="n"/>
      <c r="E61" s="127" t="n"/>
      <c r="F61" s="128" t="n"/>
      <c r="G61" s="128" t="n"/>
      <c r="H61" s="129" t="n"/>
      <c r="I61" s="129" t="n"/>
      <c r="J61" s="128" t="n"/>
      <c r="K61" s="130" t="n"/>
      <c r="L61" s="130" t="n"/>
      <c r="M61" s="128" t="n"/>
      <c r="N61" s="129" t="n"/>
    </row>
    <row r="62" ht="15" customHeight="1" s="75">
      <c r="A62" s="124" t="n"/>
      <c r="B62" s="125" t="n"/>
      <c r="C62" s="126" t="n"/>
      <c r="D62" s="127" t="n"/>
      <c r="E62" s="127" t="n"/>
      <c r="F62" s="128" t="n"/>
      <c r="G62" s="128" t="n"/>
      <c r="H62" s="129" t="n"/>
      <c r="I62" s="129" t="n"/>
      <c r="J62" s="128" t="n"/>
      <c r="K62" s="130" t="n"/>
      <c r="L62" s="130" t="n"/>
      <c r="M62" s="128" t="n"/>
      <c r="N62" s="129" t="n"/>
    </row>
    <row r="63" ht="15" customHeight="1" s="75">
      <c r="A63" s="124" t="n"/>
      <c r="B63" s="125" t="n"/>
      <c r="C63" s="126" t="n"/>
      <c r="D63" s="127" t="n"/>
      <c r="E63" s="127" t="n"/>
      <c r="F63" s="128" t="n"/>
      <c r="G63" s="128" t="n"/>
      <c r="H63" s="129" t="n"/>
      <c r="I63" s="129" t="n"/>
      <c r="J63" s="128" t="n"/>
      <c r="K63" s="130" t="n"/>
      <c r="L63" s="130" t="n"/>
      <c r="M63" s="128" t="n"/>
      <c r="N63" s="129" t="n"/>
    </row>
    <row r="64" ht="15" customHeight="1" s="75">
      <c r="A64" s="124" t="n"/>
      <c r="B64" s="125" t="n"/>
      <c r="C64" s="126" t="n"/>
      <c r="D64" s="127" t="n"/>
      <c r="E64" s="127" t="n"/>
      <c r="F64" s="128" t="n"/>
      <c r="G64" s="128" t="n"/>
      <c r="H64" s="129" t="n"/>
      <c r="I64" s="129" t="n"/>
      <c r="J64" s="128" t="n"/>
      <c r="K64" s="130" t="n"/>
      <c r="L64" s="130" t="n"/>
      <c r="M64" s="128" t="n"/>
      <c r="N64" s="129" t="n"/>
    </row>
    <row r="65" ht="15" customHeight="1" s="75">
      <c r="A65" s="124" t="n"/>
      <c r="B65" s="125" t="n"/>
      <c r="C65" s="126" t="n"/>
      <c r="D65" s="127" t="n"/>
      <c r="E65" s="127" t="n"/>
      <c r="F65" s="128" t="n"/>
      <c r="G65" s="128" t="n"/>
      <c r="H65" s="129" t="n"/>
      <c r="I65" s="129" t="n"/>
      <c r="J65" s="128" t="n"/>
      <c r="K65" s="130" t="n"/>
      <c r="L65" s="130" t="n"/>
      <c r="M65" s="128" t="n"/>
      <c r="N65" s="129" t="n"/>
    </row>
    <row r="66" ht="15" customHeight="1" s="75">
      <c r="A66" s="124" t="n"/>
      <c r="B66" s="125" t="n"/>
      <c r="C66" s="126" t="n"/>
      <c r="D66" s="127" t="n"/>
      <c r="E66" s="127" t="n"/>
      <c r="F66" s="128" t="n"/>
      <c r="G66" s="128" t="n"/>
      <c r="H66" s="129" t="n"/>
      <c r="I66" s="129" t="n"/>
      <c r="J66" s="128" t="n"/>
      <c r="K66" s="130" t="n"/>
      <c r="L66" s="130" t="n"/>
      <c r="M66" s="128" t="n"/>
      <c r="N66" s="129" t="n"/>
    </row>
    <row r="67" ht="15" customHeight="1" s="75">
      <c r="A67" s="124" t="n"/>
      <c r="B67" s="125" t="n"/>
      <c r="C67" s="126" t="n"/>
      <c r="D67" s="127" t="n"/>
      <c r="E67" s="127" t="n"/>
      <c r="F67" s="128" t="n"/>
      <c r="G67" s="128" t="n"/>
      <c r="H67" s="129" t="n"/>
      <c r="I67" s="129" t="n"/>
      <c r="J67" s="128" t="n"/>
      <c r="K67" s="130" t="n"/>
      <c r="L67" s="130" t="n"/>
      <c r="M67" s="128" t="n"/>
      <c r="N67" s="129" t="n"/>
    </row>
    <row r="68" ht="15" customHeight="1" s="75">
      <c r="A68" s="124" t="n"/>
      <c r="B68" s="125" t="n"/>
      <c r="C68" s="126" t="n"/>
      <c r="D68" s="127" t="n"/>
      <c r="E68" s="127" t="n"/>
      <c r="F68" s="128" t="n"/>
      <c r="G68" s="128" t="n"/>
      <c r="H68" s="129" t="n"/>
      <c r="I68" s="129" t="n"/>
      <c r="J68" s="128" t="n"/>
      <c r="K68" s="130" t="n"/>
      <c r="L68" s="130" t="n"/>
      <c r="M68" s="128" t="n"/>
      <c r="N68" s="129" t="n"/>
    </row>
    <row r="69" ht="15" customHeight="1" s="75">
      <c r="A69" s="124" t="n"/>
      <c r="B69" s="125" t="n"/>
      <c r="C69" s="126" t="n"/>
      <c r="D69" s="127" t="n"/>
      <c r="E69" s="127" t="n"/>
      <c r="F69" s="128" t="n"/>
      <c r="G69" s="128" t="n"/>
      <c r="H69" s="129" t="n"/>
      <c r="I69" s="129" t="n"/>
      <c r="J69" s="128" t="n"/>
      <c r="K69" s="130" t="n"/>
      <c r="L69" s="130" t="n"/>
      <c r="M69" s="128" t="n"/>
      <c r="N69" s="129" t="n"/>
    </row>
    <row r="70" ht="15" customHeight="1" s="75">
      <c r="A70" s="124" t="n"/>
      <c r="B70" s="125" t="n"/>
      <c r="C70" s="126" t="n"/>
      <c r="D70" s="127" t="n"/>
      <c r="E70" s="127" t="n"/>
      <c r="F70" s="128" t="n"/>
      <c r="G70" s="128" t="n"/>
      <c r="H70" s="129" t="n"/>
      <c r="I70" s="129" t="n"/>
      <c r="J70" s="128" t="n"/>
      <c r="K70" s="130" t="n"/>
      <c r="L70" s="130" t="n"/>
      <c r="M70" s="128" t="n"/>
      <c r="N70" s="129" t="n"/>
    </row>
    <row r="71" ht="15" customHeight="1" s="75">
      <c r="A71" s="124" t="n"/>
      <c r="B71" s="125" t="n"/>
      <c r="C71" s="126" t="n"/>
      <c r="D71" s="127" t="n"/>
      <c r="E71" s="127" t="n"/>
      <c r="F71" s="128" t="n"/>
      <c r="G71" s="128" t="n"/>
      <c r="H71" s="129" t="n"/>
      <c r="I71" s="129" t="n"/>
      <c r="J71" s="128" t="n"/>
      <c r="K71" s="130" t="n"/>
      <c r="L71" s="130" t="n"/>
      <c r="M71" s="128" t="n"/>
      <c r="N71" s="129" t="n"/>
    </row>
    <row r="72" ht="15" customHeight="1" s="75">
      <c r="A72" s="124" t="n"/>
      <c r="B72" s="125" t="n"/>
      <c r="C72" s="126" t="n"/>
      <c r="D72" s="127" t="n"/>
      <c r="E72" s="127" t="n"/>
      <c r="F72" s="128" t="n"/>
      <c r="G72" s="128" t="n"/>
      <c r="H72" s="129" t="n"/>
      <c r="I72" s="129" t="n"/>
      <c r="J72" s="128" t="n"/>
      <c r="K72" s="130" t="n"/>
      <c r="L72" s="130" t="n"/>
      <c r="M72" s="128" t="n"/>
      <c r="N72" s="129" t="n"/>
    </row>
    <row r="73" ht="15" customHeight="1" s="75">
      <c r="A73" s="124" t="n"/>
      <c r="B73" s="125" t="n"/>
      <c r="C73" s="126" t="n"/>
      <c r="D73" s="127" t="n"/>
      <c r="E73" s="127" t="n"/>
      <c r="F73" s="128" t="n"/>
      <c r="G73" s="128" t="n"/>
      <c r="H73" s="129" t="n"/>
      <c r="I73" s="129" t="n"/>
      <c r="J73" s="128" t="n"/>
      <c r="K73" s="130" t="n"/>
      <c r="L73" s="130" t="n"/>
      <c r="M73" s="128" t="n"/>
      <c r="N73" s="129" t="n"/>
    </row>
    <row r="74" ht="15" customHeight="1" s="75">
      <c r="A74" s="124" t="n"/>
      <c r="B74" s="125" t="n"/>
      <c r="C74" s="126" t="n"/>
      <c r="D74" s="127" t="n"/>
      <c r="E74" s="127" t="n"/>
      <c r="F74" s="128" t="n"/>
      <c r="G74" s="128" t="n"/>
      <c r="H74" s="129" t="n"/>
      <c r="I74" s="129" t="n"/>
      <c r="J74" s="128" t="n"/>
      <c r="K74" s="130" t="n"/>
      <c r="L74" s="130" t="n"/>
      <c r="M74" s="128" t="n"/>
      <c r="N74" s="129" t="n"/>
    </row>
    <row r="75" ht="15" customHeight="1" s="75">
      <c r="A75" s="124" t="n"/>
      <c r="B75" s="125" t="n"/>
      <c r="C75" s="126" t="n"/>
      <c r="D75" s="127" t="n"/>
      <c r="E75" s="127" t="n"/>
      <c r="F75" s="128" t="n"/>
      <c r="G75" s="128" t="n"/>
      <c r="H75" s="129" t="n"/>
      <c r="I75" s="129" t="n"/>
      <c r="J75" s="128" t="n"/>
      <c r="K75" s="130" t="n"/>
      <c r="L75" s="130" t="n"/>
      <c r="M75" s="128" t="n"/>
      <c r="N75" s="129" t="n"/>
    </row>
    <row r="76" ht="15" customHeight="1" s="75">
      <c r="A76" s="124" t="n"/>
      <c r="B76" s="125" t="n"/>
      <c r="C76" s="126" t="n"/>
      <c r="D76" s="127" t="n"/>
      <c r="E76" s="127" t="n"/>
      <c r="F76" s="128" t="n"/>
      <c r="G76" s="128" t="n"/>
      <c r="H76" s="129" t="n"/>
      <c r="I76" s="129" t="n"/>
      <c r="J76" s="128" t="n"/>
      <c r="K76" s="130" t="n"/>
      <c r="L76" s="130" t="n"/>
      <c r="M76" s="128" t="n"/>
      <c r="N76" s="129" t="n"/>
    </row>
    <row r="77" ht="15" customHeight="1" s="75">
      <c r="A77" s="124" t="n"/>
      <c r="B77" s="125" t="n"/>
      <c r="C77" s="126" t="n"/>
      <c r="D77" s="127" t="n"/>
      <c r="E77" s="127" t="n"/>
      <c r="F77" s="128" t="n"/>
      <c r="G77" s="128" t="n"/>
      <c r="H77" s="129" t="n"/>
      <c r="I77" s="129" t="n"/>
      <c r="J77" s="128" t="n"/>
      <c r="K77" s="130" t="n"/>
      <c r="L77" s="130" t="n"/>
      <c r="M77" s="128" t="n"/>
      <c r="N77" s="129" t="n"/>
    </row>
    <row r="78" ht="15" customHeight="1" s="75">
      <c r="A78" s="124" t="n"/>
      <c r="B78" s="125" t="n"/>
      <c r="C78" s="126" t="n"/>
      <c r="D78" s="127" t="n"/>
      <c r="E78" s="127" t="n"/>
      <c r="F78" s="128" t="n"/>
      <c r="G78" s="128" t="n"/>
      <c r="H78" s="129" t="n"/>
      <c r="I78" s="129" t="n"/>
      <c r="J78" s="128" t="n"/>
      <c r="K78" s="130" t="n"/>
      <c r="L78" s="130" t="n"/>
      <c r="M78" s="128" t="n"/>
      <c r="N78" s="129" t="n"/>
    </row>
    <row r="79" ht="15" customHeight="1" s="75">
      <c r="A79" s="124" t="n"/>
      <c r="B79" s="125" t="n"/>
      <c r="C79" s="126" t="n"/>
      <c r="D79" s="127" t="n"/>
      <c r="E79" s="127" t="n"/>
      <c r="F79" s="128" t="n"/>
      <c r="G79" s="128" t="n"/>
      <c r="H79" s="129" t="n"/>
      <c r="I79" s="129" t="n"/>
      <c r="J79" s="128" t="n"/>
      <c r="K79" s="130" t="n"/>
      <c r="L79" s="130" t="n"/>
      <c r="M79" s="128" t="n"/>
      <c r="N79" s="129" t="n"/>
    </row>
    <row r="80" ht="15" customHeight="1" s="75">
      <c r="A80" s="124" t="n"/>
      <c r="B80" s="125" t="n"/>
      <c r="C80" s="126" t="n"/>
      <c r="D80" s="127" t="n"/>
      <c r="E80" s="127" t="n"/>
      <c r="F80" s="128" t="n"/>
      <c r="G80" s="128" t="n"/>
      <c r="H80" s="129" t="n"/>
      <c r="I80" s="129" t="n"/>
      <c r="J80" s="128" t="n"/>
      <c r="K80" s="130" t="n"/>
      <c r="L80" s="130" t="n"/>
      <c r="M80" s="128" t="n"/>
      <c r="N80" s="129" t="n"/>
    </row>
    <row r="81" ht="15" customHeight="1" s="75">
      <c r="A81" s="124" t="n"/>
      <c r="B81" s="125" t="n"/>
      <c r="C81" s="126" t="n"/>
      <c r="D81" s="127" t="n"/>
      <c r="E81" s="127" t="n"/>
      <c r="F81" s="128" t="n"/>
      <c r="G81" s="128" t="n"/>
      <c r="H81" s="129" t="n"/>
      <c r="I81" s="129" t="n"/>
      <c r="J81" s="128" t="n"/>
      <c r="K81" s="130" t="n"/>
      <c r="L81" s="130" t="n"/>
      <c r="M81" s="128" t="n"/>
      <c r="N81" s="129" t="n"/>
    </row>
    <row r="82" ht="15" customHeight="1" s="75">
      <c r="A82" s="124" t="n"/>
      <c r="B82" s="125" t="n"/>
      <c r="C82" s="126" t="n"/>
      <c r="D82" s="127" t="n"/>
      <c r="E82" s="127" t="n"/>
      <c r="F82" s="128" t="n"/>
      <c r="G82" s="128" t="n"/>
      <c r="H82" s="129" t="n"/>
      <c r="I82" s="129" t="n"/>
      <c r="J82" s="128" t="n"/>
      <c r="K82" s="130" t="n"/>
      <c r="L82" s="130" t="n"/>
      <c r="M82" s="128" t="n"/>
      <c r="N82" s="129" t="n"/>
    </row>
    <row r="83" ht="15" customHeight="1" s="75">
      <c r="A83" s="124" t="n"/>
      <c r="B83" s="125" t="n"/>
      <c r="C83" s="126" t="n"/>
      <c r="D83" s="127" t="n"/>
      <c r="E83" s="127" t="n"/>
      <c r="F83" s="128" t="n"/>
      <c r="G83" s="128" t="n"/>
      <c r="H83" s="129" t="n"/>
      <c r="I83" s="129" t="n"/>
      <c r="J83" s="128" t="n"/>
      <c r="K83" s="130" t="n"/>
      <c r="L83" s="130" t="n"/>
      <c r="M83" s="128" t="n"/>
      <c r="N83" s="129" t="n"/>
    </row>
    <row r="84" ht="15" customHeight="1" s="75">
      <c r="A84" s="124" t="n"/>
      <c r="B84" s="125" t="n"/>
      <c r="C84" s="126" t="n"/>
      <c r="D84" s="127" t="n"/>
      <c r="E84" s="127" t="n"/>
      <c r="F84" s="128" t="n"/>
      <c r="G84" s="128" t="n"/>
      <c r="H84" s="129" t="n"/>
      <c r="I84" s="129" t="n"/>
      <c r="J84" s="128" t="n"/>
      <c r="K84" s="130" t="n"/>
      <c r="L84" s="130" t="n"/>
      <c r="M84" s="128" t="n"/>
      <c r="N84" s="129" t="n"/>
    </row>
    <row r="85" ht="15" customHeight="1" s="75">
      <c r="A85" s="124" t="n"/>
      <c r="B85" s="125" t="n"/>
      <c r="C85" s="126" t="n"/>
      <c r="D85" s="127" t="n"/>
      <c r="E85" s="127" t="n"/>
      <c r="F85" s="128" t="n"/>
      <c r="G85" s="128" t="n"/>
      <c r="H85" s="129" t="n"/>
      <c r="I85" s="129" t="n"/>
      <c r="J85" s="128" t="n"/>
      <c r="K85" s="130" t="n"/>
      <c r="L85" s="130" t="n"/>
      <c r="M85" s="128" t="n"/>
      <c r="N85" s="129" t="n"/>
    </row>
    <row r="86" ht="15" customHeight="1" s="75">
      <c r="A86" s="124" t="n"/>
      <c r="B86" s="125" t="n"/>
      <c r="C86" s="126" t="n"/>
      <c r="D86" s="127" t="n"/>
      <c r="E86" s="127" t="n"/>
      <c r="F86" s="128" t="n"/>
      <c r="G86" s="128" t="n"/>
      <c r="H86" s="129" t="n"/>
      <c r="I86" s="129" t="n"/>
      <c r="J86" s="128" t="n"/>
      <c r="K86" s="130" t="n"/>
      <c r="L86" s="130" t="n"/>
      <c r="M86" s="128" t="n"/>
      <c r="N86" s="129" t="n"/>
    </row>
    <row r="87" ht="15" customHeight="1" s="75">
      <c r="A87" s="124" t="n"/>
      <c r="B87" s="125" t="n"/>
      <c r="C87" s="126" t="n"/>
      <c r="D87" s="127" t="n"/>
      <c r="E87" s="127" t="n"/>
      <c r="F87" s="128" t="n"/>
      <c r="G87" s="128" t="n"/>
      <c r="H87" s="129" t="n"/>
      <c r="I87" s="129" t="n"/>
      <c r="J87" s="128" t="n"/>
      <c r="K87" s="130" t="n"/>
      <c r="L87" s="130" t="n"/>
      <c r="M87" s="128" t="n"/>
      <c r="N87" s="129" t="n"/>
    </row>
    <row r="88" ht="15" customHeight="1" s="75">
      <c r="A88" s="124" t="n"/>
      <c r="B88" s="125" t="n"/>
      <c r="C88" s="126" t="n"/>
      <c r="D88" s="127" t="n"/>
      <c r="E88" s="127" t="n"/>
      <c r="F88" s="128" t="n"/>
      <c r="G88" s="128" t="n"/>
      <c r="H88" s="129" t="n"/>
      <c r="I88" s="129" t="n"/>
      <c r="J88" s="128" t="n"/>
      <c r="K88" s="130" t="n"/>
      <c r="L88" s="130" t="n"/>
      <c r="M88" s="128" t="n"/>
      <c r="N88" s="129" t="n"/>
    </row>
    <row r="89" ht="15" customHeight="1" s="75">
      <c r="A89" s="124" t="n"/>
      <c r="B89" s="125" t="n"/>
      <c r="C89" s="126" t="n"/>
      <c r="D89" s="127" t="n"/>
      <c r="E89" s="127" t="n"/>
      <c r="F89" s="128" t="n"/>
      <c r="G89" s="128" t="n"/>
      <c r="H89" s="129" t="n"/>
      <c r="I89" s="129" t="n"/>
      <c r="J89" s="128" t="n"/>
      <c r="K89" s="130" t="n"/>
      <c r="L89" s="130" t="n"/>
      <c r="M89" s="128" t="n"/>
      <c r="N89" s="129" t="n"/>
    </row>
    <row r="90" ht="15" customHeight="1" s="75">
      <c r="A90" s="124" t="n"/>
      <c r="B90" s="125" t="n"/>
      <c r="C90" s="126" t="n"/>
      <c r="D90" s="127" t="n"/>
      <c r="E90" s="127" t="n"/>
      <c r="F90" s="128" t="n"/>
      <c r="G90" s="128" t="n"/>
      <c r="H90" s="129" t="n"/>
      <c r="I90" s="129" t="n"/>
      <c r="J90" s="128" t="n"/>
      <c r="K90" s="130" t="n"/>
      <c r="L90" s="130" t="n"/>
      <c r="M90" s="128" t="n"/>
      <c r="N90" s="129" t="n"/>
    </row>
    <row r="91" ht="15" customHeight="1" s="75">
      <c r="A91" s="124" t="n"/>
      <c r="B91" s="125" t="n"/>
      <c r="C91" s="126" t="n"/>
      <c r="D91" s="127" t="n"/>
      <c r="E91" s="127" t="n"/>
      <c r="F91" s="128" t="n"/>
      <c r="G91" s="128" t="n"/>
      <c r="H91" s="129" t="n"/>
      <c r="I91" s="129" t="n"/>
      <c r="J91" s="128" t="n"/>
      <c r="K91" s="130" t="n"/>
      <c r="L91" s="130" t="n"/>
      <c r="M91" s="128" t="n"/>
      <c r="N91" s="129" t="n"/>
    </row>
    <row r="92" ht="15" customHeight="1" s="75">
      <c r="A92" s="124" t="n"/>
      <c r="B92" s="125" t="n"/>
      <c r="C92" s="126" t="n"/>
      <c r="D92" s="127" t="n"/>
      <c r="E92" s="127" t="n"/>
      <c r="F92" s="128" t="n"/>
      <c r="G92" s="128" t="n"/>
      <c r="H92" s="129" t="n"/>
      <c r="I92" s="129" t="n"/>
      <c r="J92" s="128" t="n"/>
      <c r="K92" s="130" t="n"/>
      <c r="L92" s="130" t="n"/>
      <c r="M92" s="128" t="n"/>
      <c r="N92" s="129" t="n"/>
    </row>
    <row r="93" ht="15" customHeight="1" s="75">
      <c r="A93" s="124" t="n"/>
      <c r="B93" s="125" t="n"/>
      <c r="C93" s="126" t="n"/>
      <c r="D93" s="127" t="n"/>
      <c r="E93" s="127" t="n"/>
      <c r="F93" s="128" t="n"/>
      <c r="G93" s="128" t="n"/>
      <c r="H93" s="129" t="n"/>
      <c r="I93" s="129" t="n"/>
      <c r="J93" s="128" t="n"/>
      <c r="K93" s="130" t="n"/>
      <c r="L93" s="130" t="n"/>
      <c r="M93" s="128" t="n"/>
      <c r="N93" s="129" t="n"/>
    </row>
    <row r="94" ht="15" customHeight="1" s="75">
      <c r="A94" s="124" t="n"/>
      <c r="B94" s="125" t="n"/>
      <c r="C94" s="126" t="n"/>
      <c r="D94" s="127" t="n"/>
      <c r="E94" s="127" t="n"/>
      <c r="F94" s="128" t="n"/>
      <c r="G94" s="128" t="n"/>
      <c r="H94" s="129" t="n"/>
      <c r="I94" s="129" t="n"/>
      <c r="J94" s="128" t="n"/>
      <c r="K94" s="130" t="n"/>
      <c r="L94" s="130" t="n"/>
      <c r="M94" s="128" t="n"/>
      <c r="N94" s="129" t="n"/>
    </row>
    <row r="95" ht="15" customHeight="1" s="75">
      <c r="A95" s="124" t="n"/>
      <c r="B95" s="125" t="n"/>
      <c r="C95" s="126" t="n"/>
      <c r="D95" s="127" t="n"/>
      <c r="E95" s="127" t="n"/>
      <c r="F95" s="128" t="n"/>
      <c r="G95" s="128" t="n"/>
      <c r="H95" s="129" t="n"/>
      <c r="I95" s="129" t="n"/>
      <c r="J95" s="128" t="n"/>
      <c r="K95" s="130" t="n"/>
      <c r="L95" s="130" t="n"/>
      <c r="M95" s="128" t="n"/>
      <c r="N95" s="129" t="n"/>
    </row>
    <row r="96" ht="15" customHeight="1" s="75">
      <c r="A96" s="124" t="n"/>
      <c r="B96" s="125" t="n"/>
      <c r="C96" s="126" t="n"/>
      <c r="D96" s="127" t="n"/>
      <c r="E96" s="127" t="n"/>
      <c r="F96" s="128" t="n"/>
      <c r="G96" s="128" t="n"/>
      <c r="H96" s="129" t="n"/>
      <c r="I96" s="129" t="n"/>
      <c r="J96" s="128" t="n"/>
      <c r="K96" s="130" t="n"/>
      <c r="L96" s="130" t="n"/>
      <c r="M96" s="128" t="n"/>
      <c r="N96" s="129" t="n"/>
    </row>
    <row r="97" ht="15" customHeight="1" s="75">
      <c r="A97" s="124" t="n"/>
      <c r="B97" s="125" t="n"/>
      <c r="C97" s="126" t="n"/>
      <c r="D97" s="127" t="n"/>
      <c r="E97" s="127" t="n"/>
      <c r="F97" s="128" t="n"/>
      <c r="G97" s="128" t="n"/>
      <c r="H97" s="129" t="n"/>
      <c r="I97" s="129" t="n"/>
      <c r="J97" s="128" t="n"/>
      <c r="K97" s="130" t="n"/>
      <c r="L97" s="130" t="n"/>
      <c r="M97" s="128" t="n"/>
      <c r="N97" s="129" t="n"/>
    </row>
    <row r="98" ht="15" customHeight="1" s="75">
      <c r="A98" s="124" t="n"/>
      <c r="B98" s="125" t="n"/>
      <c r="C98" s="126" t="n"/>
      <c r="D98" s="127" t="n"/>
      <c r="E98" s="127" t="n"/>
      <c r="F98" s="128" t="n"/>
      <c r="G98" s="128" t="n"/>
      <c r="H98" s="129" t="n"/>
      <c r="I98" s="129" t="n"/>
      <c r="J98" s="128" t="n"/>
      <c r="K98" s="130" t="n"/>
      <c r="L98" s="130" t="n"/>
      <c r="M98" s="128" t="n"/>
      <c r="N98" s="129" t="n"/>
    </row>
    <row r="99" ht="15" customHeight="1" s="75">
      <c r="A99" s="124" t="n"/>
      <c r="B99" s="125" t="n"/>
      <c r="C99" s="126" t="n"/>
      <c r="D99" s="127" t="n"/>
      <c r="E99" s="127" t="n"/>
      <c r="F99" s="128" t="n"/>
      <c r="G99" s="128" t="n"/>
      <c r="H99" s="129" t="n"/>
      <c r="I99" s="129" t="n"/>
      <c r="J99" s="128" t="n"/>
      <c r="K99" s="130" t="n"/>
      <c r="L99" s="130" t="n"/>
      <c r="M99" s="128" t="n"/>
      <c r="N99" s="129" t="n"/>
    </row>
    <row r="100" ht="15" customHeight="1" s="75">
      <c r="A100" s="124" t="n"/>
      <c r="B100" s="125" t="n"/>
      <c r="C100" s="126" t="n"/>
      <c r="D100" s="127" t="n"/>
      <c r="E100" s="127" t="n"/>
      <c r="F100" s="128" t="n"/>
      <c r="G100" s="128" t="n"/>
      <c r="H100" s="129" t="n"/>
      <c r="I100" s="129" t="n"/>
      <c r="J100" s="128" t="n"/>
      <c r="K100" s="130" t="n"/>
      <c r="L100" s="130" t="n"/>
      <c r="M100" s="128" t="n"/>
      <c r="N100" s="129" t="n"/>
    </row>
    <row r="101" ht="15" customHeight="1" s="75">
      <c r="A101" s="124" t="n"/>
      <c r="B101" s="125" t="n"/>
      <c r="C101" s="126" t="n"/>
      <c r="D101" s="127" t="n"/>
      <c r="E101" s="127" t="n"/>
      <c r="F101" s="128" t="n"/>
      <c r="G101" s="128" t="n"/>
      <c r="H101" s="129" t="n"/>
      <c r="I101" s="129" t="n"/>
      <c r="J101" s="128" t="n"/>
      <c r="K101" s="130" t="n"/>
      <c r="L101" s="130" t="n"/>
      <c r="M101" s="128" t="n"/>
      <c r="N101" s="129" t="n"/>
    </row>
    <row r="102" ht="15" customHeight="1" s="75">
      <c r="A102" s="124" t="n"/>
      <c r="B102" s="125" t="n"/>
      <c r="C102" s="126" t="n"/>
      <c r="D102" s="127" t="n"/>
      <c r="E102" s="127" t="n"/>
      <c r="F102" s="128" t="n"/>
      <c r="G102" s="128" t="n"/>
      <c r="H102" s="129" t="n"/>
      <c r="I102" s="129" t="n"/>
      <c r="J102" s="128" t="n"/>
      <c r="K102" s="130" t="n"/>
      <c r="L102" s="130" t="n"/>
      <c r="M102" s="128" t="n"/>
      <c r="N102" s="129" t="n"/>
    </row>
    <row r="103" ht="15" customHeight="1" s="75">
      <c r="A103" s="124" t="n"/>
      <c r="B103" s="125" t="n"/>
      <c r="C103" s="126" t="n"/>
      <c r="D103" s="127" t="n"/>
      <c r="E103" s="127" t="n"/>
      <c r="F103" s="128" t="n"/>
      <c r="G103" s="128" t="n"/>
      <c r="H103" s="129" t="n"/>
      <c r="I103" s="129" t="n"/>
      <c r="J103" s="128" t="n"/>
      <c r="K103" s="130" t="n"/>
      <c r="L103" s="130" t="n"/>
      <c r="M103" s="128" t="n"/>
      <c r="N103" s="129" t="n"/>
    </row>
    <row r="104" ht="15" customHeight="1" s="75">
      <c r="A104" s="124" t="n"/>
      <c r="B104" s="125" t="n"/>
      <c r="C104" s="126" t="n"/>
      <c r="D104" s="127" t="n"/>
      <c r="E104" s="127" t="n"/>
      <c r="F104" s="128" t="n"/>
      <c r="G104" s="128" t="n"/>
      <c r="H104" s="129" t="n"/>
      <c r="I104" s="129" t="n"/>
      <c r="J104" s="128" t="n"/>
      <c r="K104" s="130" t="n"/>
      <c r="L104" s="130" t="n"/>
      <c r="M104" s="128" t="n"/>
      <c r="N104" s="129" t="n"/>
    </row>
    <row r="105" ht="15" customHeight="1" s="75">
      <c r="A105" s="124" t="n"/>
      <c r="B105" s="125" t="n"/>
      <c r="C105" s="126" t="n"/>
      <c r="D105" s="127" t="n"/>
      <c r="E105" s="127" t="n"/>
      <c r="F105" s="128" t="n"/>
      <c r="G105" s="128" t="n"/>
      <c r="H105" s="129" t="n"/>
      <c r="I105" s="129" t="n"/>
      <c r="J105" s="128" t="n"/>
      <c r="K105" s="130" t="n"/>
      <c r="L105" s="130" t="n"/>
      <c r="M105" s="128" t="n"/>
      <c r="N105" s="129" t="n"/>
    </row>
    <row r="106" ht="15" customHeight="1" s="75">
      <c r="A106" s="124" t="n"/>
      <c r="B106" s="125" t="n"/>
      <c r="C106" s="126" t="n"/>
      <c r="D106" s="127" t="n"/>
      <c r="E106" s="127" t="n"/>
      <c r="F106" s="128" t="n"/>
      <c r="G106" s="128" t="n"/>
      <c r="H106" s="129" t="n"/>
      <c r="I106" s="129" t="n"/>
      <c r="J106" s="128" t="n"/>
      <c r="K106" s="130" t="n"/>
      <c r="L106" s="130" t="n"/>
      <c r="M106" s="128" t="n"/>
      <c r="N106" s="129" t="n"/>
    </row>
    <row r="107" ht="15" customHeight="1" s="75">
      <c r="A107" s="124" t="n"/>
      <c r="B107" s="125" t="n"/>
      <c r="C107" s="126" t="n"/>
      <c r="D107" s="127" t="n"/>
      <c r="E107" s="127" t="n"/>
      <c r="F107" s="128" t="n"/>
      <c r="G107" s="128" t="n"/>
      <c r="H107" s="129" t="n"/>
      <c r="I107" s="129" t="n"/>
      <c r="J107" s="128" t="n"/>
      <c r="K107" s="130" t="n"/>
      <c r="L107" s="130" t="n"/>
      <c r="M107" s="128" t="n"/>
      <c r="N107" s="129" t="n"/>
    </row>
    <row r="108" ht="15" customHeight="1" s="75">
      <c r="A108" s="124" t="n"/>
      <c r="B108" s="125" t="n"/>
      <c r="C108" s="126" t="n"/>
      <c r="D108" s="127" t="n"/>
      <c r="E108" s="127" t="n"/>
      <c r="F108" s="128" t="n"/>
      <c r="G108" s="128" t="n"/>
      <c r="H108" s="129" t="n"/>
      <c r="I108" s="129" t="n"/>
      <c r="J108" s="128" t="n"/>
      <c r="K108" s="130" t="n"/>
      <c r="L108" s="130" t="n"/>
      <c r="M108" s="128" t="n"/>
      <c r="N108" s="129" t="n"/>
    </row>
    <row r="109" ht="15" customHeight="1" s="75">
      <c r="A109" s="124" t="n"/>
      <c r="B109" s="125" t="n"/>
      <c r="C109" s="126" t="n"/>
      <c r="D109" s="127" t="n"/>
      <c r="E109" s="127" t="n"/>
      <c r="F109" s="128" t="n"/>
      <c r="G109" s="128" t="n"/>
      <c r="H109" s="129" t="n"/>
      <c r="I109" s="129" t="n"/>
      <c r="J109" s="128" t="n"/>
      <c r="K109" s="130" t="n"/>
      <c r="L109" s="130" t="n"/>
      <c r="M109" s="128" t="n"/>
      <c r="N109" s="129" t="n"/>
    </row>
    <row r="110" ht="15" customHeight="1" s="75">
      <c r="A110" s="124" t="n"/>
      <c r="B110" s="125" t="n"/>
      <c r="C110" s="126" t="n"/>
      <c r="D110" s="127" t="n"/>
      <c r="E110" s="127" t="n"/>
      <c r="F110" s="128" t="n"/>
      <c r="G110" s="128" t="n"/>
      <c r="H110" s="129" t="n"/>
      <c r="I110" s="129" t="n"/>
      <c r="J110" s="128" t="n"/>
      <c r="K110" s="130" t="n"/>
      <c r="L110" s="130" t="n"/>
      <c r="M110" s="128" t="n"/>
      <c r="N110" s="129" t="n"/>
    </row>
    <row r="111" ht="15" customHeight="1" s="75">
      <c r="A111" s="124" t="n"/>
      <c r="B111" s="125" t="n"/>
      <c r="C111" s="126" t="n"/>
      <c r="D111" s="127" t="n"/>
      <c r="E111" s="127" t="n"/>
      <c r="F111" s="128" t="n"/>
      <c r="G111" s="128" t="n"/>
      <c r="H111" s="129" t="n"/>
      <c r="I111" s="129" t="n"/>
      <c r="J111" s="128" t="n"/>
      <c r="K111" s="130" t="n"/>
      <c r="L111" s="130" t="n"/>
      <c r="M111" s="128" t="n"/>
      <c r="N111" s="129" t="n"/>
    </row>
    <row r="112" ht="15" customHeight="1" s="75">
      <c r="A112" s="124" t="n"/>
      <c r="B112" s="125" t="n"/>
      <c r="C112" s="126" t="n"/>
      <c r="D112" s="127" t="n"/>
      <c r="E112" s="127" t="n"/>
      <c r="F112" s="128" t="n"/>
      <c r="G112" s="128" t="n"/>
      <c r="H112" s="129" t="n"/>
      <c r="I112" s="129" t="n"/>
      <c r="J112" s="128" t="n"/>
      <c r="K112" s="130" t="n"/>
      <c r="L112" s="130" t="n"/>
      <c r="M112" s="128" t="n"/>
      <c r="N112" s="129" t="n"/>
    </row>
    <row r="113" ht="15" customHeight="1" s="75">
      <c r="A113" s="124" t="n"/>
      <c r="B113" s="125" t="n"/>
      <c r="C113" s="126" t="n"/>
      <c r="D113" s="127" t="n"/>
      <c r="E113" s="127" t="n"/>
      <c r="F113" s="128" t="n"/>
      <c r="G113" s="128" t="n"/>
      <c r="H113" s="129" t="n"/>
      <c r="I113" s="129" t="n"/>
      <c r="J113" s="128" t="n"/>
      <c r="K113" s="130" t="n"/>
      <c r="L113" s="130" t="n"/>
      <c r="M113" s="128" t="n"/>
      <c r="N113" s="129" t="n"/>
    </row>
    <row r="114" ht="15" customHeight="1" s="75">
      <c r="A114" s="124" t="n"/>
      <c r="B114" s="125" t="n"/>
      <c r="C114" s="126" t="n"/>
      <c r="D114" s="127" t="n"/>
      <c r="E114" s="127" t="n"/>
      <c r="F114" s="128" t="n"/>
      <c r="G114" s="128" t="n"/>
      <c r="H114" s="129" t="n"/>
      <c r="I114" s="129" t="n"/>
      <c r="J114" s="128" t="n"/>
      <c r="K114" s="130" t="n"/>
      <c r="L114" s="130" t="n"/>
      <c r="M114" s="128" t="n"/>
      <c r="N114" s="129" t="n"/>
    </row>
    <row r="115" ht="15" customHeight="1" s="75">
      <c r="A115" s="124" t="n"/>
      <c r="B115" s="125" t="n"/>
      <c r="C115" s="126" t="n"/>
      <c r="D115" s="127" t="n"/>
      <c r="E115" s="127" t="n"/>
      <c r="F115" s="128" t="n"/>
      <c r="G115" s="128" t="n"/>
      <c r="H115" s="129" t="n"/>
      <c r="I115" s="129" t="n"/>
      <c r="J115" s="128" t="n"/>
      <c r="K115" s="130" t="n"/>
      <c r="L115" s="130" t="n"/>
      <c r="M115" s="128" t="n"/>
      <c r="N115" s="129" t="n"/>
    </row>
    <row r="116" ht="15" customHeight="1" s="75">
      <c r="A116" s="124" t="n"/>
      <c r="B116" s="125" t="n"/>
      <c r="C116" s="126" t="n"/>
      <c r="D116" s="127" t="n"/>
      <c r="E116" s="127" t="n"/>
      <c r="F116" s="128" t="n"/>
      <c r="G116" s="128" t="n"/>
      <c r="H116" s="129" t="n"/>
      <c r="I116" s="129" t="n"/>
      <c r="J116" s="128" t="n"/>
      <c r="K116" s="130" t="n"/>
      <c r="L116" s="130" t="n"/>
      <c r="M116" s="128" t="n"/>
      <c r="N116" s="129" t="n"/>
    </row>
    <row r="117" ht="15" customHeight="1" s="75">
      <c r="A117" s="124" t="n"/>
      <c r="B117" s="125" t="n"/>
      <c r="C117" s="126" t="n"/>
      <c r="D117" s="127" t="n"/>
      <c r="E117" s="127" t="n"/>
      <c r="F117" s="128" t="n"/>
      <c r="G117" s="128" t="n"/>
      <c r="H117" s="129" t="n"/>
      <c r="I117" s="129" t="n"/>
      <c r="J117" s="128" t="n"/>
      <c r="K117" s="130" t="n"/>
      <c r="L117" s="130" t="n"/>
      <c r="M117" s="128" t="n"/>
      <c r="N117" s="129" t="n"/>
    </row>
    <row r="118" ht="15" customHeight="1" s="75">
      <c r="A118" s="124" t="n"/>
      <c r="B118" s="125" t="n"/>
      <c r="C118" s="126" t="n"/>
      <c r="D118" s="127" t="n"/>
      <c r="E118" s="127" t="n"/>
      <c r="F118" s="128" t="n"/>
      <c r="G118" s="128" t="n"/>
      <c r="H118" s="129" t="n"/>
      <c r="I118" s="129" t="n"/>
      <c r="J118" s="128" t="n"/>
      <c r="K118" s="130" t="n"/>
      <c r="L118" s="130" t="n"/>
      <c r="M118" s="128" t="n"/>
      <c r="N118" s="129" t="n"/>
    </row>
    <row r="119" ht="15" customHeight="1" s="75">
      <c r="A119" s="124" t="n"/>
      <c r="B119" s="125" t="n"/>
      <c r="C119" s="126" t="n"/>
      <c r="D119" s="127" t="n"/>
      <c r="E119" s="127" t="n"/>
      <c r="F119" s="128" t="n"/>
      <c r="G119" s="128" t="n"/>
      <c r="H119" s="129" t="n"/>
      <c r="I119" s="129" t="n"/>
      <c r="J119" s="128" t="n"/>
      <c r="K119" s="130" t="n"/>
      <c r="L119" s="130" t="n"/>
      <c r="M119" s="128" t="n"/>
      <c r="N119" s="129" t="n"/>
    </row>
    <row r="120" ht="15" customHeight="1" s="75">
      <c r="A120" s="124" t="n"/>
      <c r="B120" s="125" t="n"/>
      <c r="C120" s="126" t="n"/>
      <c r="D120" s="127" t="n"/>
      <c r="E120" s="127" t="n"/>
      <c r="F120" s="128" t="n"/>
      <c r="G120" s="128" t="n"/>
      <c r="H120" s="129" t="n"/>
      <c r="I120" s="129" t="n"/>
      <c r="J120" s="128" t="n"/>
      <c r="K120" s="130" t="n"/>
      <c r="L120" s="130" t="n"/>
      <c r="M120" s="128" t="n"/>
      <c r="N120" s="129" t="n"/>
    </row>
    <row r="121" ht="15" customHeight="1" s="75">
      <c r="A121" s="124" t="n"/>
      <c r="B121" s="125" t="n"/>
      <c r="C121" s="126" t="n"/>
      <c r="D121" s="127" t="n"/>
      <c r="E121" s="127" t="n"/>
      <c r="F121" s="128" t="n"/>
      <c r="G121" s="128" t="n"/>
      <c r="H121" s="129" t="n"/>
      <c r="I121" s="129" t="n"/>
      <c r="J121" s="128" t="n"/>
      <c r="K121" s="130" t="n"/>
      <c r="L121" s="130" t="n"/>
      <c r="M121" s="128" t="n"/>
      <c r="N121" s="129" t="n"/>
    </row>
    <row r="122" ht="15" customHeight="1" s="75">
      <c r="A122" s="124" t="n"/>
      <c r="B122" s="125" t="n"/>
      <c r="C122" s="126" t="n"/>
      <c r="D122" s="127" t="n"/>
      <c r="E122" s="127" t="n"/>
      <c r="F122" s="128" t="n"/>
      <c r="G122" s="128" t="n"/>
      <c r="H122" s="129" t="n"/>
      <c r="I122" s="129" t="n"/>
      <c r="J122" s="128" t="n"/>
      <c r="K122" s="130" t="n"/>
      <c r="L122" s="130" t="n"/>
      <c r="M122" s="128" t="n"/>
      <c r="N122" s="129" t="n"/>
    </row>
    <row r="123" ht="15" customHeight="1" s="75">
      <c r="A123" s="124" t="n"/>
      <c r="B123" s="125" t="n"/>
      <c r="C123" s="126" t="n"/>
      <c r="D123" s="127" t="n"/>
      <c r="E123" s="127" t="n"/>
      <c r="F123" s="128" t="n"/>
      <c r="G123" s="128" t="n"/>
      <c r="H123" s="129" t="n"/>
      <c r="I123" s="129" t="n"/>
      <c r="J123" s="128" t="n"/>
      <c r="K123" s="130" t="n"/>
      <c r="L123" s="130" t="n"/>
      <c r="M123" s="128" t="n"/>
      <c r="N123" s="129" t="n"/>
    </row>
    <row r="124" ht="15" customHeight="1" s="75">
      <c r="A124" s="124" t="n"/>
      <c r="B124" s="125" t="n"/>
      <c r="C124" s="126" t="n"/>
      <c r="D124" s="127" t="n"/>
      <c r="E124" s="127" t="n"/>
      <c r="F124" s="128" t="n"/>
      <c r="G124" s="128" t="n"/>
      <c r="H124" s="129" t="n"/>
      <c r="I124" s="129" t="n"/>
      <c r="J124" s="128" t="n"/>
      <c r="K124" s="130" t="n"/>
      <c r="L124" s="130" t="n"/>
      <c r="M124" s="128" t="n"/>
      <c r="N124" s="129" t="n"/>
    </row>
    <row r="125" ht="15" customHeight="1" s="75">
      <c r="A125" s="124" t="n"/>
      <c r="B125" s="125" t="n"/>
      <c r="C125" s="126" t="n"/>
      <c r="D125" s="127" t="n"/>
      <c r="E125" s="127" t="n"/>
      <c r="F125" s="128" t="n"/>
      <c r="G125" s="128" t="n"/>
      <c r="H125" s="129" t="n"/>
      <c r="I125" s="129" t="n"/>
      <c r="J125" s="128" t="n"/>
      <c r="K125" s="130" t="n"/>
      <c r="L125" s="130" t="n"/>
      <c r="M125" s="128" t="n"/>
      <c r="N125" s="129" t="n"/>
    </row>
    <row r="126" ht="15" customHeight="1" s="75">
      <c r="A126" s="124" t="n"/>
      <c r="B126" s="125" t="n"/>
      <c r="C126" s="126" t="n"/>
      <c r="D126" s="127" t="n"/>
      <c r="E126" s="127" t="n"/>
      <c r="F126" s="128" t="n"/>
      <c r="G126" s="128" t="n"/>
      <c r="H126" s="129" t="n"/>
      <c r="I126" s="129" t="n"/>
      <c r="J126" s="128" t="n"/>
      <c r="K126" s="130" t="n"/>
      <c r="L126" s="130" t="n"/>
      <c r="M126" s="128" t="n"/>
      <c r="N126" s="129" t="n"/>
    </row>
    <row r="127" ht="15" customHeight="1" s="75">
      <c r="A127" s="124" t="n"/>
      <c r="B127" s="125" t="n"/>
      <c r="C127" s="126" t="n"/>
      <c r="D127" s="127" t="n"/>
      <c r="E127" s="127" t="n"/>
      <c r="F127" s="128" t="n"/>
      <c r="G127" s="128" t="n"/>
      <c r="H127" s="129" t="n"/>
      <c r="I127" s="129" t="n"/>
      <c r="J127" s="128" t="n"/>
      <c r="K127" s="130" t="n"/>
      <c r="L127" s="130" t="n"/>
      <c r="M127" s="128" t="n"/>
      <c r="N127" s="129" t="n"/>
    </row>
    <row r="128" ht="15" customHeight="1" s="75">
      <c r="A128" s="124" t="n"/>
      <c r="B128" s="125" t="n"/>
      <c r="C128" s="126" t="n"/>
      <c r="D128" s="127" t="n"/>
      <c r="E128" s="127" t="n"/>
      <c r="F128" s="128" t="n"/>
      <c r="G128" s="128" t="n"/>
      <c r="H128" s="129" t="n"/>
      <c r="I128" s="129" t="n"/>
      <c r="J128" s="128" t="n"/>
      <c r="K128" s="130" t="n"/>
      <c r="L128" s="130" t="n"/>
      <c r="M128" s="128" t="n"/>
      <c r="N128" s="129" t="n"/>
    </row>
    <row r="129" ht="15" customHeight="1" s="75">
      <c r="A129" s="124" t="n"/>
      <c r="B129" s="125" t="n"/>
      <c r="C129" s="126" t="n"/>
      <c r="D129" s="127" t="n"/>
      <c r="E129" s="127" t="n"/>
      <c r="F129" s="128" t="n"/>
      <c r="G129" s="128" t="n"/>
      <c r="H129" s="129" t="n"/>
      <c r="I129" s="129" t="n"/>
      <c r="J129" s="128" t="n"/>
      <c r="K129" s="130" t="n"/>
      <c r="L129" s="130" t="n"/>
      <c r="M129" s="128" t="n"/>
      <c r="N129" s="129" t="n"/>
    </row>
    <row r="130" ht="15" customHeight="1" s="75">
      <c r="A130" s="124" t="n"/>
      <c r="B130" s="125" t="n"/>
      <c r="C130" s="126" t="n"/>
      <c r="D130" s="127" t="n"/>
      <c r="E130" s="127" t="n"/>
      <c r="F130" s="128" t="n"/>
      <c r="G130" s="128" t="n"/>
      <c r="H130" s="129" t="n"/>
      <c r="I130" s="129" t="n"/>
      <c r="J130" s="128" t="n"/>
      <c r="K130" s="130" t="n"/>
      <c r="L130" s="130" t="n"/>
      <c r="M130" s="128" t="n"/>
      <c r="N130" s="129" t="n"/>
    </row>
    <row r="131" ht="15" customHeight="1" s="75">
      <c r="A131" s="124" t="n"/>
      <c r="B131" s="125" t="n"/>
      <c r="C131" s="126" t="n"/>
      <c r="D131" s="127" t="n"/>
      <c r="E131" s="127" t="n"/>
      <c r="F131" s="128" t="n"/>
      <c r="G131" s="128" t="n"/>
      <c r="H131" s="129" t="n"/>
      <c r="I131" s="129" t="n"/>
      <c r="J131" s="128" t="n"/>
      <c r="K131" s="130" t="n"/>
      <c r="L131" s="130" t="n"/>
      <c r="M131" s="128" t="n"/>
      <c r="N131" s="129" t="n"/>
    </row>
    <row r="132" ht="15" customHeight="1" s="75">
      <c r="A132" s="124" t="n"/>
      <c r="B132" s="125" t="n"/>
      <c r="C132" s="126" t="n"/>
      <c r="D132" s="127" t="n"/>
      <c r="E132" s="127" t="n"/>
      <c r="F132" s="128" t="n"/>
      <c r="G132" s="128" t="n"/>
      <c r="H132" s="129" t="n"/>
      <c r="I132" s="129" t="n"/>
      <c r="J132" s="128" t="n"/>
      <c r="K132" s="130" t="n"/>
      <c r="L132" s="130" t="n"/>
      <c r="M132" s="128" t="n"/>
      <c r="N132" s="129" t="n"/>
    </row>
    <row r="133" ht="15" customHeight="1" s="75">
      <c r="A133" s="124" t="n"/>
      <c r="B133" s="125" t="n"/>
      <c r="C133" s="126" t="n"/>
      <c r="D133" s="127" t="n"/>
      <c r="E133" s="127" t="n"/>
      <c r="F133" s="128" t="n"/>
      <c r="G133" s="128" t="n"/>
      <c r="H133" s="129" t="n"/>
      <c r="I133" s="129" t="n"/>
      <c r="J133" s="128" t="n"/>
      <c r="K133" s="130" t="n"/>
      <c r="L133" s="130" t="n"/>
      <c r="M133" s="128" t="n"/>
      <c r="N133" s="129" t="n"/>
    </row>
    <row r="134" ht="15" customHeight="1" s="75">
      <c r="A134" s="124" t="n"/>
      <c r="B134" s="125" t="n"/>
      <c r="C134" s="126" t="n"/>
      <c r="D134" s="127" t="n"/>
      <c r="E134" s="127" t="n"/>
      <c r="F134" s="128" t="n"/>
      <c r="G134" s="128" t="n"/>
      <c r="H134" s="129" t="n"/>
      <c r="I134" s="129" t="n"/>
      <c r="J134" s="128" t="n"/>
      <c r="K134" s="130" t="n"/>
      <c r="L134" s="130" t="n"/>
      <c r="M134" s="128" t="n"/>
      <c r="N134" s="129" t="n"/>
    </row>
    <row r="135" ht="15" customHeight="1" s="75">
      <c r="A135" s="124" t="n"/>
      <c r="B135" s="125" t="n"/>
      <c r="C135" s="126" t="n"/>
      <c r="D135" s="127" t="n"/>
      <c r="E135" s="127" t="n"/>
      <c r="F135" s="128" t="n"/>
      <c r="G135" s="128" t="n"/>
      <c r="H135" s="129" t="n"/>
      <c r="I135" s="129" t="n"/>
      <c r="J135" s="128" t="n"/>
      <c r="K135" s="130" t="n"/>
      <c r="L135" s="130" t="n"/>
      <c r="M135" s="128" t="n"/>
      <c r="N135" s="129" t="n"/>
    </row>
    <row r="136" ht="15" customHeight="1" s="75">
      <c r="A136" s="124" t="n"/>
      <c r="B136" s="125" t="n"/>
      <c r="C136" s="126" t="n"/>
      <c r="D136" s="127" t="n"/>
      <c r="E136" s="127" t="n"/>
      <c r="F136" s="128" t="n"/>
      <c r="G136" s="128" t="n"/>
      <c r="H136" s="129" t="n"/>
      <c r="I136" s="129" t="n"/>
      <c r="J136" s="128" t="n"/>
      <c r="K136" s="130" t="n"/>
      <c r="L136" s="130" t="n"/>
      <c r="M136" s="128" t="n"/>
      <c r="N136" s="129" t="n"/>
    </row>
    <row r="137" ht="15" customHeight="1" s="75">
      <c r="A137" s="124" t="n"/>
      <c r="B137" s="125" t="n"/>
      <c r="C137" s="126" t="n"/>
      <c r="D137" s="127" t="n"/>
      <c r="E137" s="127" t="n"/>
      <c r="F137" s="128" t="n"/>
      <c r="G137" s="128" t="n"/>
      <c r="H137" s="129" t="n"/>
      <c r="I137" s="129" t="n"/>
      <c r="J137" s="128" t="n"/>
      <c r="K137" s="130" t="n"/>
      <c r="L137" s="130" t="n"/>
      <c r="M137" s="128" t="n"/>
      <c r="N137" s="129" t="n"/>
    </row>
    <row r="138" ht="15" customHeight="1" s="75">
      <c r="A138" s="124" t="n"/>
      <c r="B138" s="125" t="n"/>
      <c r="C138" s="126" t="n"/>
      <c r="D138" s="127" t="n"/>
      <c r="E138" s="127" t="n"/>
      <c r="F138" s="128" t="n"/>
      <c r="G138" s="128" t="n"/>
      <c r="H138" s="129" t="n"/>
      <c r="I138" s="129" t="n"/>
      <c r="J138" s="128" t="n"/>
      <c r="K138" s="130" t="n"/>
      <c r="L138" s="130" t="n"/>
      <c r="M138" s="128" t="n"/>
      <c r="N138" s="129" t="n"/>
    </row>
    <row r="139" ht="15" customHeight="1" s="75">
      <c r="A139" s="124" t="n"/>
      <c r="B139" s="125" t="n"/>
      <c r="C139" s="126" t="n"/>
      <c r="D139" s="127" t="n"/>
      <c r="E139" s="127" t="n"/>
      <c r="F139" s="128" t="n"/>
      <c r="G139" s="128" t="n"/>
      <c r="H139" s="129" t="n"/>
      <c r="I139" s="129" t="n"/>
      <c r="J139" s="128" t="n"/>
      <c r="K139" s="130" t="n"/>
      <c r="L139" s="130" t="n"/>
      <c r="M139" s="128" t="n"/>
      <c r="N139" s="129" t="n"/>
    </row>
    <row r="140" ht="15" customHeight="1" s="75">
      <c r="A140" s="124" t="n"/>
      <c r="B140" s="125" t="n"/>
      <c r="C140" s="126" t="n"/>
      <c r="D140" s="127" t="n"/>
      <c r="E140" s="127" t="n"/>
      <c r="F140" s="128" t="n"/>
      <c r="G140" s="128" t="n"/>
      <c r="H140" s="129" t="n"/>
      <c r="I140" s="129" t="n"/>
      <c r="J140" s="128" t="n"/>
      <c r="K140" s="130" t="n"/>
      <c r="L140" s="130" t="n"/>
      <c r="M140" s="128" t="n"/>
      <c r="N140" s="129" t="n"/>
    </row>
    <row r="141" ht="15" customHeight="1" s="75">
      <c r="A141" s="124" t="n"/>
      <c r="B141" s="125" t="n"/>
      <c r="C141" s="126" t="n"/>
      <c r="D141" s="127" t="n"/>
      <c r="E141" s="127" t="n"/>
      <c r="F141" s="128" t="n"/>
      <c r="G141" s="128" t="n"/>
      <c r="H141" s="129" t="n"/>
      <c r="I141" s="129" t="n"/>
      <c r="J141" s="128" t="n"/>
      <c r="K141" s="130" t="n"/>
      <c r="L141" s="130" t="n"/>
      <c r="M141" s="128" t="n"/>
      <c r="N141" s="129" t="n"/>
    </row>
    <row r="142" ht="15" customHeight="1" s="75">
      <c r="A142" s="124" t="n"/>
      <c r="B142" s="125" t="n"/>
      <c r="C142" s="126" t="n"/>
      <c r="D142" s="127" t="n"/>
      <c r="E142" s="127" t="n"/>
      <c r="F142" s="128" t="n"/>
      <c r="G142" s="128" t="n"/>
      <c r="H142" s="129" t="n"/>
      <c r="I142" s="129" t="n"/>
      <c r="J142" s="128" t="n"/>
      <c r="K142" s="130" t="n"/>
      <c r="L142" s="130" t="n"/>
      <c r="M142" s="128" t="n"/>
      <c r="N142" s="129" t="n"/>
    </row>
    <row r="143" ht="15" customHeight="1" s="75">
      <c r="A143" s="124" t="n"/>
      <c r="B143" s="125" t="n"/>
      <c r="C143" s="126" t="n"/>
      <c r="D143" s="127" t="n"/>
      <c r="E143" s="127" t="n"/>
      <c r="F143" s="128" t="n"/>
      <c r="G143" s="128" t="n"/>
      <c r="H143" s="129" t="n"/>
      <c r="I143" s="129" t="n"/>
      <c r="J143" s="128" t="n"/>
      <c r="K143" s="130" t="n"/>
      <c r="L143" s="130" t="n"/>
      <c r="M143" s="128" t="n"/>
      <c r="N143" s="129" t="n"/>
    </row>
    <row r="144" ht="15" customHeight="1" s="75">
      <c r="A144" s="124" t="n"/>
      <c r="B144" s="125" t="n"/>
      <c r="C144" s="126" t="n"/>
      <c r="D144" s="127" t="n"/>
      <c r="E144" s="127" t="n"/>
      <c r="F144" s="128" t="n"/>
      <c r="G144" s="128" t="n"/>
      <c r="H144" s="129" t="n"/>
      <c r="I144" s="129" t="n"/>
      <c r="J144" s="128" t="n"/>
      <c r="K144" s="130" t="n"/>
      <c r="L144" s="130" t="n"/>
      <c r="M144" s="128" t="n"/>
      <c r="N144" s="129" t="n"/>
    </row>
    <row r="145" ht="15" customHeight="1" s="75">
      <c r="A145" s="124" t="n"/>
      <c r="B145" s="125" t="n"/>
      <c r="C145" s="126" t="n"/>
      <c r="D145" s="127" t="n"/>
      <c r="E145" s="127" t="n"/>
      <c r="F145" s="128" t="n"/>
      <c r="G145" s="128" t="n"/>
      <c r="H145" s="129" t="n"/>
      <c r="I145" s="129" t="n"/>
      <c r="J145" s="128" t="n"/>
      <c r="K145" s="130" t="n"/>
      <c r="L145" s="130" t="n"/>
      <c r="M145" s="128" t="n"/>
      <c r="N145" s="129" t="n"/>
    </row>
    <row r="146" ht="15" customHeight="1" s="75">
      <c r="A146" s="124" t="n"/>
      <c r="B146" s="125" t="n"/>
      <c r="C146" s="126" t="n"/>
      <c r="D146" s="127" t="n"/>
      <c r="E146" s="127" t="n"/>
      <c r="F146" s="128" t="n"/>
      <c r="G146" s="128" t="n"/>
      <c r="H146" s="129" t="n"/>
      <c r="I146" s="129" t="n"/>
      <c r="J146" s="128" t="n"/>
      <c r="K146" s="130" t="n"/>
      <c r="L146" s="130" t="n"/>
      <c r="M146" s="128" t="n"/>
      <c r="N146" s="129" t="n"/>
    </row>
    <row r="147" ht="15" customHeight="1" s="75">
      <c r="A147" s="124" t="n"/>
      <c r="B147" s="125" t="n"/>
      <c r="C147" s="126" t="n"/>
      <c r="D147" s="127" t="n"/>
      <c r="E147" s="127" t="n"/>
      <c r="F147" s="128" t="n"/>
      <c r="G147" s="128" t="n"/>
      <c r="H147" s="129" t="n"/>
      <c r="I147" s="129" t="n"/>
      <c r="J147" s="128" t="n"/>
      <c r="K147" s="130" t="n"/>
      <c r="L147" s="130" t="n"/>
      <c r="M147" s="128" t="n"/>
      <c r="N147" s="129" t="n"/>
    </row>
    <row r="148" ht="15" customHeight="1" s="75">
      <c r="A148" s="124" t="n"/>
      <c r="B148" s="125" t="n"/>
      <c r="C148" s="126" t="n"/>
      <c r="D148" s="127" t="n"/>
      <c r="E148" s="127" t="n"/>
      <c r="F148" s="128" t="n"/>
      <c r="G148" s="128" t="n"/>
      <c r="H148" s="129" t="n"/>
      <c r="I148" s="129" t="n"/>
      <c r="J148" s="128" t="n"/>
      <c r="K148" s="130" t="n"/>
      <c r="L148" s="130" t="n"/>
      <c r="M148" s="128" t="n"/>
      <c r="N148" s="129" t="n"/>
    </row>
    <row r="149" ht="15" customHeight="1" s="75">
      <c r="A149" s="124" t="n"/>
      <c r="B149" s="125" t="n"/>
      <c r="C149" s="126" t="n"/>
      <c r="D149" s="127" t="n"/>
      <c r="E149" s="127" t="n"/>
      <c r="F149" s="128" t="n"/>
      <c r="G149" s="128" t="n"/>
      <c r="H149" s="129" t="n"/>
      <c r="I149" s="129" t="n"/>
      <c r="J149" s="128" t="n"/>
      <c r="K149" s="130" t="n"/>
      <c r="L149" s="130" t="n"/>
      <c r="M149" s="128" t="n"/>
      <c r="N149" s="129" t="n"/>
    </row>
    <row r="150" ht="15" customHeight="1" s="75">
      <c r="A150" s="124" t="n"/>
      <c r="B150" s="125" t="n"/>
      <c r="C150" s="126" t="n"/>
      <c r="D150" s="127" t="n"/>
      <c r="E150" s="127" t="n"/>
      <c r="F150" s="128" t="n"/>
      <c r="G150" s="128" t="n"/>
      <c r="H150" s="129" t="n"/>
      <c r="I150" s="129" t="n"/>
      <c r="J150" s="128" t="n"/>
      <c r="K150" s="130" t="n"/>
      <c r="L150" s="130" t="n"/>
      <c r="M150" s="128" t="n"/>
      <c r="N150" s="129" t="n"/>
    </row>
    <row r="151" ht="15" customHeight="1" s="75">
      <c r="A151" s="124" t="n"/>
      <c r="B151" s="125" t="n"/>
      <c r="C151" s="126" t="n"/>
      <c r="D151" s="127" t="n"/>
      <c r="E151" s="127" t="n"/>
      <c r="F151" s="128" t="n"/>
      <c r="G151" s="128" t="n"/>
      <c r="H151" s="129" t="n"/>
      <c r="I151" s="129" t="n"/>
      <c r="J151" s="128" t="n"/>
      <c r="K151" s="130" t="n"/>
      <c r="L151" s="130" t="n"/>
      <c r="M151" s="128" t="n"/>
      <c r="N151" s="129" t="n"/>
    </row>
    <row r="152" ht="15" customHeight="1" s="75">
      <c r="A152" s="124" t="n"/>
      <c r="B152" s="125" t="n"/>
      <c r="C152" s="126" t="n"/>
      <c r="D152" s="127" t="n"/>
      <c r="E152" s="127" t="n"/>
      <c r="F152" s="128" t="n"/>
      <c r="G152" s="128" t="n"/>
      <c r="H152" s="129" t="n"/>
      <c r="I152" s="129" t="n"/>
      <c r="J152" s="128" t="n"/>
      <c r="K152" s="130" t="n"/>
      <c r="L152" s="130" t="n"/>
      <c r="M152" s="128" t="n"/>
      <c r="N152" s="129" t="n"/>
    </row>
    <row r="153" ht="15" customHeight="1" s="75">
      <c r="A153" s="124" t="n"/>
      <c r="B153" s="125" t="n"/>
      <c r="C153" s="126" t="n"/>
      <c r="D153" s="127" t="n"/>
      <c r="E153" s="127" t="n"/>
      <c r="F153" s="128" t="n"/>
      <c r="G153" s="128" t="n"/>
      <c r="H153" s="129" t="n"/>
      <c r="I153" s="129" t="n"/>
      <c r="J153" s="128" t="n"/>
      <c r="K153" s="130" t="n"/>
      <c r="L153" s="130" t="n"/>
      <c r="M153" s="128" t="n"/>
      <c r="N153" s="129" t="n"/>
    </row>
    <row r="154" ht="15" customHeight="1" s="75">
      <c r="A154" s="124" t="n"/>
      <c r="B154" s="125" t="n"/>
      <c r="C154" s="126" t="n"/>
      <c r="D154" s="127" t="n"/>
      <c r="E154" s="127" t="n"/>
      <c r="F154" s="128" t="n"/>
      <c r="G154" s="128" t="n"/>
      <c r="H154" s="129" t="n"/>
      <c r="I154" s="129" t="n"/>
      <c r="J154" s="128" t="n"/>
      <c r="K154" s="130" t="n"/>
      <c r="L154" s="130" t="n"/>
      <c r="M154" s="128" t="n"/>
      <c r="N154" s="129" t="n"/>
    </row>
    <row r="155" ht="15" customHeight="1" s="75">
      <c r="A155" s="124" t="n"/>
      <c r="B155" s="125" t="n"/>
      <c r="C155" s="126" t="n"/>
      <c r="D155" s="127" t="n"/>
      <c r="E155" s="127" t="n"/>
      <c r="F155" s="128" t="n"/>
      <c r="G155" s="128" t="n"/>
      <c r="H155" s="129" t="n"/>
      <c r="I155" s="129" t="n"/>
      <c r="J155" s="128" t="n"/>
      <c r="K155" s="130" t="n"/>
      <c r="L155" s="130" t="n"/>
      <c r="M155" s="128" t="n"/>
      <c r="N155" s="129" t="n"/>
    </row>
    <row r="156" ht="15" customHeight="1" s="75">
      <c r="A156" s="124" t="n"/>
      <c r="B156" s="125" t="n"/>
      <c r="C156" s="126" t="n"/>
      <c r="D156" s="127" t="n"/>
      <c r="E156" s="127" t="n"/>
      <c r="F156" s="128" t="n"/>
      <c r="G156" s="128" t="n"/>
      <c r="H156" s="129" t="n"/>
      <c r="I156" s="129" t="n"/>
      <c r="J156" s="128" t="n"/>
      <c r="K156" s="130" t="n"/>
      <c r="L156" s="130" t="n"/>
      <c r="M156" s="128" t="n"/>
      <c r="N156" s="129" t="n"/>
    </row>
    <row r="157" ht="15" customHeight="1" s="75">
      <c r="A157" s="124" t="n"/>
      <c r="B157" s="125" t="n"/>
      <c r="C157" s="126" t="n"/>
      <c r="D157" s="127" t="n"/>
      <c r="E157" s="127" t="n"/>
      <c r="F157" s="128" t="n"/>
      <c r="G157" s="128" t="n"/>
      <c r="H157" s="129" t="n"/>
      <c r="I157" s="129" t="n"/>
      <c r="J157" s="128" t="n"/>
      <c r="K157" s="130" t="n"/>
      <c r="L157" s="130" t="n"/>
      <c r="M157" s="128" t="n"/>
      <c r="N157" s="129" t="n"/>
    </row>
    <row r="158" ht="15" customHeight="1" s="75">
      <c r="A158" s="124" t="n"/>
      <c r="B158" s="125" t="n"/>
      <c r="C158" s="126" t="n"/>
      <c r="D158" s="127" t="n"/>
      <c r="E158" s="127" t="n"/>
      <c r="F158" s="128" t="n"/>
      <c r="G158" s="128" t="n"/>
      <c r="H158" s="129" t="n"/>
      <c r="I158" s="129" t="n"/>
      <c r="J158" s="128" t="n"/>
      <c r="K158" s="130" t="n"/>
      <c r="L158" s="130" t="n"/>
      <c r="M158" s="128" t="n"/>
      <c r="N158" s="129" t="n"/>
    </row>
    <row r="159" ht="15" customHeight="1" s="75">
      <c r="A159" s="124" t="n"/>
      <c r="B159" s="125" t="n"/>
      <c r="C159" s="126" t="n"/>
      <c r="D159" s="127" t="n"/>
      <c r="E159" s="127" t="n"/>
      <c r="F159" s="128" t="n"/>
      <c r="G159" s="128" t="n"/>
      <c r="H159" s="129" t="n"/>
      <c r="I159" s="129" t="n"/>
      <c r="J159" s="128" t="n"/>
      <c r="K159" s="130" t="n"/>
      <c r="L159" s="130" t="n"/>
      <c r="M159" s="128" t="n"/>
      <c r="N159" s="129" t="n"/>
    </row>
    <row r="160" ht="15" customHeight="1" s="75">
      <c r="A160" s="124" t="n"/>
      <c r="B160" s="125" t="n"/>
      <c r="C160" s="126" t="n"/>
      <c r="D160" s="127" t="n"/>
      <c r="E160" s="127" t="n"/>
      <c r="F160" s="128" t="n"/>
      <c r="G160" s="128" t="n"/>
      <c r="H160" s="129" t="n"/>
      <c r="I160" s="129" t="n"/>
      <c r="J160" s="128" t="n"/>
      <c r="K160" s="130" t="n"/>
      <c r="L160" s="130" t="n"/>
      <c r="M160" s="128" t="n"/>
      <c r="N160" s="129" t="n"/>
    </row>
    <row r="161" ht="15" customHeight="1" s="75">
      <c r="A161" s="124" t="n"/>
      <c r="B161" s="125" t="n"/>
      <c r="C161" s="126" t="n"/>
      <c r="D161" s="127" t="n"/>
      <c r="E161" s="127" t="n"/>
      <c r="F161" s="128" t="n"/>
      <c r="G161" s="128" t="n"/>
      <c r="H161" s="129" t="n"/>
      <c r="I161" s="129" t="n"/>
      <c r="J161" s="128" t="n"/>
      <c r="K161" s="130" t="n"/>
      <c r="L161" s="130" t="n"/>
      <c r="M161" s="128" t="n"/>
      <c r="N161" s="129" t="n"/>
    </row>
    <row r="162" ht="15" customHeight="1" s="75">
      <c r="A162" s="124" t="n"/>
      <c r="B162" s="125" t="n"/>
      <c r="C162" s="126" t="n"/>
      <c r="D162" s="127" t="n"/>
      <c r="E162" s="127" t="n"/>
      <c r="F162" s="128" t="n"/>
      <c r="G162" s="128" t="n"/>
      <c r="H162" s="129" t="n"/>
      <c r="I162" s="129" t="n"/>
      <c r="J162" s="128" t="n"/>
      <c r="K162" s="130" t="n"/>
      <c r="L162" s="130" t="n"/>
      <c r="M162" s="128" t="n"/>
      <c r="N162" s="129" t="n"/>
    </row>
    <row r="163" ht="15" customHeight="1" s="75">
      <c r="A163" s="124" t="n"/>
      <c r="B163" s="125" t="n"/>
      <c r="C163" s="126" t="n"/>
      <c r="D163" s="127" t="n"/>
      <c r="E163" s="127" t="n"/>
      <c r="F163" s="128" t="n"/>
      <c r="G163" s="128" t="n"/>
      <c r="H163" s="129" t="n"/>
      <c r="I163" s="129" t="n"/>
      <c r="J163" s="128" t="n"/>
      <c r="K163" s="130" t="n"/>
      <c r="L163" s="130" t="n"/>
      <c r="M163" s="128" t="n"/>
      <c r="N163" s="129" t="n"/>
    </row>
    <row r="164" ht="15" customHeight="1" s="75">
      <c r="A164" s="124" t="n"/>
      <c r="B164" s="125" t="n"/>
      <c r="C164" s="126" t="n"/>
      <c r="D164" s="127" t="n"/>
      <c r="E164" s="127" t="n"/>
      <c r="F164" s="128" t="n"/>
      <c r="G164" s="128" t="n"/>
      <c r="H164" s="129" t="n"/>
      <c r="I164" s="129" t="n"/>
      <c r="J164" s="128" t="n"/>
      <c r="K164" s="130" t="n"/>
      <c r="L164" s="130" t="n"/>
      <c r="M164" s="128" t="n"/>
      <c r="N164" s="129" t="n"/>
    </row>
    <row r="165" ht="15" customHeight="1" s="75">
      <c r="A165" s="124" t="n"/>
      <c r="B165" s="125" t="n"/>
      <c r="C165" s="126" t="n"/>
      <c r="D165" s="127" t="n"/>
      <c r="E165" s="127" t="n"/>
      <c r="F165" s="128" t="n"/>
      <c r="G165" s="128" t="n"/>
      <c r="H165" s="129" t="n"/>
      <c r="I165" s="129" t="n"/>
      <c r="J165" s="128" t="n"/>
      <c r="K165" s="130" t="n"/>
      <c r="L165" s="130" t="n"/>
      <c r="M165" s="128" t="n"/>
      <c r="N165" s="129" t="n"/>
    </row>
    <row r="166" ht="15" customHeight="1" s="75">
      <c r="A166" s="124" t="n"/>
      <c r="B166" s="125" t="n"/>
      <c r="C166" s="126" t="n"/>
      <c r="D166" s="127" t="n"/>
      <c r="E166" s="127" t="n"/>
      <c r="F166" s="128" t="n"/>
      <c r="G166" s="128" t="n"/>
      <c r="H166" s="129" t="n"/>
      <c r="I166" s="129" t="n"/>
      <c r="J166" s="128" t="n"/>
      <c r="K166" s="130" t="n"/>
      <c r="L166" s="130" t="n"/>
      <c r="M166" s="128" t="n"/>
      <c r="N166" s="129" t="n"/>
    </row>
    <row r="167" ht="15" customHeight="1" s="75">
      <c r="A167" s="124" t="n"/>
      <c r="B167" s="125" t="n"/>
      <c r="C167" s="126" t="n"/>
      <c r="D167" s="127" t="n"/>
      <c r="E167" s="127" t="n"/>
      <c r="F167" s="128" t="n"/>
      <c r="G167" s="128" t="n"/>
      <c r="H167" s="129" t="n"/>
      <c r="I167" s="129" t="n"/>
      <c r="J167" s="128" t="n"/>
      <c r="K167" s="130" t="n"/>
      <c r="L167" s="130" t="n"/>
      <c r="M167" s="128" t="n"/>
      <c r="N167" s="129" t="n"/>
    </row>
    <row r="168" ht="15" customHeight="1" s="75">
      <c r="A168" s="124" t="n"/>
      <c r="B168" s="125" t="n"/>
      <c r="C168" s="126" t="n"/>
      <c r="D168" s="127" t="n"/>
      <c r="E168" s="127" t="n"/>
      <c r="F168" s="128" t="n"/>
      <c r="G168" s="128" t="n"/>
      <c r="H168" s="129" t="n"/>
      <c r="I168" s="129" t="n"/>
      <c r="J168" s="128" t="n"/>
      <c r="K168" s="130" t="n"/>
      <c r="L168" s="130" t="n"/>
      <c r="M168" s="128" t="n"/>
      <c r="N168" s="129" t="n"/>
    </row>
    <row r="169" ht="15" customHeight="1" s="75">
      <c r="A169" s="124" t="n"/>
      <c r="B169" s="125" t="n"/>
      <c r="C169" s="126" t="n"/>
      <c r="D169" s="127" t="n"/>
      <c r="E169" s="127" t="n"/>
      <c r="F169" s="128" t="n"/>
      <c r="G169" s="128" t="n"/>
      <c r="H169" s="129" t="n"/>
      <c r="I169" s="129" t="n"/>
      <c r="J169" s="128" t="n"/>
      <c r="K169" s="130" t="n"/>
      <c r="L169" s="130" t="n"/>
      <c r="M169" s="128" t="n"/>
      <c r="N169" s="129" t="n"/>
    </row>
    <row r="170" ht="15" customHeight="1" s="75">
      <c r="A170" s="124" t="n"/>
      <c r="B170" s="125" t="n"/>
      <c r="C170" s="126" t="n"/>
      <c r="D170" s="127" t="n"/>
      <c r="E170" s="127" t="n"/>
      <c r="F170" s="128" t="n"/>
      <c r="G170" s="128" t="n"/>
      <c r="H170" s="129" t="n"/>
      <c r="I170" s="129" t="n"/>
      <c r="J170" s="128" t="n"/>
      <c r="K170" s="130" t="n"/>
      <c r="L170" s="130" t="n"/>
      <c r="M170" s="128" t="n"/>
      <c r="N170" s="129" t="n"/>
    </row>
    <row r="171" ht="15" customHeight="1" s="75">
      <c r="A171" s="124" t="n"/>
      <c r="B171" s="125" t="n"/>
      <c r="C171" s="126" t="n"/>
      <c r="D171" s="127" t="n"/>
      <c r="E171" s="127" t="n"/>
      <c r="F171" s="128" t="n"/>
      <c r="G171" s="128" t="n"/>
      <c r="H171" s="129" t="n"/>
      <c r="I171" s="129" t="n"/>
      <c r="J171" s="128" t="n"/>
      <c r="K171" s="130" t="n"/>
      <c r="L171" s="130" t="n"/>
      <c r="M171" s="128" t="n"/>
      <c r="N171" s="129" t="n"/>
    </row>
    <row r="172" ht="15" customHeight="1" s="75">
      <c r="A172" s="124" t="n"/>
      <c r="B172" s="125" t="n"/>
      <c r="C172" s="126" t="n"/>
      <c r="D172" s="127" t="n"/>
      <c r="E172" s="127" t="n"/>
      <c r="F172" s="128" t="n"/>
      <c r="G172" s="128" t="n"/>
      <c r="H172" s="129" t="n"/>
      <c r="I172" s="129" t="n"/>
      <c r="J172" s="128" t="n"/>
      <c r="K172" s="130" t="n"/>
      <c r="L172" s="130" t="n"/>
      <c r="M172" s="128" t="n"/>
      <c r="N172" s="129" t="n"/>
    </row>
    <row r="173" ht="15" customHeight="1" s="75">
      <c r="A173" s="124" t="n"/>
      <c r="B173" s="125" t="n"/>
      <c r="C173" s="126" t="n"/>
      <c r="D173" s="127" t="n"/>
      <c r="E173" s="127" t="n"/>
      <c r="F173" s="128" t="n"/>
      <c r="G173" s="128" t="n"/>
      <c r="H173" s="129" t="n"/>
      <c r="I173" s="129" t="n"/>
      <c r="J173" s="128" t="n"/>
      <c r="K173" s="130" t="n"/>
      <c r="L173" s="130" t="n"/>
      <c r="M173" s="128" t="n"/>
      <c r="N173" s="129" t="n"/>
    </row>
    <row r="174" ht="15" customHeight="1" s="75">
      <c r="A174" s="124" t="n"/>
      <c r="B174" s="125" t="n"/>
      <c r="C174" s="126" t="n"/>
      <c r="D174" s="127" t="n"/>
      <c r="E174" s="127" t="n"/>
      <c r="F174" s="128" t="n"/>
      <c r="G174" s="128" t="n"/>
      <c r="H174" s="129" t="n"/>
      <c r="I174" s="129" t="n"/>
      <c r="J174" s="128" t="n"/>
      <c r="K174" s="130" t="n"/>
      <c r="L174" s="130" t="n"/>
      <c r="M174" s="128" t="n"/>
      <c r="N174" s="129" t="n"/>
    </row>
    <row r="175" ht="15" customHeight="1" s="75">
      <c r="A175" s="124" t="n"/>
      <c r="B175" s="125" t="n"/>
      <c r="C175" s="126" t="n"/>
      <c r="D175" s="127" t="n"/>
      <c r="E175" s="127" t="n"/>
      <c r="F175" s="128" t="n"/>
      <c r="G175" s="128" t="n"/>
      <c r="H175" s="129" t="n"/>
      <c r="I175" s="129" t="n"/>
      <c r="J175" s="128" t="n"/>
      <c r="K175" s="130" t="n"/>
      <c r="L175" s="130" t="n"/>
      <c r="M175" s="128" t="n"/>
      <c r="N175" s="129" t="n"/>
    </row>
    <row r="176" ht="15" customHeight="1" s="75">
      <c r="A176" s="124" t="n"/>
      <c r="B176" s="125" t="n"/>
      <c r="C176" s="126" t="n"/>
      <c r="D176" s="127" t="n"/>
      <c r="E176" s="127" t="n"/>
      <c r="F176" s="128" t="n"/>
      <c r="G176" s="128" t="n"/>
      <c r="H176" s="129" t="n"/>
      <c r="I176" s="129" t="n"/>
      <c r="J176" s="128" t="n"/>
      <c r="K176" s="130" t="n"/>
      <c r="L176" s="130" t="n"/>
      <c r="M176" s="128" t="n"/>
      <c r="N176" s="129" t="n"/>
    </row>
    <row r="177" ht="15" customHeight="1" s="75">
      <c r="A177" s="124" t="n"/>
      <c r="B177" s="125" t="n"/>
      <c r="C177" s="126" t="n"/>
      <c r="D177" s="127" t="n"/>
      <c r="E177" s="127" t="n"/>
      <c r="F177" s="128" t="n"/>
      <c r="G177" s="128" t="n"/>
      <c r="H177" s="129" t="n"/>
      <c r="I177" s="129" t="n"/>
      <c r="J177" s="128" t="n"/>
      <c r="K177" s="130" t="n"/>
      <c r="L177" s="130" t="n"/>
      <c r="M177" s="128" t="n"/>
      <c r="N177" s="129" t="n"/>
    </row>
    <row r="178" ht="15" customHeight="1" s="75">
      <c r="A178" s="124" t="n"/>
      <c r="B178" s="125" t="n"/>
      <c r="C178" s="126" t="n"/>
      <c r="D178" s="127" t="n"/>
      <c r="E178" s="127" t="n"/>
      <c r="F178" s="128" t="n"/>
      <c r="G178" s="128" t="n"/>
      <c r="H178" s="129" t="n"/>
      <c r="I178" s="129" t="n"/>
      <c r="J178" s="128" t="n"/>
      <c r="K178" s="130" t="n"/>
      <c r="L178" s="130" t="n"/>
      <c r="M178" s="128" t="n"/>
      <c r="N178" s="129" t="n"/>
    </row>
    <row r="179" ht="15" customHeight="1" s="75">
      <c r="A179" s="124" t="n"/>
      <c r="B179" s="125" t="n"/>
      <c r="C179" s="126" t="n"/>
      <c r="D179" s="127" t="n"/>
      <c r="E179" s="127" t="n"/>
      <c r="F179" s="128" t="n"/>
      <c r="G179" s="128" t="n"/>
      <c r="H179" s="129" t="n"/>
      <c r="I179" s="129" t="n"/>
      <c r="J179" s="128" t="n"/>
      <c r="K179" s="130" t="n"/>
      <c r="L179" s="130" t="n"/>
      <c r="M179" s="128" t="n"/>
      <c r="N179" s="129" t="n"/>
    </row>
    <row r="180" ht="15" customHeight="1" s="75">
      <c r="A180" s="124" t="n"/>
      <c r="B180" s="125" t="n"/>
      <c r="C180" s="126" t="n"/>
      <c r="D180" s="127" t="n"/>
      <c r="E180" s="127" t="n"/>
      <c r="F180" s="128" t="n"/>
      <c r="G180" s="128" t="n"/>
      <c r="H180" s="129" t="n"/>
      <c r="I180" s="129" t="n"/>
      <c r="J180" s="128" t="n"/>
      <c r="K180" s="130" t="n"/>
      <c r="L180" s="130" t="n"/>
      <c r="M180" s="128" t="n"/>
      <c r="N180" s="129" t="n"/>
    </row>
    <row r="181" ht="15" customHeight="1" s="75">
      <c r="A181" s="124" t="n"/>
      <c r="B181" s="125" t="n"/>
      <c r="C181" s="126" t="n"/>
      <c r="D181" s="127" t="n"/>
      <c r="E181" s="127" t="n"/>
      <c r="F181" s="128" t="n"/>
      <c r="G181" s="128" t="n"/>
      <c r="H181" s="129" t="n"/>
      <c r="I181" s="129" t="n"/>
      <c r="J181" s="128" t="n"/>
      <c r="K181" s="130" t="n"/>
      <c r="L181" s="130" t="n"/>
      <c r="M181" s="128" t="n"/>
      <c r="N181" s="129" t="n"/>
    </row>
    <row r="182" ht="15" customHeight="1" s="75">
      <c r="A182" s="124" t="n"/>
      <c r="B182" s="125" t="n"/>
      <c r="C182" s="126" t="n"/>
      <c r="D182" s="127" t="n"/>
      <c r="E182" s="127" t="n"/>
      <c r="F182" s="128" t="n"/>
      <c r="G182" s="128" t="n"/>
      <c r="H182" s="129" t="n"/>
      <c r="I182" s="129" t="n"/>
      <c r="J182" s="128" t="n"/>
      <c r="K182" s="130" t="n"/>
      <c r="L182" s="130" t="n"/>
      <c r="M182" s="128" t="n"/>
      <c r="N182" s="129" t="n"/>
    </row>
    <row r="183" ht="15" customHeight="1" s="75">
      <c r="A183" s="124" t="n"/>
      <c r="B183" s="125" t="n"/>
      <c r="C183" s="126" t="n"/>
      <c r="D183" s="127" t="n"/>
      <c r="E183" s="127" t="n"/>
      <c r="F183" s="128" t="n"/>
      <c r="G183" s="128" t="n"/>
      <c r="H183" s="129" t="n"/>
      <c r="I183" s="129" t="n"/>
      <c r="J183" s="128" t="n"/>
      <c r="K183" s="130" t="n"/>
      <c r="L183" s="130" t="n"/>
      <c r="M183" s="128" t="n"/>
      <c r="N183" s="129" t="n"/>
    </row>
    <row r="184" ht="15" customHeight="1" s="75">
      <c r="A184" s="124" t="n"/>
      <c r="B184" s="125" t="n"/>
      <c r="C184" s="126" t="n"/>
      <c r="D184" s="127" t="n"/>
      <c r="E184" s="127" t="n"/>
      <c r="F184" s="128" t="n"/>
      <c r="G184" s="128" t="n"/>
      <c r="H184" s="129" t="n"/>
      <c r="I184" s="129" t="n"/>
      <c r="J184" s="128" t="n"/>
      <c r="K184" s="130" t="n"/>
      <c r="L184" s="130" t="n"/>
      <c r="M184" s="128" t="n"/>
      <c r="N184" s="129" t="n"/>
    </row>
    <row r="185" ht="15" customHeight="1" s="75">
      <c r="A185" s="124" t="n"/>
      <c r="B185" s="125" t="n"/>
      <c r="C185" s="126" t="n"/>
      <c r="D185" s="127" t="n"/>
      <c r="E185" s="127" t="n"/>
      <c r="F185" s="128" t="n"/>
      <c r="G185" s="128" t="n"/>
      <c r="H185" s="129" t="n"/>
      <c r="I185" s="129" t="n"/>
      <c r="J185" s="128" t="n"/>
      <c r="K185" s="130" t="n"/>
      <c r="L185" s="130" t="n"/>
      <c r="M185" s="128" t="n"/>
      <c r="N185" s="129" t="n"/>
    </row>
    <row r="186" ht="15" customHeight="1" s="75">
      <c r="A186" s="124" t="n"/>
      <c r="B186" s="125" t="n"/>
      <c r="C186" s="126" t="n"/>
      <c r="D186" s="127" t="n"/>
      <c r="E186" s="127" t="n"/>
      <c r="F186" s="128" t="n"/>
      <c r="G186" s="128" t="n"/>
      <c r="H186" s="129" t="n"/>
      <c r="I186" s="129" t="n"/>
      <c r="J186" s="128" t="n"/>
      <c r="K186" s="130" t="n"/>
      <c r="L186" s="130" t="n"/>
      <c r="M186" s="128" t="n"/>
      <c r="N186" s="129" t="n"/>
    </row>
    <row r="187" ht="15" customHeight="1" s="75">
      <c r="A187" s="124" t="n"/>
      <c r="B187" s="125" t="n"/>
      <c r="C187" s="126" t="n"/>
      <c r="D187" s="127" t="n"/>
      <c r="E187" s="127" t="n"/>
      <c r="F187" s="128" t="n"/>
      <c r="G187" s="128" t="n"/>
      <c r="H187" s="129" t="n"/>
      <c r="I187" s="129" t="n"/>
      <c r="J187" s="128" t="n"/>
      <c r="K187" s="130" t="n"/>
      <c r="L187" s="130" t="n"/>
      <c r="M187" s="128" t="n"/>
      <c r="N187" s="129" t="n"/>
    </row>
    <row r="188" ht="15" customHeight="1" s="75">
      <c r="A188" s="124" t="n"/>
      <c r="B188" s="125" t="n"/>
      <c r="C188" s="126" t="n"/>
      <c r="D188" s="127" t="n"/>
      <c r="E188" s="127" t="n"/>
      <c r="F188" s="128" t="n"/>
      <c r="G188" s="128" t="n"/>
      <c r="H188" s="129" t="n"/>
      <c r="I188" s="129" t="n"/>
      <c r="J188" s="128" t="n"/>
      <c r="K188" s="130" t="n"/>
      <c r="L188" s="130" t="n"/>
      <c r="M188" s="128" t="n"/>
      <c r="N188" s="129" t="n"/>
    </row>
    <row r="189" ht="15" customHeight="1" s="75">
      <c r="A189" s="124" t="n"/>
      <c r="B189" s="125" t="n"/>
      <c r="C189" s="126" t="n"/>
      <c r="D189" s="127" t="n"/>
      <c r="E189" s="127" t="n"/>
      <c r="F189" s="128" t="n"/>
      <c r="G189" s="128" t="n"/>
      <c r="H189" s="129" t="n"/>
      <c r="I189" s="129" t="n"/>
      <c r="J189" s="128" t="n"/>
      <c r="K189" s="130" t="n"/>
      <c r="L189" s="130" t="n"/>
      <c r="M189" s="128" t="n"/>
      <c r="N189" s="129" t="n"/>
    </row>
    <row r="190" ht="15" customHeight="1" s="75">
      <c r="A190" s="124" t="n"/>
      <c r="B190" s="125" t="n"/>
      <c r="C190" s="126" t="n"/>
      <c r="D190" s="127" t="n"/>
      <c r="E190" s="127" t="n"/>
      <c r="F190" s="128" t="n"/>
      <c r="G190" s="128" t="n"/>
      <c r="H190" s="129" t="n"/>
      <c r="I190" s="129" t="n"/>
      <c r="J190" s="128" t="n"/>
      <c r="K190" s="130" t="n"/>
      <c r="L190" s="130" t="n"/>
      <c r="M190" s="128" t="n"/>
      <c r="N190" s="129" t="n"/>
    </row>
    <row r="191" ht="15" customHeight="1" s="75">
      <c r="A191" s="124" t="n"/>
      <c r="B191" s="125" t="n"/>
      <c r="C191" s="126" t="n"/>
      <c r="D191" s="127" t="n"/>
      <c r="E191" s="127" t="n"/>
      <c r="F191" s="128" t="n"/>
      <c r="G191" s="128" t="n"/>
      <c r="H191" s="129" t="n"/>
      <c r="I191" s="129" t="n"/>
      <c r="J191" s="128" t="n"/>
      <c r="K191" s="130" t="n"/>
      <c r="L191" s="130" t="n"/>
      <c r="M191" s="128" t="n"/>
      <c r="N191" s="129" t="n"/>
    </row>
    <row r="192" ht="15" customHeight="1" s="75">
      <c r="A192" s="124" t="n"/>
      <c r="B192" s="125" t="n"/>
      <c r="C192" s="126" t="n"/>
      <c r="D192" s="127" t="n"/>
      <c r="E192" s="127" t="n"/>
      <c r="F192" s="128" t="n"/>
      <c r="G192" s="128" t="n"/>
      <c r="H192" s="129" t="n"/>
      <c r="I192" s="129" t="n"/>
      <c r="J192" s="128" t="n"/>
      <c r="K192" s="130" t="n"/>
      <c r="L192" s="130" t="n"/>
      <c r="M192" s="128" t="n"/>
      <c r="N192" s="129" t="n"/>
    </row>
    <row r="193" ht="15" customHeight="1" s="75">
      <c r="A193" s="124" t="n"/>
      <c r="B193" s="125" t="n"/>
      <c r="C193" s="126" t="n"/>
      <c r="D193" s="127" t="n"/>
      <c r="E193" s="127" t="n"/>
      <c r="F193" s="128" t="n"/>
      <c r="G193" s="128" t="n"/>
      <c r="H193" s="129" t="n"/>
      <c r="I193" s="129" t="n"/>
      <c r="J193" s="128" t="n"/>
      <c r="K193" s="130" t="n"/>
      <c r="L193" s="130" t="n"/>
      <c r="M193" s="128" t="n"/>
      <c r="N193" s="129" t="n"/>
    </row>
    <row r="194" ht="15" customHeight="1" s="75">
      <c r="A194" s="124" t="n"/>
      <c r="B194" s="125" t="n"/>
      <c r="C194" s="126" t="n"/>
      <c r="D194" s="127" t="n"/>
      <c r="E194" s="127" t="n"/>
      <c r="F194" s="128" t="n"/>
      <c r="G194" s="128" t="n"/>
      <c r="H194" s="129" t="n"/>
      <c r="I194" s="129" t="n"/>
      <c r="J194" s="128" t="n"/>
      <c r="K194" s="130" t="n"/>
      <c r="L194" s="130" t="n"/>
      <c r="M194" s="128" t="n"/>
      <c r="N194" s="129" t="n"/>
    </row>
    <row r="195" ht="15" customHeight="1" s="75">
      <c r="A195" s="124" t="n"/>
      <c r="B195" s="125" t="n"/>
      <c r="C195" s="126" t="n"/>
      <c r="D195" s="127" t="n"/>
      <c r="E195" s="127" t="n"/>
      <c r="F195" s="128" t="n"/>
      <c r="G195" s="128" t="n"/>
      <c r="H195" s="129" t="n"/>
      <c r="I195" s="129" t="n"/>
      <c r="J195" s="128" t="n"/>
      <c r="K195" s="130" t="n"/>
      <c r="L195" s="130" t="n"/>
      <c r="M195" s="128" t="n"/>
      <c r="N195" s="129" t="n"/>
    </row>
    <row r="196" ht="15" customHeight="1" s="75">
      <c r="A196" s="124" t="n"/>
      <c r="B196" s="125" t="n"/>
      <c r="C196" s="126" t="n"/>
      <c r="D196" s="127" t="n"/>
      <c r="E196" s="127" t="n"/>
      <c r="F196" s="128" t="n"/>
      <c r="G196" s="128" t="n"/>
      <c r="H196" s="129" t="n"/>
      <c r="I196" s="129" t="n"/>
      <c r="J196" s="128" t="n"/>
      <c r="K196" s="130" t="n"/>
      <c r="L196" s="130" t="n"/>
      <c r="M196" s="128" t="n"/>
      <c r="N196" s="129" t="n"/>
    </row>
    <row r="197" ht="15" customHeight="1" s="75">
      <c r="A197" s="124" t="n"/>
      <c r="B197" s="125" t="n"/>
      <c r="C197" s="126" t="n"/>
      <c r="D197" s="127" t="n"/>
      <c r="E197" s="127" t="n"/>
      <c r="F197" s="128" t="n"/>
      <c r="G197" s="128" t="n"/>
      <c r="H197" s="129" t="n"/>
      <c r="I197" s="129" t="n"/>
      <c r="J197" s="128" t="n"/>
      <c r="K197" s="130" t="n"/>
      <c r="L197" s="130" t="n"/>
      <c r="M197" s="128" t="n"/>
      <c r="N197" s="129" t="n"/>
    </row>
    <row r="198" ht="15" customHeight="1" s="75">
      <c r="A198" s="124" t="n"/>
      <c r="B198" s="125" t="n"/>
      <c r="C198" s="126" t="n"/>
      <c r="D198" s="127" t="n"/>
      <c r="E198" s="127" t="n"/>
      <c r="F198" s="128" t="n"/>
      <c r="G198" s="128" t="n"/>
      <c r="H198" s="129" t="n"/>
      <c r="I198" s="129" t="n"/>
      <c r="J198" s="128" t="n"/>
      <c r="K198" s="130" t="n"/>
      <c r="L198" s="130" t="n"/>
      <c r="M198" s="128" t="n"/>
      <c r="N198" s="129" t="n"/>
    </row>
    <row r="199" ht="15" customHeight="1" s="75">
      <c r="A199" s="124" t="n"/>
      <c r="B199" s="125" t="n"/>
      <c r="C199" s="126" t="n"/>
      <c r="D199" s="127" t="n"/>
      <c r="E199" s="127" t="n"/>
      <c r="F199" s="128" t="n"/>
      <c r="G199" s="128" t="n"/>
      <c r="H199" s="129" t="n"/>
      <c r="I199" s="129" t="n"/>
      <c r="J199" s="128" t="n"/>
      <c r="K199" s="130" t="n"/>
      <c r="L199" s="130" t="n"/>
      <c r="M199" s="128" t="n"/>
      <c r="N199" s="129" t="n"/>
    </row>
    <row r="200" ht="15" customHeight="1" s="75">
      <c r="A200" s="124" t="n"/>
      <c r="B200" s="125" t="n"/>
      <c r="C200" s="126" t="n"/>
      <c r="D200" s="127" t="n"/>
      <c r="E200" s="127" t="n"/>
      <c r="F200" s="128" t="n"/>
      <c r="G200" s="128" t="n"/>
      <c r="H200" s="129" t="n"/>
      <c r="I200" s="129" t="n"/>
      <c r="J200" s="128" t="n"/>
      <c r="K200" s="130" t="n"/>
      <c r="L200" s="130" t="n"/>
      <c r="M200" s="128" t="n"/>
      <c r="N200" s="129" t="n"/>
    </row>
    <row r="201" ht="15" customHeight="1" s="75">
      <c r="A201" s="124" t="n"/>
      <c r="B201" s="125" t="n"/>
      <c r="C201" s="126" t="n"/>
      <c r="D201" s="127" t="n"/>
      <c r="E201" s="127" t="n"/>
      <c r="F201" s="128" t="n"/>
      <c r="G201" s="128" t="n"/>
      <c r="H201" s="129" t="n"/>
      <c r="I201" s="129" t="n"/>
      <c r="J201" s="128" t="n"/>
      <c r="K201" s="130" t="n"/>
      <c r="L201" s="130" t="n"/>
      <c r="M201" s="128" t="n"/>
      <c r="N201" s="129" t="n"/>
    </row>
    <row r="202" ht="15" customHeight="1" s="75">
      <c r="A202" s="124" t="n"/>
      <c r="B202" s="125" t="n"/>
      <c r="C202" s="126" t="n"/>
      <c r="D202" s="127" t="n"/>
      <c r="E202" s="127" t="n"/>
      <c r="F202" s="128" t="n"/>
      <c r="G202" s="128" t="n"/>
      <c r="H202" s="129" t="n"/>
      <c r="I202" s="129" t="n"/>
      <c r="J202" s="128" t="n"/>
      <c r="K202" s="130" t="n"/>
      <c r="L202" s="130" t="n"/>
      <c r="M202" s="128" t="n"/>
      <c r="N202" s="129" t="n"/>
    </row>
    <row r="203" ht="15" customHeight="1" s="75">
      <c r="A203" s="124" t="n"/>
      <c r="B203" s="125" t="n"/>
      <c r="C203" s="126" t="n"/>
      <c r="D203" s="127" t="n"/>
      <c r="E203" s="127" t="n"/>
      <c r="F203" s="128" t="n"/>
      <c r="G203" s="128" t="n"/>
      <c r="H203" s="129" t="n"/>
      <c r="I203" s="129" t="n"/>
      <c r="J203" s="128" t="n"/>
      <c r="K203" s="130" t="n"/>
      <c r="L203" s="130" t="n"/>
      <c r="M203" s="128" t="n"/>
      <c r="N203" s="129" t="n"/>
    </row>
    <row r="204" ht="15" customHeight="1" s="75">
      <c r="A204" s="124" t="n"/>
      <c r="B204" s="125" t="n"/>
      <c r="C204" s="126" t="n"/>
      <c r="D204" s="127" t="n"/>
      <c r="E204" s="127" t="n"/>
      <c r="F204" s="128" t="n"/>
      <c r="G204" s="128" t="n"/>
      <c r="H204" s="129" t="n"/>
      <c r="I204" s="129" t="n"/>
      <c r="J204" s="128" t="n"/>
      <c r="K204" s="130" t="n"/>
      <c r="L204" s="130" t="n"/>
      <c r="M204" s="128" t="n"/>
      <c r="N204" s="129" t="n"/>
    </row>
    <row r="205" ht="15" customHeight="1" s="75">
      <c r="A205" s="124" t="n"/>
      <c r="B205" s="125" t="n"/>
      <c r="C205" s="126" t="n"/>
      <c r="D205" s="127" t="n"/>
      <c r="E205" s="127" t="n"/>
      <c r="F205" s="128" t="n"/>
      <c r="G205" s="128" t="n"/>
      <c r="H205" s="129" t="n"/>
      <c r="I205" s="129" t="n"/>
      <c r="J205" s="128" t="n"/>
      <c r="K205" s="130" t="n"/>
      <c r="L205" s="130" t="n"/>
      <c r="M205" s="128" t="n"/>
      <c r="N205" s="129" t="n"/>
    </row>
    <row r="206" ht="15" customHeight="1" s="75">
      <c r="A206" s="124" t="n"/>
      <c r="B206" s="125" t="n"/>
      <c r="C206" s="126" t="n"/>
      <c r="D206" s="127" t="n"/>
      <c r="E206" s="127" t="n"/>
      <c r="F206" s="128" t="n"/>
      <c r="G206" s="128" t="n"/>
      <c r="H206" s="129" t="n"/>
      <c r="I206" s="129" t="n"/>
      <c r="J206" s="128" t="n"/>
      <c r="K206" s="130" t="n"/>
      <c r="L206" s="130" t="n"/>
      <c r="M206" s="128" t="n"/>
      <c r="N206" s="129" t="n"/>
    </row>
    <row r="207" ht="15" customHeight="1" s="75">
      <c r="A207" s="124" t="n"/>
      <c r="B207" s="125" t="n"/>
      <c r="C207" s="126" t="n"/>
      <c r="D207" s="127" t="n"/>
      <c r="E207" s="127" t="n"/>
      <c r="F207" s="128" t="n"/>
      <c r="G207" s="128" t="n"/>
      <c r="H207" s="129" t="n"/>
      <c r="I207" s="129" t="n"/>
      <c r="J207" s="128" t="n"/>
      <c r="K207" s="130" t="n"/>
      <c r="L207" s="130" t="n"/>
      <c r="M207" s="128" t="n"/>
      <c r="N207" s="129" t="n"/>
    </row>
    <row r="208" ht="15" customHeight="1" s="75">
      <c r="A208" s="124" t="n"/>
      <c r="B208" s="125" t="n"/>
      <c r="C208" s="126" t="n"/>
      <c r="D208" s="127" t="n"/>
      <c r="E208" s="127" t="n"/>
      <c r="F208" s="128" t="n"/>
      <c r="G208" s="128" t="n"/>
      <c r="H208" s="129" t="n"/>
      <c r="I208" s="129" t="n"/>
      <c r="J208" s="128" t="n"/>
      <c r="K208" s="130" t="n"/>
      <c r="L208" s="130" t="n"/>
      <c r="M208" s="128" t="n"/>
      <c r="N208" s="129" t="n"/>
    </row>
    <row r="209" ht="15" customHeight="1" s="75">
      <c r="A209" s="124" t="n"/>
      <c r="B209" s="125" t="n"/>
      <c r="C209" s="126" t="n"/>
      <c r="D209" s="127" t="n"/>
      <c r="E209" s="127" t="n"/>
      <c r="F209" s="128" t="n"/>
      <c r="G209" s="128" t="n"/>
      <c r="H209" s="129" t="n"/>
      <c r="I209" s="129" t="n"/>
      <c r="J209" s="128" t="n"/>
      <c r="K209" s="130" t="n"/>
      <c r="L209" s="130" t="n"/>
      <c r="M209" s="128" t="n"/>
      <c r="N209" s="129" t="n"/>
    </row>
    <row r="210" ht="15" customHeight="1" s="75">
      <c r="A210" s="124" t="n"/>
      <c r="B210" s="125" t="n"/>
      <c r="C210" s="126" t="n"/>
      <c r="D210" s="127" t="n"/>
      <c r="E210" s="127" t="n"/>
      <c r="F210" s="128" t="n"/>
      <c r="G210" s="128" t="n"/>
      <c r="H210" s="129" t="n"/>
      <c r="I210" s="129" t="n"/>
      <c r="J210" s="128" t="n"/>
      <c r="K210" s="130" t="n"/>
      <c r="L210" s="130" t="n"/>
      <c r="M210" s="128" t="n"/>
      <c r="N210" s="129" t="n"/>
    </row>
    <row r="211" ht="15" customHeight="1" s="75">
      <c r="A211" s="124" t="n"/>
      <c r="B211" s="125" t="n"/>
      <c r="C211" s="126" t="n"/>
      <c r="D211" s="127" t="n"/>
      <c r="E211" s="127" t="n"/>
      <c r="F211" s="128" t="n"/>
      <c r="G211" s="128" t="n"/>
      <c r="H211" s="129" t="n"/>
      <c r="I211" s="129" t="n"/>
      <c r="J211" s="128" t="n"/>
      <c r="K211" s="130" t="n"/>
      <c r="L211" s="130" t="n"/>
      <c r="M211" s="128" t="n"/>
      <c r="N211" s="129" t="n"/>
    </row>
    <row r="212" ht="15" customHeight="1" s="75">
      <c r="A212" s="124" t="n"/>
      <c r="B212" s="125" t="n"/>
      <c r="C212" s="126" t="n"/>
      <c r="D212" s="127" t="n"/>
      <c r="E212" s="127" t="n"/>
      <c r="F212" s="128" t="n"/>
      <c r="G212" s="128" t="n"/>
      <c r="H212" s="129" t="n"/>
      <c r="I212" s="129" t="n"/>
      <c r="J212" s="128" t="n"/>
      <c r="K212" s="130" t="n"/>
      <c r="L212" s="130" t="n"/>
      <c r="M212" s="128" t="n"/>
      <c r="N212" s="129" t="n"/>
    </row>
    <row r="213" ht="15" customHeight="1" s="75">
      <c r="A213" s="124" t="n"/>
      <c r="B213" s="125" t="n"/>
      <c r="C213" s="126" t="n"/>
      <c r="D213" s="127" t="n"/>
      <c r="E213" s="127" t="n"/>
      <c r="F213" s="128" t="n"/>
      <c r="G213" s="128" t="n"/>
      <c r="H213" s="129" t="n"/>
      <c r="I213" s="129" t="n"/>
      <c r="J213" s="128" t="n"/>
      <c r="K213" s="130" t="n"/>
      <c r="L213" s="130" t="n"/>
      <c r="M213" s="128" t="n"/>
      <c r="N213" s="129" t="n"/>
    </row>
    <row r="214" ht="15" customHeight="1" s="75">
      <c r="A214" s="124" t="n"/>
      <c r="B214" s="125" t="n"/>
      <c r="C214" s="126" t="n"/>
      <c r="D214" s="127" t="n"/>
      <c r="E214" s="127" t="n"/>
      <c r="F214" s="128" t="n"/>
      <c r="G214" s="128" t="n"/>
      <c r="H214" s="129" t="n"/>
      <c r="I214" s="129" t="n"/>
      <c r="J214" s="128" t="n"/>
      <c r="K214" s="130" t="n"/>
      <c r="L214" s="130" t="n"/>
      <c r="M214" s="128" t="n"/>
      <c r="N214" s="129" t="n"/>
    </row>
    <row r="215" ht="15" customHeight="1" s="75">
      <c r="A215" s="124" t="n"/>
      <c r="B215" s="125" t="n"/>
      <c r="C215" s="126" t="n"/>
      <c r="D215" s="127" t="n"/>
      <c r="E215" s="127" t="n"/>
      <c r="F215" s="128" t="n"/>
      <c r="G215" s="128" t="n"/>
      <c r="H215" s="129" t="n"/>
      <c r="I215" s="129" t="n"/>
      <c r="J215" s="128" t="n"/>
      <c r="K215" s="130" t="n"/>
      <c r="L215" s="130" t="n"/>
      <c r="M215" s="128" t="n"/>
      <c r="N215" s="129" t="n"/>
    </row>
    <row r="216" ht="15" customHeight="1" s="75">
      <c r="A216" s="124" t="n"/>
      <c r="B216" s="125" t="n"/>
      <c r="C216" s="126" t="n"/>
      <c r="D216" s="127" t="n"/>
      <c r="E216" s="127" t="n"/>
      <c r="F216" s="128" t="n"/>
      <c r="G216" s="128" t="n"/>
      <c r="H216" s="129" t="n"/>
      <c r="I216" s="129" t="n"/>
      <c r="J216" s="128" t="n"/>
      <c r="K216" s="130" t="n"/>
      <c r="L216" s="130" t="n"/>
      <c r="M216" s="128" t="n"/>
      <c r="N216" s="129" t="n"/>
    </row>
    <row r="217" ht="15" customHeight="1" s="75">
      <c r="A217" s="124" t="n"/>
      <c r="B217" s="125" t="n"/>
      <c r="C217" s="126" t="n"/>
      <c r="D217" s="127" t="n"/>
      <c r="E217" s="127" t="n"/>
      <c r="F217" s="128" t="n"/>
      <c r="G217" s="128" t="n"/>
      <c r="H217" s="129" t="n"/>
      <c r="I217" s="129" t="n"/>
      <c r="J217" s="128" t="n"/>
      <c r="K217" s="130" t="n"/>
      <c r="L217" s="130" t="n"/>
      <c r="M217" s="128" t="n"/>
      <c r="N217" s="129" t="n"/>
    </row>
    <row r="218" ht="15" customHeight="1" s="75">
      <c r="A218" s="124" t="n"/>
      <c r="B218" s="125" t="n"/>
      <c r="C218" s="126" t="n"/>
      <c r="D218" s="127" t="n"/>
      <c r="E218" s="127" t="n"/>
      <c r="F218" s="128" t="n"/>
      <c r="G218" s="128" t="n"/>
      <c r="H218" s="129" t="n"/>
      <c r="I218" s="129" t="n"/>
      <c r="J218" s="128" t="n"/>
      <c r="K218" s="130" t="n"/>
      <c r="L218" s="130" t="n"/>
      <c r="M218" s="128" t="n"/>
      <c r="N218" s="129" t="n"/>
    </row>
    <row r="219" ht="15" customHeight="1" s="75">
      <c r="A219" s="124" t="n"/>
      <c r="B219" s="125" t="n"/>
      <c r="C219" s="126" t="n"/>
      <c r="D219" s="127" t="n"/>
      <c r="E219" s="127" t="n"/>
      <c r="F219" s="128" t="n"/>
      <c r="G219" s="128" t="n"/>
      <c r="H219" s="129" t="n"/>
      <c r="I219" s="129" t="n"/>
      <c r="J219" s="128" t="n"/>
      <c r="K219" s="130" t="n"/>
      <c r="L219" s="130" t="n"/>
      <c r="M219" s="128" t="n"/>
      <c r="N219" s="129" t="n"/>
    </row>
    <row r="220" ht="15" customHeight="1" s="75">
      <c r="A220" s="124" t="n"/>
      <c r="B220" s="125" t="n"/>
      <c r="C220" s="126" t="n"/>
      <c r="D220" s="127" t="n"/>
      <c r="E220" s="127" t="n"/>
      <c r="F220" s="128" t="n"/>
      <c r="G220" s="128" t="n"/>
      <c r="H220" s="129" t="n"/>
      <c r="I220" s="129" t="n"/>
      <c r="J220" s="128" t="n"/>
      <c r="K220" s="130" t="n"/>
      <c r="L220" s="130" t="n"/>
      <c r="M220" s="128" t="n"/>
      <c r="N220" s="129" t="n"/>
    </row>
    <row r="221" ht="15" customHeight="1" s="75">
      <c r="A221" s="124" t="n"/>
      <c r="B221" s="125" t="n"/>
      <c r="C221" s="126" t="n"/>
      <c r="D221" s="127" t="n"/>
      <c r="E221" s="127" t="n"/>
      <c r="F221" s="128" t="n"/>
      <c r="G221" s="128" t="n"/>
      <c r="H221" s="129" t="n"/>
      <c r="I221" s="129" t="n"/>
      <c r="J221" s="128" t="n"/>
      <c r="K221" s="130" t="n"/>
      <c r="L221" s="130" t="n"/>
      <c r="M221" s="128" t="n"/>
      <c r="N221" s="129" t="n"/>
    </row>
    <row r="222" ht="15" customHeight="1" s="75">
      <c r="A222" s="124" t="n"/>
      <c r="B222" s="125" t="n"/>
      <c r="C222" s="126" t="n"/>
      <c r="D222" s="127" t="n"/>
      <c r="E222" s="127" t="n"/>
      <c r="F222" s="128" t="n"/>
      <c r="G222" s="128" t="n"/>
      <c r="H222" s="129" t="n"/>
      <c r="I222" s="129" t="n"/>
      <c r="J222" s="128" t="n"/>
      <c r="K222" s="130" t="n"/>
      <c r="L222" s="130" t="n"/>
      <c r="M222" s="128" t="n"/>
      <c r="N222" s="129" t="n"/>
    </row>
    <row r="223" ht="15" customHeight="1" s="75">
      <c r="A223" s="124" t="n"/>
      <c r="B223" s="125" t="n"/>
      <c r="C223" s="126" t="n"/>
      <c r="D223" s="127" t="n"/>
      <c r="E223" s="127" t="n"/>
      <c r="F223" s="128" t="n"/>
      <c r="G223" s="128" t="n"/>
      <c r="H223" s="129" t="n"/>
      <c r="I223" s="129" t="n"/>
      <c r="J223" s="128" t="n"/>
      <c r="K223" s="130" t="n"/>
      <c r="L223" s="130" t="n"/>
      <c r="M223" s="128" t="n"/>
      <c r="N223" s="129" t="n"/>
    </row>
    <row r="224" ht="15" customHeight="1" s="75">
      <c r="A224" s="124" t="n"/>
      <c r="B224" s="125" t="n"/>
      <c r="C224" s="126" t="n"/>
      <c r="D224" s="127" t="n"/>
      <c r="E224" s="127" t="n"/>
      <c r="F224" s="128" t="n"/>
      <c r="G224" s="128" t="n"/>
      <c r="H224" s="129" t="n"/>
      <c r="I224" s="129" t="n"/>
      <c r="J224" s="128" t="n"/>
      <c r="K224" s="130" t="n"/>
      <c r="L224" s="130" t="n"/>
      <c r="M224" s="128" t="n"/>
      <c r="N224" s="129" t="n"/>
    </row>
    <row r="225" ht="15" customHeight="1" s="75">
      <c r="A225" s="124" t="n"/>
      <c r="B225" s="125" t="n"/>
      <c r="C225" s="126" t="n"/>
      <c r="D225" s="127" t="n"/>
      <c r="E225" s="127" t="n"/>
      <c r="F225" s="128" t="n"/>
      <c r="G225" s="128" t="n"/>
      <c r="H225" s="129" t="n"/>
      <c r="I225" s="129" t="n"/>
      <c r="J225" s="128" t="n"/>
      <c r="K225" s="130" t="n"/>
      <c r="L225" s="130" t="n"/>
      <c r="M225" s="128" t="n"/>
      <c r="N225" s="129" t="n"/>
    </row>
    <row r="226" ht="15" customHeight="1" s="75">
      <c r="A226" s="124" t="n"/>
      <c r="B226" s="125" t="n"/>
      <c r="C226" s="126" t="n"/>
      <c r="D226" s="127" t="n"/>
      <c r="E226" s="127" t="n"/>
      <c r="F226" s="128" t="n"/>
      <c r="G226" s="128" t="n"/>
      <c r="H226" s="129" t="n"/>
      <c r="I226" s="129" t="n"/>
      <c r="J226" s="128" t="n"/>
      <c r="K226" s="130" t="n"/>
      <c r="L226" s="130" t="n"/>
      <c r="M226" s="128" t="n"/>
      <c r="N226" s="129" t="n"/>
    </row>
    <row r="227" ht="15" customHeight="1" s="75">
      <c r="A227" s="124" t="n"/>
      <c r="B227" s="125" t="n"/>
      <c r="C227" s="126" t="n"/>
      <c r="D227" s="127" t="n"/>
      <c r="E227" s="127" t="n"/>
      <c r="F227" s="128" t="n"/>
      <c r="G227" s="128" t="n"/>
      <c r="H227" s="129" t="n"/>
      <c r="I227" s="129" t="n"/>
      <c r="J227" s="128" t="n"/>
      <c r="K227" s="130" t="n"/>
      <c r="L227" s="130" t="n"/>
      <c r="M227" s="128" t="n"/>
      <c r="N227" s="129" t="n"/>
    </row>
    <row r="228" ht="15" customHeight="1" s="75">
      <c r="A228" s="124" t="n"/>
      <c r="B228" s="125" t="n"/>
      <c r="C228" s="126" t="n"/>
      <c r="D228" s="127" t="n"/>
      <c r="E228" s="127" t="n"/>
      <c r="F228" s="128" t="n"/>
      <c r="G228" s="128" t="n"/>
      <c r="H228" s="129" t="n"/>
      <c r="I228" s="129" t="n"/>
      <c r="J228" s="128" t="n"/>
      <c r="K228" s="130" t="n"/>
      <c r="L228" s="130" t="n"/>
      <c r="M228" s="128" t="n"/>
      <c r="N228" s="129" t="n"/>
    </row>
    <row r="229" ht="15" customHeight="1" s="75">
      <c r="A229" s="124" t="n"/>
      <c r="B229" s="125" t="n"/>
      <c r="C229" s="126" t="n"/>
      <c r="D229" s="127" t="n"/>
      <c r="E229" s="127" t="n"/>
      <c r="F229" s="128" t="n"/>
      <c r="G229" s="128" t="n"/>
      <c r="H229" s="129" t="n"/>
      <c r="I229" s="129" t="n"/>
      <c r="J229" s="128" t="n"/>
      <c r="K229" s="130" t="n"/>
      <c r="L229" s="130" t="n"/>
      <c r="M229" s="128" t="n"/>
      <c r="N229" s="129" t="n"/>
    </row>
    <row r="230" ht="15" customHeight="1" s="75">
      <c r="A230" s="124" t="n"/>
      <c r="B230" s="125" t="n"/>
      <c r="C230" s="126" t="n"/>
      <c r="D230" s="127" t="n"/>
      <c r="E230" s="127" t="n"/>
      <c r="F230" s="128" t="n"/>
      <c r="G230" s="128" t="n"/>
      <c r="H230" s="129" t="n"/>
      <c r="I230" s="129" t="n"/>
      <c r="J230" s="128" t="n"/>
      <c r="K230" s="130" t="n"/>
      <c r="L230" s="130" t="n"/>
      <c r="M230" s="128" t="n"/>
      <c r="N230" s="129" t="n"/>
    </row>
    <row r="231" ht="15" customHeight="1" s="75">
      <c r="A231" s="124" t="n"/>
      <c r="B231" s="125" t="n"/>
      <c r="C231" s="126" t="n"/>
      <c r="D231" s="127" t="n"/>
      <c r="E231" s="127" t="n"/>
      <c r="F231" s="128" t="n"/>
      <c r="G231" s="128" t="n"/>
      <c r="H231" s="129" t="n"/>
      <c r="I231" s="129" t="n"/>
      <c r="J231" s="128" t="n"/>
      <c r="K231" s="130" t="n"/>
      <c r="L231" s="130" t="n"/>
      <c r="M231" s="128" t="n"/>
      <c r="N231" s="129" t="n"/>
    </row>
    <row r="232" ht="15" customHeight="1" s="75">
      <c r="A232" s="124" t="n"/>
      <c r="B232" s="125" t="n"/>
      <c r="C232" s="126" t="n"/>
      <c r="D232" s="127" t="n"/>
      <c r="E232" s="127" t="n"/>
      <c r="F232" s="128" t="n"/>
      <c r="G232" s="128" t="n"/>
      <c r="H232" s="129" t="n"/>
      <c r="I232" s="129" t="n"/>
      <c r="J232" s="128" t="n"/>
      <c r="K232" s="130" t="n"/>
      <c r="L232" s="130" t="n"/>
      <c r="M232" s="128" t="n"/>
      <c r="N232" s="129" t="n"/>
    </row>
    <row r="233" ht="15" customHeight="1" s="75">
      <c r="A233" s="124" t="n"/>
      <c r="B233" s="125" t="n"/>
      <c r="C233" s="126" t="n"/>
      <c r="D233" s="127" t="n"/>
      <c r="E233" s="127" t="n"/>
      <c r="F233" s="128" t="n"/>
      <c r="G233" s="128" t="n"/>
      <c r="H233" s="129" t="n"/>
      <c r="I233" s="129" t="n"/>
      <c r="J233" s="128" t="n"/>
      <c r="K233" s="130" t="n"/>
      <c r="L233" s="130" t="n"/>
      <c r="M233" s="128" t="n"/>
      <c r="N233" s="129" t="n"/>
    </row>
    <row r="234" ht="15" customHeight="1" s="75">
      <c r="A234" s="124" t="n"/>
      <c r="B234" s="125" t="n"/>
      <c r="C234" s="126" t="n"/>
      <c r="D234" s="127" t="n"/>
      <c r="E234" s="127" t="n"/>
      <c r="F234" s="128" t="n"/>
      <c r="G234" s="128" t="n"/>
      <c r="H234" s="129" t="n"/>
      <c r="I234" s="129" t="n"/>
      <c r="J234" s="128" t="n"/>
      <c r="K234" s="130" t="n"/>
      <c r="L234" s="130" t="n"/>
      <c r="M234" s="128" t="n"/>
      <c r="N234" s="129" t="n"/>
    </row>
    <row r="235" ht="15" customHeight="1" s="75">
      <c r="A235" s="124" t="n"/>
      <c r="B235" s="125" t="n"/>
      <c r="C235" s="126" t="n"/>
      <c r="D235" s="127" t="n"/>
      <c r="E235" s="127" t="n"/>
      <c r="F235" s="128" t="n"/>
      <c r="G235" s="128" t="n"/>
      <c r="H235" s="129" t="n"/>
      <c r="I235" s="129" t="n"/>
      <c r="J235" s="128" t="n"/>
      <c r="K235" s="130" t="n"/>
      <c r="L235" s="130" t="n"/>
      <c r="M235" s="128" t="n"/>
      <c r="N235" s="129" t="n"/>
    </row>
    <row r="236" ht="15" customHeight="1" s="75">
      <c r="A236" s="124" t="n"/>
      <c r="B236" s="125" t="n"/>
      <c r="C236" s="126" t="n"/>
      <c r="D236" s="127" t="n"/>
      <c r="E236" s="127" t="n"/>
      <c r="F236" s="128" t="n"/>
      <c r="G236" s="128" t="n"/>
      <c r="H236" s="129" t="n"/>
      <c r="I236" s="129" t="n"/>
      <c r="J236" s="128" t="n"/>
      <c r="K236" s="130" t="n"/>
      <c r="L236" s="130" t="n"/>
      <c r="M236" s="128" t="n"/>
      <c r="N236" s="129" t="n"/>
    </row>
    <row r="237" ht="15" customHeight="1" s="75">
      <c r="A237" s="124" t="n"/>
      <c r="B237" s="125" t="n"/>
      <c r="C237" s="126" t="n"/>
      <c r="D237" s="127" t="n"/>
      <c r="E237" s="127" t="n"/>
      <c r="F237" s="128" t="n"/>
      <c r="G237" s="128" t="n"/>
      <c r="H237" s="129" t="n"/>
      <c r="I237" s="129" t="n"/>
      <c r="J237" s="128" t="n"/>
      <c r="K237" s="130" t="n"/>
      <c r="L237" s="130" t="n"/>
      <c r="M237" s="128" t="n"/>
      <c r="N237" s="129" t="n"/>
    </row>
    <row r="238" ht="15" customHeight="1" s="75">
      <c r="A238" s="124" t="n"/>
      <c r="B238" s="125" t="n"/>
      <c r="C238" s="126" t="n"/>
      <c r="D238" s="127" t="n"/>
      <c r="E238" s="127" t="n"/>
      <c r="F238" s="128" t="n"/>
      <c r="G238" s="128" t="n"/>
      <c r="H238" s="129" t="n"/>
      <c r="I238" s="129" t="n"/>
      <c r="J238" s="128" t="n"/>
      <c r="K238" s="130" t="n"/>
      <c r="L238" s="130" t="n"/>
      <c r="M238" s="128" t="n"/>
      <c r="N238" s="129" t="n"/>
    </row>
    <row r="239" ht="15" customHeight="1" s="75">
      <c r="A239" s="124" t="n"/>
      <c r="B239" s="125" t="n"/>
      <c r="C239" s="126" t="n"/>
      <c r="D239" s="127" t="n"/>
      <c r="E239" s="127" t="n"/>
      <c r="F239" s="128" t="n"/>
      <c r="G239" s="128" t="n"/>
      <c r="H239" s="129" t="n"/>
      <c r="I239" s="129" t="n"/>
      <c r="J239" s="128" t="n"/>
      <c r="K239" s="130" t="n"/>
      <c r="L239" s="130" t="n"/>
      <c r="M239" s="128" t="n"/>
      <c r="N239" s="129" t="n"/>
    </row>
    <row r="240" ht="15" customHeight="1" s="75">
      <c r="A240" s="124" t="n"/>
      <c r="B240" s="125" t="n"/>
      <c r="C240" s="126" t="n"/>
      <c r="D240" s="127" t="n"/>
      <c r="E240" s="127" t="n"/>
      <c r="F240" s="128" t="n"/>
      <c r="G240" s="128" t="n"/>
      <c r="H240" s="129" t="n"/>
      <c r="I240" s="129" t="n"/>
      <c r="J240" s="128" t="n"/>
      <c r="K240" s="130" t="n"/>
      <c r="L240" s="130" t="n"/>
      <c r="M240" s="128" t="n"/>
      <c r="N240" s="129" t="n"/>
    </row>
    <row r="241" ht="15" customHeight="1" s="75">
      <c r="A241" s="124" t="n"/>
      <c r="B241" s="125" t="n"/>
      <c r="C241" s="126" t="n"/>
      <c r="D241" s="127" t="n"/>
      <c r="E241" s="127" t="n"/>
      <c r="F241" s="128" t="n"/>
      <c r="G241" s="128" t="n"/>
      <c r="H241" s="129" t="n"/>
      <c r="I241" s="129" t="n"/>
      <c r="J241" s="128" t="n"/>
      <c r="K241" s="130" t="n"/>
      <c r="L241" s="130" t="n"/>
      <c r="M241" s="128" t="n"/>
      <c r="N241" s="129" t="n"/>
    </row>
    <row r="242" ht="15" customHeight="1" s="75">
      <c r="A242" s="124" t="n"/>
      <c r="B242" s="125" t="n"/>
      <c r="C242" s="126" t="n"/>
      <c r="D242" s="127" t="n"/>
      <c r="E242" s="127" t="n"/>
      <c r="F242" s="128" t="n"/>
      <c r="G242" s="128" t="n"/>
      <c r="H242" s="129" t="n"/>
      <c r="I242" s="129" t="n"/>
      <c r="J242" s="128" t="n"/>
      <c r="K242" s="130" t="n"/>
      <c r="L242" s="130" t="n"/>
      <c r="M242" s="128" t="n"/>
      <c r="N242" s="129" t="n"/>
    </row>
    <row r="243" ht="15" customHeight="1" s="75">
      <c r="A243" s="124" t="n"/>
      <c r="B243" s="125" t="n"/>
      <c r="C243" s="126" t="n"/>
      <c r="D243" s="127" t="n"/>
      <c r="E243" s="127" t="n"/>
      <c r="F243" s="128" t="n"/>
      <c r="G243" s="128" t="n"/>
      <c r="H243" s="129" t="n"/>
      <c r="I243" s="129" t="n"/>
      <c r="J243" s="128" t="n"/>
      <c r="K243" s="130" t="n"/>
      <c r="L243" s="130" t="n"/>
      <c r="M243" s="128" t="n"/>
      <c r="N243" s="129" t="n"/>
    </row>
    <row r="244" ht="15" customHeight="1" s="75">
      <c r="A244" s="124" t="n"/>
      <c r="B244" s="125" t="n"/>
      <c r="C244" s="126" t="n"/>
      <c r="D244" s="127" t="n"/>
      <c r="E244" s="127" t="n"/>
      <c r="F244" s="128" t="n"/>
      <c r="G244" s="128" t="n"/>
      <c r="H244" s="129" t="n"/>
      <c r="I244" s="129" t="n"/>
      <c r="J244" s="128" t="n"/>
      <c r="K244" s="130" t="n"/>
      <c r="L244" s="130" t="n"/>
      <c r="M244" s="128" t="n"/>
      <c r="N244" s="129" t="n"/>
    </row>
    <row r="245" ht="15" customHeight="1" s="75">
      <c r="A245" s="124" t="n"/>
      <c r="B245" s="125" t="n"/>
      <c r="C245" s="126" t="n"/>
      <c r="D245" s="127" t="n"/>
      <c r="E245" s="127" t="n"/>
      <c r="F245" s="128" t="n"/>
      <c r="G245" s="128" t="n"/>
      <c r="H245" s="129" t="n"/>
      <c r="I245" s="129" t="n"/>
      <c r="J245" s="128" t="n"/>
      <c r="K245" s="130" t="n"/>
      <c r="L245" s="130" t="n"/>
      <c r="M245" s="128" t="n"/>
      <c r="N245" s="129" t="n"/>
    </row>
    <row r="246" ht="15" customHeight="1" s="75">
      <c r="A246" s="124" t="n"/>
      <c r="B246" s="125" t="n"/>
      <c r="C246" s="126" t="n"/>
      <c r="D246" s="127" t="n"/>
      <c r="E246" s="127" t="n"/>
      <c r="F246" s="128" t="n"/>
      <c r="G246" s="128" t="n"/>
      <c r="H246" s="129" t="n"/>
      <c r="I246" s="129" t="n"/>
      <c r="J246" s="128" t="n"/>
      <c r="K246" s="130" t="n"/>
      <c r="L246" s="130" t="n"/>
      <c r="M246" s="128" t="n"/>
      <c r="N246" s="129" t="n"/>
    </row>
    <row r="247" ht="15" customHeight="1" s="75">
      <c r="A247" s="124" t="n"/>
      <c r="B247" s="125" t="n"/>
      <c r="C247" s="126" t="n"/>
      <c r="D247" s="127" t="n"/>
      <c r="E247" s="127" t="n"/>
      <c r="F247" s="128" t="n"/>
      <c r="G247" s="128" t="n"/>
      <c r="H247" s="129" t="n"/>
      <c r="I247" s="129" t="n"/>
      <c r="J247" s="128" t="n"/>
      <c r="K247" s="130" t="n"/>
      <c r="L247" s="130" t="n"/>
      <c r="M247" s="128" t="n"/>
      <c r="N247" s="129" t="n"/>
    </row>
    <row r="248" ht="15" customHeight="1" s="75">
      <c r="A248" s="124" t="n"/>
      <c r="B248" s="125" t="n"/>
      <c r="C248" s="126" t="n"/>
      <c r="D248" s="127" t="n"/>
      <c r="E248" s="127" t="n"/>
      <c r="F248" s="128" t="n"/>
      <c r="G248" s="128" t="n"/>
      <c r="H248" s="129" t="n"/>
      <c r="I248" s="129" t="n"/>
      <c r="J248" s="128" t="n"/>
      <c r="K248" s="130" t="n"/>
      <c r="L248" s="130" t="n"/>
      <c r="M248" s="128" t="n"/>
      <c r="N248" s="129" t="n"/>
    </row>
    <row r="249" ht="15" customHeight="1" s="75">
      <c r="A249" s="124" t="n"/>
      <c r="B249" s="125" t="n"/>
      <c r="C249" s="126" t="n"/>
      <c r="D249" s="127" t="n"/>
      <c r="E249" s="127" t="n"/>
      <c r="F249" s="128" t="n"/>
      <c r="G249" s="128" t="n"/>
      <c r="H249" s="129" t="n"/>
      <c r="I249" s="129" t="n"/>
      <c r="J249" s="128" t="n"/>
      <c r="K249" s="130" t="n"/>
      <c r="L249" s="130" t="n"/>
      <c r="M249" s="128" t="n"/>
      <c r="N249" s="129" t="n"/>
    </row>
    <row r="250" ht="15" customHeight="1" s="75">
      <c r="A250" s="124" t="n"/>
      <c r="B250" s="125" t="n"/>
      <c r="C250" s="126" t="n"/>
      <c r="D250" s="127" t="n"/>
      <c r="E250" s="127" t="n"/>
      <c r="F250" s="128" t="n"/>
      <c r="G250" s="128" t="n"/>
      <c r="H250" s="129" t="n"/>
      <c r="I250" s="129" t="n"/>
      <c r="J250" s="128" t="n"/>
      <c r="K250" s="130" t="n"/>
      <c r="L250" s="130" t="n"/>
      <c r="M250" s="128" t="n"/>
      <c r="N250" s="129" t="n"/>
    </row>
    <row r="251" ht="15" customHeight="1" s="75">
      <c r="A251" s="124" t="n"/>
      <c r="B251" s="125" t="n"/>
      <c r="C251" s="126" t="n"/>
      <c r="D251" s="127" t="n"/>
      <c r="E251" s="127" t="n"/>
      <c r="F251" s="128" t="n"/>
      <c r="G251" s="128" t="n"/>
      <c r="H251" s="129" t="n"/>
      <c r="I251" s="129" t="n"/>
      <c r="J251" s="128" t="n"/>
      <c r="K251" s="130" t="n"/>
      <c r="L251" s="130" t="n"/>
      <c r="M251" s="128" t="n"/>
      <c r="N251" s="129" t="n"/>
    </row>
    <row r="252" ht="15" customHeight="1" s="75">
      <c r="A252" s="124" t="n"/>
      <c r="B252" s="125" t="n"/>
      <c r="C252" s="126" t="n"/>
      <c r="D252" s="127" t="n"/>
      <c r="E252" s="127" t="n"/>
      <c r="F252" s="128" t="n"/>
      <c r="G252" s="128" t="n"/>
      <c r="H252" s="129" t="n"/>
      <c r="I252" s="129" t="n"/>
      <c r="J252" s="128" t="n"/>
      <c r="K252" s="130" t="n"/>
      <c r="L252" s="130" t="n"/>
      <c r="M252" s="128" t="n"/>
      <c r="N252" s="129" t="n"/>
    </row>
    <row r="253" ht="15" customHeight="1" s="75">
      <c r="A253" s="124" t="n"/>
      <c r="B253" s="125" t="n"/>
      <c r="C253" s="126" t="n"/>
      <c r="D253" s="127" t="n"/>
      <c r="E253" s="127" t="n"/>
      <c r="F253" s="128" t="n"/>
      <c r="G253" s="128" t="n"/>
      <c r="H253" s="129" t="n"/>
      <c r="I253" s="129" t="n"/>
      <c r="J253" s="128" t="n"/>
      <c r="K253" s="130" t="n"/>
      <c r="L253" s="130" t="n"/>
      <c r="M253" s="128" t="n"/>
      <c r="N253" s="129" t="n"/>
    </row>
    <row r="254" ht="15" customHeight="1" s="75">
      <c r="A254" s="124" t="n"/>
      <c r="B254" s="125" t="n"/>
      <c r="C254" s="126" t="n"/>
      <c r="D254" s="127" t="n"/>
      <c r="E254" s="127" t="n"/>
      <c r="F254" s="128" t="n"/>
      <c r="G254" s="128" t="n"/>
      <c r="H254" s="129" t="n"/>
      <c r="I254" s="129" t="n"/>
      <c r="J254" s="128" t="n"/>
      <c r="K254" s="130" t="n"/>
      <c r="L254" s="130" t="n"/>
      <c r="M254" s="128" t="n"/>
      <c r="N254" s="129" t="n"/>
    </row>
    <row r="255" ht="15" customHeight="1" s="75">
      <c r="A255" s="124" t="n"/>
      <c r="B255" s="125" t="n"/>
      <c r="C255" s="126" t="n"/>
      <c r="D255" s="127" t="n"/>
      <c r="E255" s="127" t="n"/>
      <c r="F255" s="128" t="n"/>
      <c r="G255" s="128" t="n"/>
      <c r="H255" s="129" t="n"/>
      <c r="I255" s="129" t="n"/>
      <c r="J255" s="128" t="n"/>
      <c r="K255" s="130" t="n"/>
      <c r="L255" s="130" t="n"/>
      <c r="M255" s="128" t="n"/>
      <c r="N255" s="129" t="n"/>
    </row>
    <row r="256" ht="15" customHeight="1" s="75">
      <c r="A256" s="124" t="n"/>
      <c r="B256" s="125" t="n"/>
      <c r="C256" s="126" t="n"/>
      <c r="D256" s="127" t="n"/>
      <c r="E256" s="127" t="n"/>
      <c r="F256" s="128" t="n"/>
      <c r="G256" s="128" t="n"/>
      <c r="H256" s="129" t="n"/>
      <c r="I256" s="129" t="n"/>
      <c r="J256" s="128" t="n"/>
      <c r="K256" s="130" t="n"/>
      <c r="L256" s="130" t="n"/>
      <c r="M256" s="128" t="n"/>
      <c r="N256" s="129" t="n"/>
    </row>
    <row r="257" ht="15" customHeight="1" s="75">
      <c r="A257" s="124" t="n"/>
      <c r="B257" s="125" t="n"/>
      <c r="C257" s="126" t="n"/>
      <c r="D257" s="127" t="n"/>
      <c r="E257" s="127" t="n"/>
      <c r="F257" s="128" t="n"/>
      <c r="G257" s="128" t="n"/>
      <c r="H257" s="129" t="n"/>
      <c r="I257" s="129" t="n"/>
      <c r="J257" s="128" t="n"/>
      <c r="K257" s="130" t="n"/>
      <c r="L257" s="130" t="n"/>
      <c r="M257" s="128" t="n"/>
      <c r="N257" s="129" t="n"/>
    </row>
    <row r="258" ht="15" customHeight="1" s="75">
      <c r="A258" s="124" t="n"/>
      <c r="B258" s="125" t="n"/>
      <c r="C258" s="126" t="n"/>
      <c r="D258" s="127" t="n"/>
      <c r="E258" s="127" t="n"/>
      <c r="F258" s="128" t="n"/>
      <c r="G258" s="128" t="n"/>
      <c r="H258" s="129" t="n"/>
      <c r="I258" s="129" t="n"/>
      <c r="J258" s="128" t="n"/>
      <c r="K258" s="130" t="n"/>
      <c r="L258" s="130" t="n"/>
      <c r="M258" s="128" t="n"/>
      <c r="N258" s="129" t="n"/>
    </row>
    <row r="259" ht="15" customHeight="1" s="75">
      <c r="A259" s="124" t="n"/>
      <c r="B259" s="125" t="n"/>
      <c r="C259" s="126" t="n"/>
      <c r="D259" s="127" t="n"/>
      <c r="E259" s="127" t="n"/>
      <c r="F259" s="128" t="n"/>
      <c r="G259" s="128" t="n"/>
      <c r="H259" s="129" t="n"/>
      <c r="I259" s="129" t="n"/>
      <c r="J259" s="128" t="n"/>
      <c r="K259" s="130" t="n"/>
      <c r="L259" s="130" t="n"/>
      <c r="M259" s="128" t="n"/>
      <c r="N259" s="129" t="n"/>
    </row>
    <row r="260" ht="15" customHeight="1" s="75">
      <c r="A260" s="124" t="n"/>
      <c r="B260" s="125" t="n"/>
      <c r="C260" s="126" t="n"/>
      <c r="D260" s="127" t="n"/>
      <c r="E260" s="127" t="n"/>
      <c r="F260" s="128" t="n"/>
      <c r="G260" s="128" t="n"/>
      <c r="H260" s="129" t="n"/>
      <c r="I260" s="129" t="n"/>
      <c r="J260" s="128" t="n"/>
      <c r="K260" s="130" t="n"/>
      <c r="L260" s="130" t="n"/>
      <c r="M260" s="128" t="n"/>
      <c r="N260" s="129" t="n"/>
    </row>
    <row r="261" ht="15" customHeight="1" s="75">
      <c r="A261" s="124" t="n"/>
      <c r="B261" s="125" t="n"/>
      <c r="C261" s="126" t="n"/>
      <c r="D261" s="127" t="n"/>
      <c r="E261" s="127" t="n"/>
      <c r="F261" s="128" t="n"/>
      <c r="G261" s="128" t="n"/>
      <c r="H261" s="129" t="n"/>
      <c r="I261" s="129" t="n"/>
      <c r="J261" s="128" t="n"/>
      <c r="K261" s="130" t="n"/>
      <c r="L261" s="130" t="n"/>
      <c r="M261" s="128" t="n"/>
      <c r="N261" s="129" t="n"/>
    </row>
    <row r="262" ht="15" customHeight="1" s="75">
      <c r="A262" s="124" t="n"/>
      <c r="B262" s="125" t="n"/>
      <c r="C262" s="126" t="n"/>
      <c r="D262" s="127" t="n"/>
      <c r="E262" s="127" t="n"/>
      <c r="F262" s="128" t="n"/>
      <c r="G262" s="128" t="n"/>
      <c r="H262" s="129" t="n"/>
      <c r="I262" s="129" t="n"/>
      <c r="J262" s="128" t="n"/>
      <c r="K262" s="130" t="n"/>
      <c r="L262" s="130" t="n"/>
      <c r="M262" s="128" t="n"/>
      <c r="N262" s="129" t="n"/>
    </row>
    <row r="263" ht="15" customHeight="1" s="75">
      <c r="A263" s="124" t="n"/>
      <c r="B263" s="125" t="n"/>
      <c r="C263" s="126" t="n"/>
      <c r="D263" s="127" t="n"/>
      <c r="E263" s="127" t="n"/>
      <c r="F263" s="128" t="n"/>
      <c r="G263" s="128" t="n"/>
      <c r="H263" s="129" t="n"/>
      <c r="I263" s="129" t="n"/>
      <c r="J263" s="128" t="n"/>
      <c r="K263" s="130" t="n"/>
      <c r="L263" s="130" t="n"/>
      <c r="M263" s="128" t="n"/>
      <c r="N263" s="129" t="n"/>
    </row>
    <row r="264" ht="15" customHeight="1" s="75">
      <c r="A264" s="124" t="n"/>
      <c r="B264" s="125" t="n"/>
      <c r="C264" s="126" t="n"/>
      <c r="D264" s="127" t="n"/>
      <c r="E264" s="127" t="n"/>
      <c r="F264" s="128" t="n"/>
      <c r="G264" s="128" t="n"/>
      <c r="H264" s="129" t="n"/>
      <c r="I264" s="129" t="n"/>
      <c r="J264" s="128" t="n"/>
      <c r="K264" s="130" t="n"/>
      <c r="L264" s="130" t="n"/>
      <c r="M264" s="128" t="n"/>
      <c r="N264" s="129" t="n"/>
    </row>
    <row r="265" ht="15" customHeight="1" s="75">
      <c r="A265" s="124" t="n"/>
      <c r="B265" s="125" t="n"/>
      <c r="C265" s="126" t="n"/>
      <c r="D265" s="127" t="n"/>
      <c r="E265" s="127" t="n"/>
      <c r="F265" s="128" t="n"/>
      <c r="G265" s="128" t="n"/>
      <c r="H265" s="129" t="n"/>
      <c r="I265" s="129" t="n"/>
      <c r="J265" s="128" t="n"/>
      <c r="K265" s="130" t="n"/>
      <c r="L265" s="130" t="n"/>
      <c r="M265" s="128" t="n"/>
      <c r="N265" s="129" t="n"/>
    </row>
    <row r="266" ht="15" customHeight="1" s="75">
      <c r="A266" s="124" t="n"/>
      <c r="B266" s="125" t="n"/>
      <c r="C266" s="126" t="n"/>
      <c r="D266" s="127" t="n"/>
      <c r="E266" s="127" t="n"/>
      <c r="F266" s="128" t="n"/>
      <c r="G266" s="128" t="n"/>
      <c r="H266" s="129" t="n"/>
      <c r="I266" s="129" t="n"/>
      <c r="J266" s="128" t="n"/>
      <c r="K266" s="130" t="n"/>
      <c r="L266" s="130" t="n"/>
      <c r="M266" s="128" t="n"/>
      <c r="N266" s="129" t="n"/>
    </row>
    <row r="267" ht="15" customHeight="1" s="75">
      <c r="A267" s="124" t="n"/>
      <c r="B267" s="125" t="n"/>
      <c r="C267" s="126" t="n"/>
      <c r="D267" s="127" t="n"/>
      <c r="E267" s="127" t="n"/>
      <c r="F267" s="128" t="n"/>
      <c r="G267" s="128" t="n"/>
      <c r="H267" s="129" t="n"/>
      <c r="I267" s="129" t="n"/>
      <c r="J267" s="128" t="n"/>
      <c r="K267" s="130" t="n"/>
      <c r="L267" s="130" t="n"/>
      <c r="M267" s="128" t="n"/>
      <c r="N267" s="129" t="n"/>
    </row>
    <row r="268" ht="15" customHeight="1" s="75">
      <c r="A268" s="124" t="n"/>
      <c r="B268" s="125" t="n"/>
      <c r="C268" s="126" t="n"/>
      <c r="D268" s="127" t="n"/>
      <c r="E268" s="127" t="n"/>
      <c r="F268" s="128" t="n"/>
      <c r="G268" s="128" t="n"/>
      <c r="H268" s="129" t="n"/>
      <c r="I268" s="129" t="n"/>
      <c r="J268" s="128" t="n"/>
      <c r="K268" s="130" t="n"/>
      <c r="L268" s="130" t="n"/>
      <c r="M268" s="128" t="n"/>
      <c r="N268" s="129" t="n"/>
    </row>
    <row r="269" ht="15" customHeight="1" s="75">
      <c r="A269" s="124" t="n"/>
      <c r="B269" s="125" t="n"/>
      <c r="C269" s="126" t="n"/>
      <c r="D269" s="127" t="n"/>
      <c r="E269" s="127" t="n"/>
      <c r="F269" s="128" t="n"/>
      <c r="G269" s="128" t="n"/>
      <c r="H269" s="129" t="n"/>
      <c r="I269" s="129" t="n"/>
      <c r="J269" s="128" t="n"/>
      <c r="K269" s="130" t="n"/>
      <c r="L269" s="130" t="n"/>
      <c r="M269" s="128" t="n"/>
      <c r="N269" s="129" t="n"/>
    </row>
    <row r="270" ht="15" customHeight="1" s="75">
      <c r="A270" s="124" t="n"/>
      <c r="B270" s="125" t="n"/>
      <c r="C270" s="126" t="n"/>
      <c r="D270" s="127" t="n"/>
      <c r="E270" s="127" t="n"/>
      <c r="F270" s="128" t="n"/>
      <c r="G270" s="128" t="n"/>
      <c r="H270" s="129" t="n"/>
      <c r="I270" s="129" t="n"/>
      <c r="J270" s="128" t="n"/>
      <c r="K270" s="130" t="n"/>
      <c r="L270" s="130" t="n"/>
      <c r="M270" s="128" t="n"/>
      <c r="N270" s="129" t="n"/>
    </row>
    <row r="271" ht="15" customHeight="1" s="75">
      <c r="A271" s="124" t="n"/>
      <c r="B271" s="125" t="n"/>
      <c r="C271" s="126" t="n"/>
      <c r="D271" s="127" t="n"/>
      <c r="E271" s="127" t="n"/>
      <c r="F271" s="128" t="n"/>
      <c r="G271" s="128" t="n"/>
      <c r="H271" s="129" t="n"/>
      <c r="I271" s="129" t="n"/>
      <c r="J271" s="128" t="n"/>
      <c r="K271" s="130" t="n"/>
      <c r="L271" s="130" t="n"/>
      <c r="M271" s="128" t="n"/>
      <c r="N271" s="129" t="n"/>
    </row>
    <row r="272" ht="15" customHeight="1" s="75">
      <c r="A272" s="124" t="n"/>
      <c r="B272" s="125" t="n"/>
      <c r="C272" s="126" t="n"/>
      <c r="D272" s="127" t="n"/>
      <c r="E272" s="127" t="n"/>
      <c r="F272" s="128" t="n"/>
      <c r="G272" s="128" t="n"/>
      <c r="H272" s="129" t="n"/>
      <c r="I272" s="129" t="n"/>
      <c r="J272" s="128" t="n"/>
      <c r="K272" s="130" t="n"/>
      <c r="L272" s="130" t="n"/>
      <c r="M272" s="128" t="n"/>
      <c r="N272" s="129" t="n"/>
    </row>
    <row r="273" ht="15" customHeight="1" s="75">
      <c r="A273" s="124" t="n"/>
      <c r="B273" s="125" t="n"/>
      <c r="C273" s="126" t="n"/>
      <c r="D273" s="127" t="n"/>
      <c r="E273" s="127" t="n"/>
      <c r="F273" s="128" t="n"/>
      <c r="G273" s="128" t="n"/>
      <c r="H273" s="129" t="n"/>
      <c r="I273" s="129" t="n"/>
      <c r="J273" s="128" t="n"/>
      <c r="K273" s="130" t="n"/>
      <c r="L273" s="130" t="n"/>
      <c r="M273" s="128" t="n"/>
      <c r="N273" s="129" t="n"/>
    </row>
    <row r="274" ht="15" customHeight="1" s="75">
      <c r="A274" s="124" t="n"/>
      <c r="B274" s="125" t="n"/>
      <c r="C274" s="126" t="n"/>
      <c r="D274" s="127" t="n"/>
      <c r="E274" s="127" t="n"/>
      <c r="F274" s="128" t="n"/>
      <c r="G274" s="128" t="n"/>
      <c r="H274" s="129" t="n"/>
      <c r="I274" s="129" t="n"/>
      <c r="J274" s="128" t="n"/>
      <c r="K274" s="130" t="n"/>
      <c r="L274" s="130" t="n"/>
      <c r="M274" s="128" t="n"/>
      <c r="N274" s="129" t="n"/>
    </row>
    <row r="275" ht="15" customHeight="1" s="75">
      <c r="A275" s="124" t="n"/>
      <c r="B275" s="125" t="n"/>
      <c r="C275" s="126" t="n"/>
      <c r="D275" s="127" t="n"/>
      <c r="E275" s="127" t="n"/>
      <c r="F275" s="128" t="n"/>
      <c r="G275" s="128" t="n"/>
      <c r="H275" s="129" t="n"/>
      <c r="I275" s="129" t="n"/>
      <c r="J275" s="128" t="n"/>
      <c r="K275" s="130" t="n"/>
      <c r="L275" s="130" t="n"/>
      <c r="M275" s="128" t="n"/>
      <c r="N275" s="129" t="n"/>
    </row>
    <row r="276" ht="15" customHeight="1" s="75">
      <c r="A276" s="124" t="n"/>
      <c r="B276" s="125" t="n"/>
      <c r="C276" s="126" t="n"/>
      <c r="D276" s="127" t="n"/>
      <c r="E276" s="127" t="n"/>
      <c r="F276" s="128" t="n"/>
      <c r="G276" s="128" t="n"/>
      <c r="H276" s="129" t="n"/>
      <c r="I276" s="129" t="n"/>
      <c r="J276" s="128" t="n"/>
      <c r="K276" s="130" t="n"/>
      <c r="L276" s="130" t="n"/>
      <c r="M276" s="128" t="n"/>
      <c r="N276" s="129" t="n"/>
    </row>
    <row r="277" ht="15" customHeight="1" s="75">
      <c r="A277" s="124" t="n"/>
      <c r="B277" s="125" t="n"/>
      <c r="C277" s="126" t="n"/>
      <c r="D277" s="127" t="n"/>
      <c r="E277" s="127" t="n"/>
      <c r="F277" s="128" t="n"/>
      <c r="G277" s="128" t="n"/>
      <c r="H277" s="129" t="n"/>
      <c r="I277" s="129" t="n"/>
      <c r="J277" s="128" t="n"/>
      <c r="K277" s="130" t="n"/>
      <c r="L277" s="130" t="n"/>
      <c r="M277" s="128" t="n"/>
      <c r="N277" s="129" t="n"/>
    </row>
    <row r="278" ht="15" customHeight="1" s="75">
      <c r="A278" s="124" t="n"/>
      <c r="B278" s="125" t="n"/>
      <c r="C278" s="126" t="n"/>
      <c r="D278" s="127" t="n"/>
      <c r="E278" s="127" t="n"/>
      <c r="F278" s="128" t="n"/>
      <c r="G278" s="128" t="n"/>
      <c r="H278" s="129" t="n"/>
      <c r="I278" s="129" t="n"/>
      <c r="J278" s="128" t="n"/>
      <c r="K278" s="130" t="n"/>
      <c r="L278" s="130" t="n"/>
      <c r="M278" s="128" t="n"/>
      <c r="N278" s="129" t="n"/>
    </row>
    <row r="279" ht="15" customHeight="1" s="75">
      <c r="A279" s="124" t="n"/>
      <c r="B279" s="125" t="n"/>
      <c r="C279" s="126" t="n"/>
      <c r="D279" s="127" t="n"/>
      <c r="E279" s="127" t="n"/>
      <c r="F279" s="128" t="n"/>
      <c r="G279" s="128" t="n"/>
      <c r="H279" s="129" t="n"/>
      <c r="I279" s="129" t="n"/>
      <c r="J279" s="128" t="n"/>
      <c r="K279" s="130" t="n"/>
      <c r="L279" s="130" t="n"/>
      <c r="M279" s="128" t="n"/>
      <c r="N279" s="129" t="n"/>
    </row>
    <row r="280" ht="15" customHeight="1" s="75">
      <c r="A280" s="124" t="n"/>
      <c r="B280" s="125" t="n"/>
      <c r="C280" s="126" t="n"/>
      <c r="D280" s="127" t="n"/>
      <c r="E280" s="127" t="n"/>
      <c r="F280" s="128" t="n"/>
      <c r="G280" s="128" t="n"/>
      <c r="H280" s="129" t="n"/>
      <c r="I280" s="129" t="n"/>
      <c r="J280" s="128" t="n"/>
      <c r="K280" s="130" t="n"/>
      <c r="L280" s="130" t="n"/>
      <c r="M280" s="128" t="n"/>
      <c r="N280" s="129" t="n"/>
    </row>
    <row r="281" ht="15" customHeight="1" s="75">
      <c r="A281" s="124" t="n"/>
      <c r="B281" s="125" t="n"/>
      <c r="C281" s="126" t="n"/>
      <c r="D281" s="127" t="n"/>
      <c r="E281" s="127" t="n"/>
      <c r="F281" s="128" t="n"/>
      <c r="G281" s="128" t="n"/>
      <c r="H281" s="129" t="n"/>
      <c r="I281" s="129" t="n"/>
      <c r="J281" s="128" t="n"/>
      <c r="K281" s="130" t="n"/>
      <c r="L281" s="130" t="n"/>
      <c r="M281" s="128" t="n"/>
      <c r="N281" s="129" t="n"/>
    </row>
    <row r="282" ht="15" customHeight="1" s="75">
      <c r="A282" s="124" t="n"/>
      <c r="B282" s="125" t="n"/>
      <c r="C282" s="126" t="n"/>
      <c r="D282" s="127" t="n"/>
      <c r="E282" s="127" t="n"/>
      <c r="F282" s="128" t="n"/>
      <c r="G282" s="128" t="n"/>
      <c r="H282" s="129" t="n"/>
      <c r="I282" s="129" t="n"/>
      <c r="J282" s="128" t="n"/>
      <c r="K282" s="130" t="n"/>
      <c r="L282" s="130" t="n"/>
      <c r="M282" s="128" t="n"/>
      <c r="N282" s="129" t="n"/>
    </row>
    <row r="283" ht="15" customHeight="1" s="75">
      <c r="A283" s="124" t="n"/>
      <c r="B283" s="125" t="n"/>
      <c r="C283" s="126" t="n"/>
      <c r="D283" s="127" t="n"/>
      <c r="E283" s="127" t="n"/>
      <c r="F283" s="128" t="n"/>
      <c r="G283" s="128" t="n"/>
      <c r="H283" s="129" t="n"/>
      <c r="I283" s="129" t="n"/>
      <c r="J283" s="128" t="n"/>
      <c r="K283" s="130" t="n"/>
      <c r="L283" s="130" t="n"/>
      <c r="M283" s="128" t="n"/>
      <c r="N283" s="129" t="n"/>
    </row>
    <row r="284" ht="15" customHeight="1" s="75">
      <c r="A284" s="124" t="n"/>
      <c r="B284" s="125" t="n"/>
      <c r="C284" s="126" t="n"/>
      <c r="D284" s="127" t="n"/>
      <c r="E284" s="127" t="n"/>
      <c r="F284" s="128" t="n"/>
      <c r="G284" s="128" t="n"/>
      <c r="H284" s="129" t="n"/>
      <c r="I284" s="129" t="n"/>
      <c r="J284" s="128" t="n"/>
      <c r="K284" s="130" t="n"/>
      <c r="L284" s="130" t="n"/>
      <c r="M284" s="128" t="n"/>
      <c r="N284" s="129" t="n"/>
    </row>
    <row r="285" ht="15" customHeight="1" s="75">
      <c r="A285" s="124" t="n"/>
      <c r="B285" s="125" t="n"/>
      <c r="C285" s="126" t="n"/>
      <c r="D285" s="127" t="n"/>
      <c r="E285" s="127" t="n"/>
      <c r="F285" s="128" t="n"/>
      <c r="G285" s="128" t="n"/>
      <c r="H285" s="129" t="n"/>
      <c r="I285" s="129" t="n"/>
      <c r="J285" s="128" t="n"/>
      <c r="K285" s="130" t="n"/>
      <c r="L285" s="130" t="n"/>
      <c r="M285" s="128" t="n"/>
      <c r="N285" s="129" t="n"/>
    </row>
    <row r="286" ht="15" customHeight="1" s="75">
      <c r="A286" s="124" t="n"/>
      <c r="B286" s="125" t="n"/>
      <c r="C286" s="126" t="n"/>
      <c r="D286" s="127" t="n"/>
      <c r="E286" s="127" t="n"/>
      <c r="F286" s="128" t="n"/>
      <c r="G286" s="128" t="n"/>
      <c r="H286" s="129" t="n"/>
      <c r="I286" s="129" t="n"/>
      <c r="J286" s="128" t="n"/>
      <c r="K286" s="130" t="n"/>
      <c r="L286" s="130" t="n"/>
      <c r="M286" s="128" t="n"/>
      <c r="N286" s="129" t="n"/>
    </row>
    <row r="287" ht="15" customHeight="1" s="75">
      <c r="A287" s="124" t="n"/>
      <c r="B287" s="125" t="n"/>
      <c r="C287" s="126" t="n"/>
      <c r="D287" s="127" t="n"/>
      <c r="E287" s="127" t="n"/>
      <c r="F287" s="128" t="n"/>
      <c r="G287" s="128" t="n"/>
      <c r="H287" s="129" t="n"/>
      <c r="I287" s="129" t="n"/>
      <c r="J287" s="128" t="n"/>
      <c r="K287" s="130" t="n"/>
      <c r="L287" s="130" t="n"/>
      <c r="M287" s="128" t="n"/>
      <c r="N287" s="129" t="n"/>
    </row>
    <row r="288" ht="15" customHeight="1" s="75">
      <c r="A288" s="124" t="n"/>
      <c r="B288" s="125" t="n"/>
      <c r="C288" s="126" t="n"/>
      <c r="D288" s="127" t="n"/>
      <c r="E288" s="127" t="n"/>
      <c r="F288" s="128" t="n"/>
      <c r="G288" s="128" t="n"/>
      <c r="H288" s="129" t="n"/>
      <c r="I288" s="129" t="n"/>
      <c r="J288" s="128" t="n"/>
      <c r="K288" s="130" t="n"/>
      <c r="L288" s="130" t="n"/>
      <c r="M288" s="128" t="n"/>
      <c r="N288" s="129" t="n"/>
    </row>
    <row r="289" ht="15" customHeight="1" s="75">
      <c r="A289" s="124" t="n"/>
      <c r="B289" s="125" t="n"/>
      <c r="C289" s="126" t="n"/>
      <c r="D289" s="127" t="n"/>
      <c r="E289" s="127" t="n"/>
      <c r="F289" s="128" t="n"/>
      <c r="G289" s="128" t="n"/>
      <c r="H289" s="129" t="n"/>
      <c r="I289" s="129" t="n"/>
      <c r="J289" s="128" t="n"/>
      <c r="K289" s="130" t="n"/>
      <c r="L289" s="130" t="n"/>
      <c r="M289" s="128" t="n"/>
      <c r="N289" s="129" t="n"/>
    </row>
    <row r="290" ht="15" customHeight="1" s="75">
      <c r="A290" s="124" t="n"/>
      <c r="B290" s="125" t="n"/>
      <c r="C290" s="126" t="n"/>
      <c r="D290" s="127" t="n"/>
      <c r="E290" s="127" t="n"/>
      <c r="F290" s="128" t="n"/>
      <c r="G290" s="128" t="n"/>
      <c r="H290" s="129" t="n"/>
      <c r="I290" s="129" t="n"/>
      <c r="J290" s="128" t="n"/>
      <c r="K290" s="130" t="n"/>
      <c r="L290" s="130" t="n"/>
      <c r="M290" s="128" t="n"/>
      <c r="N290" s="129" t="n"/>
    </row>
    <row r="291" ht="15" customHeight="1" s="75">
      <c r="A291" s="124" t="n"/>
      <c r="B291" s="125" t="n"/>
      <c r="C291" s="126" t="n"/>
      <c r="D291" s="127" t="n"/>
      <c r="E291" s="127" t="n"/>
      <c r="F291" s="128" t="n"/>
      <c r="G291" s="128" t="n"/>
      <c r="H291" s="129" t="n"/>
      <c r="I291" s="129" t="n"/>
      <c r="J291" s="128" t="n"/>
      <c r="K291" s="130" t="n"/>
      <c r="L291" s="130" t="n"/>
      <c r="M291" s="128" t="n"/>
      <c r="N291" s="129" t="n"/>
    </row>
    <row r="292" ht="15" customHeight="1" s="75">
      <c r="A292" s="124" t="n"/>
      <c r="B292" s="125" t="n"/>
      <c r="C292" s="126" t="n"/>
      <c r="D292" s="127" t="n"/>
      <c r="E292" s="127" t="n"/>
      <c r="F292" s="128" t="n"/>
      <c r="G292" s="128" t="n"/>
      <c r="H292" s="129" t="n"/>
      <c r="I292" s="129" t="n"/>
      <c r="J292" s="128" t="n"/>
      <c r="K292" s="130" t="n"/>
      <c r="L292" s="130" t="n"/>
      <c r="M292" s="128" t="n"/>
      <c r="N292" s="129" t="n"/>
    </row>
    <row r="293" ht="15" customHeight="1" s="75">
      <c r="A293" s="124" t="n"/>
      <c r="B293" s="125" t="n"/>
      <c r="C293" s="126" t="n"/>
      <c r="D293" s="127" t="n"/>
      <c r="E293" s="127" t="n"/>
      <c r="F293" s="128" t="n"/>
      <c r="G293" s="128" t="n"/>
      <c r="H293" s="129" t="n"/>
      <c r="I293" s="129" t="n"/>
      <c r="J293" s="128" t="n"/>
      <c r="K293" s="130" t="n"/>
      <c r="L293" s="130" t="n"/>
      <c r="M293" s="128" t="n"/>
      <c r="N293" s="129" t="n"/>
    </row>
    <row r="294" ht="15" customHeight="1" s="75">
      <c r="A294" s="124" t="n"/>
      <c r="B294" s="125" t="n"/>
      <c r="C294" s="126" t="n"/>
      <c r="D294" s="127" t="n"/>
      <c r="E294" s="127" t="n"/>
      <c r="F294" s="128" t="n"/>
      <c r="G294" s="128" t="n"/>
      <c r="H294" s="129" t="n"/>
      <c r="I294" s="129" t="n"/>
      <c r="J294" s="128" t="n"/>
      <c r="K294" s="130" t="n"/>
      <c r="L294" s="130" t="n"/>
      <c r="M294" s="128" t="n"/>
      <c r="N294" s="129" t="n"/>
    </row>
    <row r="295" ht="15" customHeight="1" s="75">
      <c r="A295" s="124" t="n"/>
      <c r="B295" s="125" t="n"/>
      <c r="C295" s="126" t="n"/>
      <c r="D295" s="127" t="n"/>
      <c r="E295" s="127" t="n"/>
      <c r="F295" s="128" t="n"/>
      <c r="G295" s="128" t="n"/>
      <c r="H295" s="129" t="n"/>
      <c r="I295" s="129" t="n"/>
      <c r="J295" s="128" t="n"/>
      <c r="K295" s="130" t="n"/>
      <c r="L295" s="130" t="n"/>
      <c r="M295" s="128" t="n"/>
      <c r="N295" s="129" t="n"/>
    </row>
    <row r="296" ht="15" customHeight="1" s="75">
      <c r="A296" s="124" t="n"/>
      <c r="B296" s="125" t="n"/>
      <c r="C296" s="126" t="n"/>
      <c r="D296" s="127" t="n"/>
      <c r="E296" s="127" t="n"/>
      <c r="F296" s="128" t="n"/>
      <c r="G296" s="128" t="n"/>
      <c r="H296" s="129" t="n"/>
      <c r="I296" s="129" t="n"/>
      <c r="J296" s="128" t="n"/>
      <c r="K296" s="130" t="n"/>
      <c r="L296" s="130" t="n"/>
      <c r="M296" s="128" t="n"/>
      <c r="N296" s="129" t="n"/>
    </row>
    <row r="297" ht="15" customHeight="1" s="75">
      <c r="A297" s="124" t="n"/>
      <c r="B297" s="125" t="n"/>
      <c r="C297" s="126" t="n"/>
      <c r="D297" s="127" t="n"/>
      <c r="E297" s="127" t="n"/>
      <c r="F297" s="128" t="n"/>
      <c r="G297" s="128" t="n"/>
      <c r="H297" s="129" t="n"/>
      <c r="I297" s="129" t="n"/>
      <c r="J297" s="128" t="n"/>
      <c r="K297" s="130" t="n"/>
      <c r="L297" s="130" t="n"/>
      <c r="M297" s="128" t="n"/>
      <c r="N297" s="129" t="n"/>
    </row>
    <row r="298" ht="15" customHeight="1" s="75">
      <c r="A298" s="124" t="n"/>
      <c r="B298" s="125" t="n"/>
      <c r="C298" s="126" t="n"/>
      <c r="D298" s="127" t="n"/>
      <c r="E298" s="127" t="n"/>
      <c r="F298" s="128" t="n"/>
      <c r="G298" s="128" t="n"/>
      <c r="H298" s="129" t="n"/>
      <c r="I298" s="129" t="n"/>
      <c r="J298" s="128" t="n"/>
      <c r="K298" s="130" t="n"/>
      <c r="L298" s="130" t="n"/>
      <c r="M298" s="128" t="n"/>
      <c r="N298" s="129" t="n"/>
    </row>
    <row r="299" ht="15" customHeight="1" s="75">
      <c r="A299" s="124" t="n"/>
      <c r="B299" s="125" t="n"/>
      <c r="C299" s="126" t="n"/>
      <c r="D299" s="127" t="n"/>
      <c r="E299" s="127" t="n"/>
      <c r="F299" s="128" t="n"/>
      <c r="G299" s="128" t="n"/>
      <c r="H299" s="129" t="n"/>
      <c r="I299" s="129" t="n"/>
      <c r="J299" s="128" t="n"/>
      <c r="K299" s="130" t="n"/>
      <c r="L299" s="130" t="n"/>
      <c r="M299" s="128" t="n"/>
      <c r="N299" s="129" t="n"/>
    </row>
    <row r="300" ht="15" customHeight="1" s="75">
      <c r="A300" s="124" t="n"/>
      <c r="B300" s="125" t="n"/>
      <c r="C300" s="126" t="n"/>
      <c r="D300" s="127" t="n"/>
      <c r="E300" s="127" t="n"/>
      <c r="F300" s="128" t="n"/>
      <c r="G300" s="128" t="n"/>
      <c r="H300" s="129" t="n"/>
      <c r="I300" s="129" t="n"/>
      <c r="J300" s="128" t="n"/>
      <c r="K300" s="130" t="n"/>
      <c r="L300" s="130" t="n"/>
      <c r="M300" s="128" t="n"/>
      <c r="N300" s="129" t="n"/>
    </row>
    <row r="301" ht="15" customHeight="1" s="75">
      <c r="A301" s="124" t="n"/>
      <c r="B301" s="125" t="n"/>
      <c r="C301" s="126" t="n"/>
      <c r="D301" s="127" t="n"/>
      <c r="E301" s="127" t="n"/>
      <c r="F301" s="128" t="n"/>
      <c r="G301" s="128" t="n"/>
      <c r="H301" s="129" t="n"/>
      <c r="I301" s="129" t="n"/>
      <c r="J301" s="128" t="n"/>
      <c r="K301" s="130" t="n"/>
      <c r="L301" s="130" t="n"/>
      <c r="M301" s="128" t="n"/>
      <c r="N301" s="129" t="n"/>
    </row>
    <row r="302" ht="15" customHeight="1" s="75">
      <c r="A302" s="124" t="n"/>
      <c r="B302" s="125" t="n"/>
      <c r="C302" s="126" t="n"/>
      <c r="D302" s="127" t="n"/>
      <c r="E302" s="127" t="n"/>
      <c r="F302" s="128" t="n"/>
      <c r="G302" s="128" t="n"/>
      <c r="H302" s="129" t="n"/>
      <c r="I302" s="129" t="n"/>
      <c r="J302" s="128" t="n"/>
      <c r="K302" s="130" t="n"/>
      <c r="L302" s="130" t="n"/>
      <c r="M302" s="128" t="n"/>
      <c r="N302" s="129" t="n"/>
    </row>
    <row r="303" ht="15" customHeight="1" s="75">
      <c r="A303" s="124" t="n"/>
      <c r="B303" s="125" t="n"/>
      <c r="C303" s="126" t="n"/>
      <c r="D303" s="127" t="n"/>
      <c r="E303" s="127" t="n"/>
      <c r="F303" s="128" t="n"/>
      <c r="G303" s="128" t="n"/>
      <c r="H303" s="129" t="n"/>
      <c r="I303" s="129" t="n"/>
      <c r="J303" s="128" t="n"/>
      <c r="K303" s="130" t="n"/>
      <c r="L303" s="130" t="n"/>
      <c r="M303" s="128" t="n"/>
      <c r="N303" s="129" t="n"/>
    </row>
    <row r="304" ht="15" customHeight="1" s="75">
      <c r="A304" s="124" t="n"/>
      <c r="B304" s="125" t="n"/>
      <c r="C304" s="126" t="n"/>
      <c r="D304" s="127" t="n"/>
      <c r="E304" s="127" t="n"/>
      <c r="F304" s="128" t="n"/>
      <c r="G304" s="128" t="n"/>
      <c r="H304" s="129" t="n"/>
      <c r="I304" s="129" t="n"/>
      <c r="J304" s="128" t="n"/>
      <c r="K304" s="130" t="n"/>
      <c r="L304" s="130" t="n"/>
      <c r="M304" s="128" t="n"/>
      <c r="N304" s="129" t="n"/>
    </row>
    <row r="305" ht="15" customHeight="1" s="75">
      <c r="A305" s="124" t="n"/>
      <c r="B305" s="125" t="n"/>
      <c r="C305" s="126" t="n"/>
      <c r="D305" s="127" t="n"/>
      <c r="E305" s="127" t="n"/>
      <c r="F305" s="128" t="n"/>
      <c r="G305" s="128" t="n"/>
      <c r="H305" s="129" t="n"/>
      <c r="I305" s="129" t="n"/>
      <c r="J305" s="128" t="n"/>
      <c r="K305" s="130" t="n"/>
      <c r="L305" s="130" t="n"/>
      <c r="M305" s="128" t="n"/>
      <c r="N305" s="129" t="n"/>
    </row>
    <row r="306" ht="15" customHeight="1" s="75">
      <c r="A306" s="124" t="n"/>
      <c r="B306" s="125" t="n"/>
      <c r="C306" s="126" t="n"/>
      <c r="D306" s="127" t="n"/>
      <c r="E306" s="127" t="n"/>
      <c r="F306" s="128" t="n"/>
      <c r="G306" s="128" t="n"/>
      <c r="H306" s="129" t="n"/>
      <c r="I306" s="129" t="n"/>
      <c r="J306" s="128" t="n"/>
      <c r="K306" s="130" t="n"/>
      <c r="L306" s="130" t="n"/>
      <c r="M306" s="128" t="n"/>
      <c r="N306" s="129" t="n"/>
    </row>
    <row r="307" ht="15" customHeight="1" s="75">
      <c r="A307" s="124" t="n"/>
      <c r="B307" s="125" t="n"/>
      <c r="C307" s="126" t="n"/>
      <c r="D307" s="127" t="n"/>
      <c r="E307" s="127" t="n"/>
      <c r="F307" s="128" t="n"/>
      <c r="G307" s="128" t="n"/>
      <c r="H307" s="129" t="n"/>
      <c r="I307" s="129" t="n"/>
      <c r="J307" s="128" t="n"/>
      <c r="K307" s="130" t="n"/>
      <c r="L307" s="130" t="n"/>
      <c r="M307" s="128" t="n"/>
      <c r="N307" s="129" t="n"/>
    </row>
    <row r="308" ht="15" customHeight="1" s="75">
      <c r="A308" s="124" t="n"/>
      <c r="B308" s="125" t="n"/>
      <c r="C308" s="126" t="n"/>
      <c r="D308" s="127" t="n"/>
      <c r="E308" s="127" t="n"/>
      <c r="F308" s="128" t="n"/>
      <c r="G308" s="128" t="n"/>
      <c r="H308" s="129" t="n"/>
      <c r="I308" s="129" t="n"/>
      <c r="J308" s="128" t="n"/>
      <c r="K308" s="130" t="n"/>
      <c r="L308" s="130" t="n"/>
      <c r="M308" s="128" t="n"/>
      <c r="N308" s="129" t="n"/>
    </row>
    <row r="309" ht="15" customHeight="1" s="75">
      <c r="A309" s="124" t="n"/>
      <c r="B309" s="125" t="n"/>
      <c r="C309" s="126" t="n"/>
      <c r="D309" s="127" t="n"/>
      <c r="E309" s="127" t="n"/>
      <c r="F309" s="128" t="n"/>
      <c r="G309" s="128" t="n"/>
      <c r="H309" s="129" t="n"/>
      <c r="I309" s="129" t="n"/>
      <c r="J309" s="128" t="n"/>
      <c r="K309" s="130" t="n"/>
      <c r="L309" s="130" t="n"/>
      <c r="M309" s="128" t="n"/>
      <c r="N309" s="129" t="n"/>
    </row>
    <row r="310" ht="15" customHeight="1" s="75">
      <c r="A310" s="124" t="n"/>
      <c r="B310" s="125" t="n"/>
      <c r="C310" s="126" t="n"/>
      <c r="D310" s="127" t="n"/>
      <c r="E310" s="127" t="n"/>
      <c r="F310" s="128" t="n"/>
      <c r="G310" s="128" t="n"/>
      <c r="H310" s="129" t="n"/>
      <c r="I310" s="129" t="n"/>
      <c r="J310" s="128" t="n"/>
      <c r="K310" s="130" t="n"/>
      <c r="L310" s="130" t="n"/>
      <c r="M310" s="128" t="n"/>
      <c r="N310" s="129" t="n"/>
    </row>
    <row r="311" ht="15" customHeight="1" s="75">
      <c r="A311" s="124" t="n"/>
      <c r="B311" s="125" t="n"/>
      <c r="C311" s="126" t="n"/>
      <c r="D311" s="127" t="n"/>
      <c r="E311" s="127" t="n"/>
      <c r="F311" s="128" t="n"/>
      <c r="G311" s="128" t="n"/>
      <c r="H311" s="129" t="n"/>
      <c r="I311" s="129" t="n"/>
      <c r="J311" s="128" t="n"/>
      <c r="K311" s="130" t="n"/>
      <c r="L311" s="130" t="n"/>
      <c r="M311" s="128" t="n"/>
      <c r="N311" s="129" t="n"/>
    </row>
    <row r="312" ht="15" customHeight="1" s="75">
      <c r="A312" s="124" t="n"/>
      <c r="B312" s="125" t="n"/>
      <c r="C312" s="126" t="n"/>
      <c r="D312" s="127" t="n"/>
      <c r="E312" s="127" t="n"/>
      <c r="F312" s="128" t="n"/>
      <c r="G312" s="128" t="n"/>
      <c r="H312" s="129" t="n"/>
      <c r="I312" s="129" t="n"/>
      <c r="J312" s="128" t="n"/>
      <c r="K312" s="130" t="n"/>
      <c r="L312" s="130" t="n"/>
      <c r="M312" s="128" t="n"/>
      <c r="N312" s="129" t="n"/>
    </row>
    <row r="313" ht="15" customHeight="1" s="75">
      <c r="A313" s="124" t="n"/>
      <c r="B313" s="125" t="n"/>
      <c r="C313" s="126" t="n"/>
      <c r="D313" s="127" t="n"/>
      <c r="E313" s="127" t="n"/>
      <c r="F313" s="128" t="n"/>
      <c r="G313" s="128" t="n"/>
      <c r="H313" s="129" t="n"/>
      <c r="I313" s="129" t="n"/>
      <c r="J313" s="128" t="n"/>
      <c r="K313" s="130" t="n"/>
      <c r="L313" s="130" t="n"/>
      <c r="M313" s="128" t="n"/>
      <c r="N313" s="129" t="n"/>
    </row>
    <row r="314" ht="15" customHeight="1" s="75">
      <c r="A314" s="124" t="n"/>
      <c r="B314" s="125" t="n"/>
      <c r="C314" s="126" t="n"/>
      <c r="D314" s="127" t="n"/>
      <c r="E314" s="127" t="n"/>
      <c r="F314" s="128" t="n"/>
      <c r="G314" s="128" t="n"/>
      <c r="H314" s="129" t="n"/>
      <c r="I314" s="129" t="n"/>
      <c r="J314" s="128" t="n"/>
      <c r="K314" s="130" t="n"/>
      <c r="L314" s="130" t="n"/>
      <c r="M314" s="128" t="n"/>
      <c r="N314" s="129" t="n"/>
    </row>
    <row r="315" ht="15" customHeight="1" s="75">
      <c r="A315" s="124" t="n"/>
      <c r="B315" s="125" t="n"/>
      <c r="C315" s="126" t="n"/>
      <c r="D315" s="127" t="n"/>
      <c r="E315" s="127" t="n"/>
      <c r="F315" s="128" t="n"/>
      <c r="G315" s="128" t="n"/>
      <c r="H315" s="129" t="n"/>
      <c r="I315" s="129" t="n"/>
      <c r="J315" s="128" t="n"/>
      <c r="K315" s="130" t="n"/>
      <c r="L315" s="130" t="n"/>
      <c r="M315" s="128" t="n"/>
      <c r="N315" s="129" t="n"/>
    </row>
    <row r="316" ht="15" customHeight="1" s="75">
      <c r="A316" s="124" t="n"/>
      <c r="B316" s="125" t="n"/>
      <c r="C316" s="126" t="n"/>
      <c r="D316" s="127" t="n"/>
      <c r="E316" s="127" t="n"/>
      <c r="F316" s="128" t="n"/>
      <c r="G316" s="128" t="n"/>
      <c r="H316" s="129" t="n"/>
      <c r="I316" s="129" t="n"/>
      <c r="J316" s="128" t="n"/>
      <c r="K316" s="130" t="n"/>
      <c r="L316" s="130" t="n"/>
      <c r="M316" s="128" t="n"/>
      <c r="N316" s="129" t="n"/>
    </row>
    <row r="317" ht="15" customHeight="1" s="75">
      <c r="A317" s="124" t="n"/>
      <c r="B317" s="125" t="n"/>
      <c r="C317" s="126" t="n"/>
      <c r="D317" s="127" t="n"/>
      <c r="E317" s="127" t="n"/>
      <c r="F317" s="128" t="n"/>
      <c r="G317" s="128" t="n"/>
      <c r="H317" s="129" t="n"/>
      <c r="I317" s="129" t="n"/>
      <c r="J317" s="128" t="n"/>
      <c r="K317" s="130" t="n"/>
      <c r="L317" s="130" t="n"/>
      <c r="M317" s="128" t="n"/>
      <c r="N317" s="129" t="n"/>
    </row>
    <row r="318" ht="15" customHeight="1" s="75">
      <c r="A318" s="124" t="n"/>
      <c r="B318" s="125" t="n"/>
      <c r="C318" s="126" t="n"/>
      <c r="D318" s="127" t="n"/>
      <c r="E318" s="127" t="n"/>
      <c r="F318" s="128" t="n"/>
      <c r="G318" s="128" t="n"/>
      <c r="H318" s="129" t="n"/>
      <c r="I318" s="129" t="n"/>
      <c r="J318" s="128" t="n"/>
      <c r="K318" s="130" t="n"/>
      <c r="L318" s="130" t="n"/>
      <c r="M318" s="128" t="n"/>
      <c r="N318" s="129" t="n"/>
    </row>
    <row r="319" ht="15" customHeight="1" s="75">
      <c r="A319" s="124" t="n"/>
      <c r="B319" s="125" t="n"/>
      <c r="C319" s="126" t="n"/>
      <c r="D319" s="127" t="n"/>
      <c r="E319" s="127" t="n"/>
      <c r="F319" s="128" t="n"/>
      <c r="G319" s="128" t="n"/>
      <c r="H319" s="129" t="n"/>
      <c r="I319" s="129" t="n"/>
      <c r="J319" s="128" t="n"/>
      <c r="K319" s="130" t="n"/>
      <c r="L319" s="130" t="n"/>
      <c r="M319" s="128" t="n"/>
      <c r="N319" s="129" t="n"/>
    </row>
    <row r="320" ht="15" customHeight="1" s="75">
      <c r="A320" s="124" t="n"/>
      <c r="B320" s="125" t="n"/>
      <c r="C320" s="126" t="n"/>
      <c r="D320" s="127" t="n"/>
      <c r="E320" s="127" t="n"/>
      <c r="F320" s="128" t="n"/>
      <c r="G320" s="128" t="n"/>
      <c r="H320" s="129" t="n"/>
      <c r="I320" s="129" t="n"/>
      <c r="J320" s="128" t="n"/>
      <c r="K320" s="130" t="n"/>
      <c r="L320" s="130" t="n"/>
      <c r="M320" s="128" t="n"/>
      <c r="N320" s="129" t="n"/>
    </row>
    <row r="321" ht="15" customHeight="1" s="75">
      <c r="A321" s="124" t="n"/>
      <c r="B321" s="125" t="n"/>
      <c r="C321" s="126" t="n"/>
      <c r="D321" s="127" t="n"/>
      <c r="E321" s="127" t="n"/>
      <c r="F321" s="128" t="n"/>
      <c r="G321" s="128" t="n"/>
      <c r="H321" s="129" t="n"/>
      <c r="I321" s="129" t="n"/>
      <c r="J321" s="128" t="n"/>
      <c r="K321" s="130" t="n"/>
      <c r="L321" s="130" t="n"/>
      <c r="M321" s="128" t="n"/>
      <c r="N321" s="129" t="n"/>
    </row>
    <row r="322" ht="15" customHeight="1" s="75">
      <c r="A322" s="124" t="n"/>
      <c r="B322" s="125" t="n"/>
      <c r="C322" s="126" t="n"/>
      <c r="D322" s="127" t="n"/>
      <c r="E322" s="127" t="n"/>
      <c r="F322" s="128" t="n"/>
      <c r="G322" s="128" t="n"/>
      <c r="H322" s="129" t="n"/>
      <c r="I322" s="129" t="n"/>
      <c r="J322" s="128" t="n"/>
      <c r="K322" s="130" t="n"/>
      <c r="L322" s="130" t="n"/>
      <c r="M322" s="128" t="n"/>
      <c r="N322" s="129" t="n"/>
    </row>
    <row r="323" ht="15" customHeight="1" s="75">
      <c r="A323" s="124" t="n"/>
      <c r="B323" s="125" t="n"/>
      <c r="C323" s="126" t="n"/>
      <c r="D323" s="127" t="n"/>
      <c r="E323" s="127" t="n"/>
      <c r="F323" s="128" t="n"/>
      <c r="G323" s="128" t="n"/>
      <c r="H323" s="129" t="n"/>
      <c r="I323" s="129" t="n"/>
      <c r="J323" s="128" t="n"/>
      <c r="K323" s="130" t="n"/>
      <c r="L323" s="130" t="n"/>
      <c r="M323" s="128" t="n"/>
      <c r="N323" s="129" t="n"/>
    </row>
    <row r="324" ht="15" customHeight="1" s="75">
      <c r="A324" s="124" t="n"/>
      <c r="B324" s="125" t="n"/>
      <c r="C324" s="126" t="n"/>
      <c r="D324" s="127" t="n"/>
      <c r="E324" s="127" t="n"/>
      <c r="F324" s="128" t="n"/>
      <c r="G324" s="128" t="n"/>
      <c r="H324" s="129" t="n"/>
      <c r="I324" s="129" t="n"/>
      <c r="J324" s="128" t="n"/>
      <c r="K324" s="130" t="n"/>
      <c r="L324" s="130" t="n"/>
      <c r="M324" s="128" t="n"/>
      <c r="N324" s="129" t="n"/>
    </row>
    <row r="325" ht="15" customHeight="1" s="75">
      <c r="A325" s="124" t="n"/>
      <c r="B325" s="125" t="n"/>
      <c r="C325" s="126" t="n"/>
      <c r="D325" s="127" t="n"/>
      <c r="E325" s="127" t="n"/>
      <c r="F325" s="128" t="n"/>
      <c r="G325" s="128" t="n"/>
      <c r="H325" s="129" t="n"/>
      <c r="I325" s="129" t="n"/>
      <c r="J325" s="128" t="n"/>
      <c r="K325" s="130" t="n"/>
      <c r="L325" s="130" t="n"/>
      <c r="M325" s="128" t="n"/>
      <c r="N325" s="129" t="n"/>
    </row>
    <row r="326" ht="15" customHeight="1" s="75">
      <c r="A326" s="124" t="n"/>
      <c r="B326" s="125" t="n"/>
      <c r="C326" s="126" t="n"/>
      <c r="D326" s="127" t="n"/>
      <c r="E326" s="127" t="n"/>
      <c r="F326" s="128" t="n"/>
      <c r="G326" s="128" t="n"/>
      <c r="H326" s="129" t="n"/>
      <c r="I326" s="129" t="n"/>
      <c r="J326" s="128" t="n"/>
      <c r="K326" s="130" t="n"/>
      <c r="L326" s="130" t="n"/>
      <c r="M326" s="128" t="n"/>
      <c r="N326" s="129" t="n"/>
    </row>
    <row r="327" ht="15" customHeight="1" s="75">
      <c r="A327" s="124" t="n"/>
      <c r="B327" s="125" t="n"/>
      <c r="C327" s="126" t="n"/>
      <c r="D327" s="127" t="n"/>
      <c r="E327" s="127" t="n"/>
      <c r="F327" s="128" t="n"/>
      <c r="G327" s="128" t="n"/>
      <c r="H327" s="129" t="n"/>
      <c r="I327" s="129" t="n"/>
      <c r="J327" s="128" t="n"/>
      <c r="K327" s="130" t="n"/>
      <c r="L327" s="130" t="n"/>
      <c r="M327" s="128" t="n"/>
      <c r="N327" s="129" t="n"/>
    </row>
    <row r="328" ht="15" customHeight="1" s="75">
      <c r="A328" s="124" t="n"/>
      <c r="B328" s="125" t="n"/>
      <c r="C328" s="126" t="n"/>
      <c r="D328" s="127" t="n"/>
      <c r="E328" s="127" t="n"/>
      <c r="F328" s="128" t="n"/>
      <c r="G328" s="128" t="n"/>
      <c r="H328" s="129" t="n"/>
      <c r="I328" s="129" t="n"/>
      <c r="J328" s="128" t="n"/>
      <c r="K328" s="130" t="n"/>
      <c r="L328" s="130" t="n"/>
      <c r="M328" s="128" t="n"/>
      <c r="N328" s="129" t="n"/>
    </row>
    <row r="329" ht="15" customHeight="1" s="75">
      <c r="A329" s="124" t="n"/>
      <c r="B329" s="125" t="n"/>
      <c r="C329" s="126" t="n"/>
      <c r="D329" s="127" t="n"/>
      <c r="E329" s="127" t="n"/>
      <c r="F329" s="128" t="n"/>
      <c r="G329" s="128" t="n"/>
      <c r="H329" s="129" t="n"/>
      <c r="I329" s="129" t="n"/>
      <c r="J329" s="128" t="n"/>
      <c r="K329" s="130" t="n"/>
      <c r="L329" s="130" t="n"/>
      <c r="M329" s="128" t="n"/>
      <c r="N329" s="129" t="n"/>
    </row>
    <row r="330" ht="15" customHeight="1" s="75">
      <c r="A330" s="124" t="n"/>
      <c r="B330" s="125" t="n"/>
      <c r="C330" s="126" t="n"/>
      <c r="D330" s="127" t="n"/>
      <c r="E330" s="127" t="n"/>
      <c r="F330" s="128" t="n"/>
      <c r="G330" s="128" t="n"/>
      <c r="H330" s="129" t="n"/>
      <c r="I330" s="129" t="n"/>
      <c r="J330" s="128" t="n"/>
      <c r="K330" s="130" t="n"/>
      <c r="L330" s="130" t="n"/>
      <c r="M330" s="128" t="n"/>
      <c r="N330" s="129" t="n"/>
    </row>
    <row r="331" ht="15" customHeight="1" s="75">
      <c r="A331" s="124" t="n"/>
      <c r="B331" s="125" t="n"/>
      <c r="C331" s="126" t="n"/>
      <c r="D331" s="127" t="n"/>
      <c r="E331" s="127" t="n"/>
      <c r="F331" s="128" t="n"/>
      <c r="G331" s="128" t="n"/>
      <c r="H331" s="129" t="n"/>
      <c r="I331" s="129" t="n"/>
      <c r="J331" s="128" t="n"/>
      <c r="K331" s="130" t="n"/>
      <c r="L331" s="130" t="n"/>
      <c r="M331" s="128" t="n"/>
      <c r="N331" s="129" t="n"/>
    </row>
    <row r="332" ht="15" customHeight="1" s="75">
      <c r="A332" s="124" t="n"/>
      <c r="B332" s="125" t="n"/>
      <c r="C332" s="126" t="n"/>
      <c r="D332" s="127" t="n"/>
      <c r="E332" s="127" t="n"/>
      <c r="F332" s="128" t="n"/>
      <c r="G332" s="128" t="n"/>
      <c r="H332" s="129" t="n"/>
      <c r="I332" s="129" t="n"/>
      <c r="J332" s="128" t="n"/>
      <c r="K332" s="130" t="n"/>
      <c r="L332" s="130" t="n"/>
      <c r="M332" s="128" t="n"/>
      <c r="N332" s="129" t="n"/>
    </row>
    <row r="333" ht="15" customHeight="1" s="75">
      <c r="A333" s="124" t="n"/>
      <c r="B333" s="125" t="n"/>
      <c r="C333" s="126" t="n"/>
      <c r="D333" s="127" t="n"/>
      <c r="E333" s="127" t="n"/>
      <c r="F333" s="128" t="n"/>
      <c r="G333" s="128" t="n"/>
      <c r="H333" s="129" t="n"/>
      <c r="I333" s="129" t="n"/>
      <c r="J333" s="128" t="n"/>
      <c r="K333" s="130" t="n"/>
      <c r="L333" s="130" t="n"/>
      <c r="M333" s="128" t="n"/>
      <c r="N333" s="129" t="n"/>
    </row>
    <row r="334" ht="15" customHeight="1" s="75">
      <c r="A334" s="124" t="n"/>
      <c r="B334" s="125" t="n"/>
      <c r="C334" s="126" t="n"/>
      <c r="D334" s="127" t="n"/>
      <c r="E334" s="127" t="n"/>
      <c r="F334" s="128" t="n"/>
      <c r="G334" s="128" t="n"/>
      <c r="H334" s="129" t="n"/>
      <c r="I334" s="129" t="n"/>
      <c r="J334" s="128" t="n"/>
      <c r="K334" s="130" t="n"/>
      <c r="L334" s="130" t="n"/>
      <c r="M334" s="128" t="n"/>
      <c r="N334" s="129" t="n"/>
    </row>
    <row r="335" ht="15" customHeight="1" s="75">
      <c r="A335" s="124" t="n"/>
      <c r="B335" s="125" t="n"/>
      <c r="C335" s="126" t="n"/>
      <c r="D335" s="127" t="n"/>
      <c r="E335" s="127" t="n"/>
      <c r="F335" s="128" t="n"/>
      <c r="G335" s="128" t="n"/>
      <c r="H335" s="129" t="n"/>
      <c r="I335" s="129" t="n"/>
      <c r="J335" s="128" t="n"/>
      <c r="K335" s="130" t="n"/>
      <c r="L335" s="130" t="n"/>
      <c r="M335" s="128" t="n"/>
      <c r="N335" s="129" t="n"/>
    </row>
    <row r="336" ht="15" customHeight="1" s="75">
      <c r="A336" s="124" t="n"/>
      <c r="B336" s="125" t="n"/>
      <c r="C336" s="126" t="n"/>
      <c r="D336" s="127" t="n"/>
      <c r="E336" s="127" t="n"/>
      <c r="F336" s="128" t="n"/>
      <c r="G336" s="128" t="n"/>
      <c r="H336" s="129" t="n"/>
      <c r="I336" s="129" t="n"/>
      <c r="J336" s="128" t="n"/>
      <c r="K336" s="130" t="n"/>
      <c r="L336" s="130" t="n"/>
      <c r="M336" s="128" t="n"/>
      <c r="N336" s="129" t="n"/>
    </row>
    <row r="337" ht="15" customHeight="1" s="75">
      <c r="A337" s="124" t="n"/>
      <c r="B337" s="125" t="n"/>
      <c r="C337" s="126" t="n"/>
      <c r="D337" s="127" t="n"/>
      <c r="E337" s="127" t="n"/>
      <c r="F337" s="128" t="n"/>
      <c r="G337" s="128" t="n"/>
      <c r="H337" s="129" t="n"/>
      <c r="I337" s="129" t="n"/>
      <c r="J337" s="128" t="n"/>
      <c r="K337" s="130" t="n"/>
      <c r="L337" s="130" t="n"/>
      <c r="M337" s="128" t="n"/>
      <c r="N337" s="129" t="n"/>
    </row>
    <row r="338" ht="15" customHeight="1" s="75">
      <c r="A338" s="124" t="n"/>
      <c r="B338" s="125" t="n"/>
      <c r="C338" s="126" t="n"/>
      <c r="D338" s="127" t="n"/>
      <c r="E338" s="127" t="n"/>
      <c r="F338" s="128" t="n"/>
      <c r="G338" s="128" t="n"/>
      <c r="H338" s="129" t="n"/>
      <c r="I338" s="129" t="n"/>
      <c r="J338" s="128" t="n"/>
      <c r="K338" s="130" t="n"/>
      <c r="L338" s="130" t="n"/>
      <c r="M338" s="128" t="n"/>
      <c r="N338" s="129" t="n"/>
    </row>
    <row r="339" ht="15" customHeight="1" s="75">
      <c r="A339" s="124" t="n"/>
      <c r="B339" s="125" t="n"/>
      <c r="C339" s="126" t="n"/>
      <c r="D339" s="127" t="n"/>
      <c r="E339" s="127" t="n"/>
      <c r="F339" s="128" t="n"/>
      <c r="G339" s="128" t="n"/>
      <c r="H339" s="129" t="n"/>
      <c r="I339" s="129" t="n"/>
      <c r="J339" s="128" t="n"/>
      <c r="K339" s="130" t="n"/>
      <c r="L339" s="130" t="n"/>
      <c r="M339" s="128" t="n"/>
      <c r="N339" s="129" t="n"/>
    </row>
    <row r="340" ht="15" customHeight="1" s="75">
      <c r="A340" s="124" t="n"/>
      <c r="B340" s="125" t="n"/>
      <c r="C340" s="126" t="n"/>
      <c r="D340" s="127" t="n"/>
      <c r="E340" s="127" t="n"/>
      <c r="F340" s="128" t="n"/>
      <c r="G340" s="128" t="n"/>
      <c r="H340" s="129" t="n"/>
      <c r="I340" s="129" t="n"/>
      <c r="J340" s="128" t="n"/>
      <c r="K340" s="130" t="n"/>
      <c r="L340" s="130" t="n"/>
      <c r="M340" s="128" t="n"/>
      <c r="N340" s="129" t="n"/>
    </row>
    <row r="341" ht="15" customHeight="1" s="75">
      <c r="A341" s="124" t="n"/>
      <c r="B341" s="125" t="n"/>
      <c r="C341" s="126" t="n"/>
      <c r="D341" s="127" t="n"/>
      <c r="E341" s="127" t="n"/>
      <c r="F341" s="128" t="n"/>
      <c r="G341" s="128" t="n"/>
      <c r="H341" s="129" t="n"/>
      <c r="I341" s="129" t="n"/>
      <c r="J341" s="128" t="n"/>
      <c r="K341" s="130" t="n"/>
      <c r="L341" s="130" t="n"/>
      <c r="M341" s="128" t="n"/>
      <c r="N341" s="129" t="n"/>
    </row>
    <row r="342" ht="15" customHeight="1" s="75">
      <c r="A342" s="124" t="n"/>
      <c r="B342" s="125" t="n"/>
      <c r="C342" s="126" t="n"/>
      <c r="D342" s="127" t="n"/>
      <c r="E342" s="127" t="n"/>
      <c r="F342" s="128" t="n"/>
      <c r="G342" s="128" t="n"/>
      <c r="H342" s="129" t="n"/>
      <c r="I342" s="129" t="n"/>
      <c r="J342" s="128" t="n"/>
      <c r="K342" s="130" t="n"/>
      <c r="L342" s="130" t="n"/>
      <c r="M342" s="128" t="n"/>
      <c r="N342" s="129" t="n"/>
    </row>
    <row r="343" ht="15" customHeight="1" s="75">
      <c r="A343" s="124" t="n"/>
      <c r="B343" s="125" t="n"/>
      <c r="C343" s="126" t="n"/>
      <c r="D343" s="127" t="n"/>
      <c r="E343" s="127" t="n"/>
      <c r="F343" s="128" t="n"/>
      <c r="G343" s="128" t="n"/>
      <c r="H343" s="129" t="n"/>
      <c r="I343" s="129" t="n"/>
      <c r="J343" s="128" t="n"/>
      <c r="K343" s="130" t="n"/>
      <c r="L343" s="130" t="n"/>
      <c r="M343" s="128" t="n"/>
      <c r="N343" s="129" t="n"/>
    </row>
    <row r="344" ht="15" customHeight="1" s="75">
      <c r="A344" s="124" t="n"/>
      <c r="B344" s="125" t="n"/>
      <c r="C344" s="126" t="n"/>
      <c r="D344" s="127" t="n"/>
      <c r="E344" s="127" t="n"/>
      <c r="F344" s="128" t="n"/>
      <c r="G344" s="128" t="n"/>
      <c r="H344" s="129" t="n"/>
      <c r="I344" s="129" t="n"/>
      <c r="J344" s="128" t="n"/>
      <c r="K344" s="130" t="n"/>
      <c r="L344" s="130" t="n"/>
      <c r="M344" s="128" t="n"/>
      <c r="N344" s="129" t="n"/>
    </row>
    <row r="345" ht="15" customHeight="1" s="75">
      <c r="A345" s="124" t="n"/>
      <c r="B345" s="125" t="n"/>
      <c r="C345" s="126" t="n"/>
      <c r="D345" s="127" t="n"/>
      <c r="E345" s="127" t="n"/>
      <c r="F345" s="128" t="n"/>
      <c r="G345" s="128" t="n"/>
      <c r="H345" s="129" t="n"/>
      <c r="I345" s="129" t="n"/>
      <c r="J345" s="128" t="n"/>
      <c r="K345" s="130" t="n"/>
      <c r="L345" s="130" t="n"/>
      <c r="M345" s="128" t="n"/>
      <c r="N345" s="129" t="n"/>
    </row>
    <row r="346" ht="15" customHeight="1" s="75">
      <c r="A346" s="124" t="n"/>
      <c r="B346" s="125" t="n"/>
      <c r="C346" s="126" t="n"/>
      <c r="D346" s="127" t="n"/>
      <c r="E346" s="127" t="n"/>
      <c r="F346" s="128" t="n"/>
      <c r="G346" s="128" t="n"/>
      <c r="H346" s="129" t="n"/>
      <c r="I346" s="129" t="n"/>
      <c r="J346" s="128" t="n"/>
      <c r="K346" s="130" t="n"/>
      <c r="L346" s="130" t="n"/>
      <c r="M346" s="128" t="n"/>
      <c r="N346" s="129" t="n"/>
    </row>
    <row r="347" ht="15" customHeight="1" s="75">
      <c r="A347" s="124" t="n"/>
      <c r="B347" s="125" t="n"/>
      <c r="C347" s="126" t="n"/>
      <c r="D347" s="127" t="n"/>
      <c r="E347" s="127" t="n"/>
      <c r="F347" s="128" t="n"/>
      <c r="G347" s="128" t="n"/>
      <c r="H347" s="129" t="n"/>
      <c r="I347" s="129" t="n"/>
      <c r="J347" s="128" t="n"/>
      <c r="K347" s="130" t="n"/>
      <c r="L347" s="130" t="n"/>
      <c r="M347" s="128" t="n"/>
      <c r="N347" s="129" t="n"/>
    </row>
    <row r="348" ht="15" customHeight="1" s="75">
      <c r="A348" s="124" t="n"/>
      <c r="B348" s="125" t="n"/>
      <c r="C348" s="126" t="n"/>
      <c r="D348" s="127" t="n"/>
      <c r="E348" s="127" t="n"/>
      <c r="F348" s="128" t="n"/>
      <c r="G348" s="128" t="n"/>
      <c r="H348" s="129" t="n"/>
      <c r="I348" s="129" t="n"/>
      <c r="J348" s="128" t="n"/>
      <c r="K348" s="130" t="n"/>
      <c r="L348" s="130" t="n"/>
      <c r="M348" s="128" t="n"/>
      <c r="N348" s="129" t="n"/>
    </row>
    <row r="349" ht="15" customHeight="1" s="75">
      <c r="A349" s="124" t="n"/>
      <c r="B349" s="125" t="n"/>
      <c r="C349" s="126" t="n"/>
      <c r="D349" s="127" t="n"/>
      <c r="E349" s="127" t="n"/>
      <c r="F349" s="128" t="n"/>
      <c r="G349" s="128" t="n"/>
      <c r="H349" s="129" t="n"/>
      <c r="I349" s="129" t="n"/>
      <c r="J349" s="128" t="n"/>
      <c r="K349" s="130" t="n"/>
      <c r="L349" s="130" t="n"/>
      <c r="M349" s="128" t="n"/>
      <c r="N349" s="129" t="n"/>
    </row>
    <row r="350" ht="15" customHeight="1" s="75">
      <c r="A350" s="124" t="n"/>
      <c r="B350" s="125" t="n"/>
      <c r="C350" s="126" t="n"/>
      <c r="D350" s="127" t="n"/>
      <c r="E350" s="127" t="n"/>
      <c r="F350" s="128" t="n"/>
      <c r="G350" s="128" t="n"/>
      <c r="H350" s="129" t="n"/>
      <c r="I350" s="129" t="n"/>
      <c r="J350" s="128" t="n"/>
      <c r="K350" s="130" t="n"/>
      <c r="L350" s="130" t="n"/>
      <c r="M350" s="128" t="n"/>
      <c r="N350" s="129" t="n"/>
    </row>
    <row r="351" ht="15" customHeight="1" s="75">
      <c r="A351" s="124" t="n"/>
      <c r="B351" s="125" t="n"/>
      <c r="C351" s="126" t="n"/>
      <c r="D351" s="127" t="n"/>
      <c r="E351" s="127" t="n"/>
      <c r="F351" s="128" t="n"/>
      <c r="G351" s="128" t="n"/>
      <c r="H351" s="129" t="n"/>
      <c r="I351" s="129" t="n"/>
      <c r="J351" s="128" t="n"/>
      <c r="K351" s="130" t="n"/>
      <c r="L351" s="130" t="n"/>
      <c r="M351" s="128" t="n"/>
      <c r="N351" s="129" t="n"/>
    </row>
    <row r="352" ht="15" customHeight="1" s="75">
      <c r="A352" s="124" t="n"/>
      <c r="B352" s="125" t="n"/>
      <c r="C352" s="126" t="n"/>
      <c r="D352" s="127" t="n"/>
      <c r="E352" s="127" t="n"/>
      <c r="F352" s="128" t="n"/>
      <c r="G352" s="128" t="n"/>
      <c r="H352" s="129" t="n"/>
      <c r="I352" s="129" t="n"/>
      <c r="J352" s="128" t="n"/>
      <c r="K352" s="130" t="n"/>
      <c r="L352" s="130" t="n"/>
      <c r="M352" s="128" t="n"/>
      <c r="N352" s="129" t="n"/>
    </row>
    <row r="353" ht="15" customHeight="1" s="75">
      <c r="A353" s="124" t="n"/>
      <c r="B353" s="125" t="n"/>
      <c r="C353" s="126" t="n"/>
      <c r="D353" s="127" t="n"/>
      <c r="E353" s="127" t="n"/>
      <c r="F353" s="128" t="n"/>
      <c r="G353" s="128" t="n"/>
      <c r="H353" s="129" t="n"/>
      <c r="I353" s="129" t="n"/>
      <c r="J353" s="128" t="n"/>
      <c r="K353" s="130" t="n"/>
      <c r="L353" s="130" t="n"/>
      <c r="M353" s="128" t="n"/>
      <c r="N353" s="129" t="n"/>
    </row>
    <row r="354" ht="15" customHeight="1" s="75">
      <c r="A354" s="124" t="n"/>
      <c r="B354" s="125" t="n"/>
      <c r="C354" s="126" t="n"/>
      <c r="D354" s="127" t="n"/>
      <c r="E354" s="127" t="n"/>
      <c r="F354" s="128" t="n"/>
      <c r="G354" s="128" t="n"/>
      <c r="H354" s="129" t="n"/>
      <c r="I354" s="129" t="n"/>
      <c r="J354" s="128" t="n"/>
      <c r="K354" s="130" t="n"/>
      <c r="L354" s="130" t="n"/>
      <c r="M354" s="128" t="n"/>
      <c r="N354" s="129" t="n"/>
    </row>
    <row r="355" ht="15" customHeight="1" s="75">
      <c r="A355" s="124" t="n"/>
      <c r="B355" s="125" t="n"/>
      <c r="C355" s="126" t="n"/>
      <c r="D355" s="127" t="n"/>
      <c r="E355" s="127" t="n"/>
      <c r="F355" s="128" t="n"/>
      <c r="G355" s="128" t="n"/>
      <c r="H355" s="129" t="n"/>
      <c r="I355" s="129" t="n"/>
      <c r="J355" s="128" t="n"/>
      <c r="K355" s="130" t="n"/>
      <c r="L355" s="130" t="n"/>
      <c r="M355" s="128" t="n"/>
      <c r="N355" s="129" t="n"/>
    </row>
    <row r="356" ht="15" customHeight="1" s="75">
      <c r="A356" s="124" t="n"/>
      <c r="B356" s="125" t="n"/>
      <c r="C356" s="126" t="n"/>
      <c r="D356" s="127" t="n"/>
      <c r="E356" s="127" t="n"/>
      <c r="F356" s="128" t="n"/>
      <c r="G356" s="128" t="n"/>
      <c r="H356" s="129" t="n"/>
      <c r="I356" s="129" t="n"/>
      <c r="J356" s="128" t="n"/>
      <c r="K356" s="130" t="n"/>
      <c r="L356" s="130" t="n"/>
      <c r="M356" s="128" t="n"/>
      <c r="N356" s="129" t="n"/>
    </row>
    <row r="357" ht="15" customHeight="1" s="75">
      <c r="A357" s="124" t="n"/>
      <c r="B357" s="125" t="n"/>
      <c r="C357" s="126" t="n"/>
      <c r="D357" s="127" t="n"/>
      <c r="E357" s="127" t="n"/>
      <c r="F357" s="128" t="n"/>
      <c r="G357" s="128" t="n"/>
      <c r="H357" s="129" t="n"/>
      <c r="I357" s="129" t="n"/>
      <c r="J357" s="128" t="n"/>
      <c r="K357" s="130" t="n"/>
      <c r="L357" s="130" t="n"/>
      <c r="M357" s="128" t="n"/>
      <c r="N357" s="129" t="n"/>
    </row>
    <row r="358" ht="15" customHeight="1" s="75">
      <c r="A358" s="124" t="n"/>
      <c r="B358" s="125" t="n"/>
      <c r="C358" s="126" t="n"/>
      <c r="D358" s="127" t="n"/>
      <c r="E358" s="127" t="n"/>
      <c r="F358" s="128" t="n"/>
      <c r="G358" s="128" t="n"/>
      <c r="H358" s="129" t="n"/>
      <c r="I358" s="129" t="n"/>
      <c r="J358" s="128" t="n"/>
      <c r="K358" s="130" t="n"/>
      <c r="L358" s="130" t="n"/>
      <c r="M358" s="128" t="n"/>
      <c r="N358" s="129" t="n"/>
    </row>
    <row r="359" ht="15" customHeight="1" s="75">
      <c r="A359" s="124" t="n"/>
      <c r="B359" s="125" t="n"/>
      <c r="C359" s="126" t="n"/>
      <c r="D359" s="127" t="n"/>
      <c r="E359" s="127" t="n"/>
      <c r="F359" s="128" t="n"/>
      <c r="G359" s="128" t="n"/>
      <c r="H359" s="129" t="n"/>
      <c r="I359" s="129" t="n"/>
      <c r="J359" s="128" t="n"/>
      <c r="K359" s="130" t="n"/>
      <c r="L359" s="130" t="n"/>
      <c r="M359" s="128" t="n"/>
      <c r="N359" s="129" t="n"/>
    </row>
    <row r="360" ht="15" customHeight="1" s="75">
      <c r="A360" s="124" t="n"/>
      <c r="B360" s="125" t="n"/>
      <c r="C360" s="126" t="n"/>
      <c r="D360" s="127" t="n"/>
      <c r="E360" s="127" t="n"/>
      <c r="F360" s="128" t="n"/>
      <c r="G360" s="128" t="n"/>
      <c r="H360" s="129" t="n"/>
      <c r="I360" s="129" t="n"/>
      <c r="J360" s="128" t="n"/>
      <c r="K360" s="130" t="n"/>
      <c r="L360" s="130" t="n"/>
      <c r="M360" s="128" t="n"/>
      <c r="N360" s="129" t="n"/>
    </row>
    <row r="361" ht="15" customHeight="1" s="75">
      <c r="A361" s="124" t="n"/>
      <c r="B361" s="125" t="n"/>
      <c r="C361" s="126" t="n"/>
      <c r="D361" s="127" t="n"/>
      <c r="E361" s="127" t="n"/>
      <c r="F361" s="128" t="n"/>
      <c r="G361" s="128" t="n"/>
      <c r="H361" s="129" t="n"/>
      <c r="I361" s="129" t="n"/>
      <c r="J361" s="128" t="n"/>
      <c r="K361" s="130" t="n"/>
      <c r="L361" s="130" t="n"/>
      <c r="M361" s="128" t="n"/>
      <c r="N361" s="129" t="n"/>
    </row>
    <row r="362" ht="15" customHeight="1" s="75">
      <c r="A362" s="124" t="n"/>
      <c r="B362" s="125" t="n"/>
      <c r="C362" s="126" t="n"/>
      <c r="D362" s="127" t="n"/>
      <c r="E362" s="127" t="n"/>
      <c r="F362" s="128" t="n"/>
      <c r="G362" s="128" t="n"/>
      <c r="H362" s="129" t="n"/>
      <c r="I362" s="129" t="n"/>
      <c r="J362" s="128" t="n"/>
      <c r="K362" s="130" t="n"/>
      <c r="L362" s="130" t="n"/>
      <c r="M362" s="128" t="n"/>
      <c r="N362" s="129" t="n"/>
    </row>
    <row r="363" ht="15" customHeight="1" s="75">
      <c r="A363" s="124" t="n"/>
      <c r="B363" s="125" t="n"/>
      <c r="C363" s="126" t="n"/>
      <c r="D363" s="127" t="n"/>
      <c r="E363" s="127" t="n"/>
      <c r="F363" s="128" t="n"/>
      <c r="G363" s="128" t="n"/>
      <c r="H363" s="129" t="n"/>
      <c r="I363" s="129" t="n"/>
      <c r="J363" s="128" t="n"/>
      <c r="K363" s="130" t="n"/>
      <c r="L363" s="130" t="n"/>
      <c r="M363" s="128" t="n"/>
      <c r="N363" s="129" t="n"/>
    </row>
    <row r="364" ht="15" customHeight="1" s="75">
      <c r="A364" s="124" t="n"/>
      <c r="B364" s="125" t="n"/>
      <c r="C364" s="126" t="n"/>
      <c r="D364" s="127" t="n"/>
      <c r="E364" s="127" t="n"/>
      <c r="F364" s="128" t="n"/>
      <c r="G364" s="128" t="n"/>
      <c r="H364" s="129" t="n"/>
      <c r="I364" s="129" t="n"/>
      <c r="J364" s="128" t="n"/>
      <c r="K364" s="130" t="n"/>
      <c r="L364" s="130" t="n"/>
      <c r="M364" s="128" t="n"/>
      <c r="N364" s="129" t="n"/>
    </row>
    <row r="365" ht="15" customHeight="1" s="75">
      <c r="A365" s="124" t="n"/>
      <c r="B365" s="125" t="n"/>
      <c r="C365" s="126" t="n"/>
      <c r="D365" s="127" t="n"/>
      <c r="E365" s="127" t="n"/>
      <c r="F365" s="128" t="n"/>
      <c r="G365" s="128" t="n"/>
      <c r="H365" s="129" t="n"/>
      <c r="I365" s="129" t="n"/>
      <c r="J365" s="128" t="n"/>
      <c r="K365" s="130" t="n"/>
      <c r="L365" s="130" t="n"/>
      <c r="M365" s="128" t="n"/>
      <c r="N365" s="129" t="n"/>
    </row>
    <row r="366" ht="15" customHeight="1" s="75">
      <c r="A366" s="124" t="n"/>
      <c r="B366" s="125" t="n"/>
      <c r="C366" s="126" t="n"/>
      <c r="D366" s="127" t="n"/>
      <c r="E366" s="127" t="n"/>
      <c r="F366" s="128" t="n"/>
      <c r="G366" s="128" t="n"/>
      <c r="H366" s="129" t="n"/>
      <c r="I366" s="129" t="n"/>
      <c r="J366" s="128" t="n"/>
      <c r="K366" s="130" t="n"/>
      <c r="L366" s="130" t="n"/>
      <c r="M366" s="128" t="n"/>
      <c r="N366" s="129" t="n"/>
    </row>
    <row r="367" ht="15" customHeight="1" s="75">
      <c r="A367" s="124" t="n"/>
      <c r="B367" s="125" t="n"/>
      <c r="C367" s="126" t="n"/>
      <c r="D367" s="127" t="n"/>
      <c r="E367" s="127" t="n"/>
      <c r="F367" s="128" t="n"/>
      <c r="G367" s="128" t="n"/>
      <c r="H367" s="129" t="n"/>
      <c r="I367" s="129" t="n"/>
      <c r="J367" s="128" t="n"/>
      <c r="K367" s="130" t="n"/>
      <c r="L367" s="130" t="n"/>
      <c r="M367" s="128" t="n"/>
      <c r="N367" s="129" t="n"/>
    </row>
    <row r="368" ht="15" customHeight="1" s="75">
      <c r="A368" s="124" t="n"/>
      <c r="B368" s="125" t="n"/>
      <c r="C368" s="126" t="n"/>
      <c r="D368" s="127" t="n"/>
      <c r="E368" s="127" t="n"/>
      <c r="F368" s="128" t="n"/>
      <c r="G368" s="128" t="n"/>
      <c r="H368" s="129" t="n"/>
      <c r="I368" s="129" t="n"/>
      <c r="J368" s="128" t="n"/>
      <c r="K368" s="130" t="n"/>
      <c r="L368" s="130" t="n"/>
      <c r="M368" s="128" t="n"/>
      <c r="N368" s="129" t="n"/>
    </row>
    <row r="369" ht="15" customHeight="1" s="75">
      <c r="A369" s="124" t="n"/>
      <c r="B369" s="125" t="n"/>
      <c r="C369" s="126" t="n"/>
      <c r="D369" s="127" t="n"/>
      <c r="E369" s="127" t="n"/>
      <c r="F369" s="128" t="n"/>
      <c r="G369" s="128" t="n"/>
      <c r="H369" s="129" t="n"/>
      <c r="I369" s="129" t="n"/>
      <c r="J369" s="128" t="n"/>
      <c r="K369" s="130" t="n"/>
      <c r="L369" s="130" t="n"/>
      <c r="M369" s="128" t="n"/>
      <c r="N369" s="129" t="n"/>
    </row>
    <row r="370" ht="15" customHeight="1" s="75">
      <c r="A370" s="124" t="n"/>
      <c r="B370" s="125" t="n"/>
      <c r="C370" s="126" t="n"/>
      <c r="D370" s="127" t="n"/>
      <c r="E370" s="127" t="n"/>
      <c r="F370" s="128" t="n"/>
      <c r="G370" s="128" t="n"/>
      <c r="H370" s="129" t="n"/>
      <c r="I370" s="129" t="n"/>
      <c r="J370" s="128" t="n"/>
      <c r="K370" s="130" t="n"/>
      <c r="L370" s="130" t="n"/>
      <c r="M370" s="128" t="n"/>
      <c r="N370" s="129" t="n"/>
    </row>
    <row r="371" ht="15" customHeight="1" s="75">
      <c r="A371" s="124" t="n"/>
      <c r="B371" s="125" t="n"/>
      <c r="C371" s="126" t="n"/>
      <c r="D371" s="127" t="n"/>
      <c r="E371" s="127" t="n"/>
      <c r="F371" s="128" t="n"/>
      <c r="G371" s="128" t="n"/>
      <c r="H371" s="129" t="n"/>
      <c r="I371" s="129" t="n"/>
      <c r="J371" s="128" t="n"/>
      <c r="K371" s="130" t="n"/>
      <c r="L371" s="130" t="n"/>
      <c r="M371" s="128" t="n"/>
      <c r="N371" s="129" t="n"/>
    </row>
    <row r="372" ht="15" customHeight="1" s="75">
      <c r="A372" s="124" t="n"/>
      <c r="B372" s="125" t="n"/>
      <c r="C372" s="126" t="n"/>
      <c r="D372" s="127" t="n"/>
      <c r="E372" s="127" t="n"/>
      <c r="F372" s="128" t="n"/>
      <c r="G372" s="128" t="n"/>
      <c r="H372" s="129" t="n"/>
      <c r="I372" s="129" t="n"/>
      <c r="J372" s="128" t="n"/>
      <c r="K372" s="130" t="n"/>
      <c r="L372" s="130" t="n"/>
      <c r="M372" s="128" t="n"/>
      <c r="N372" s="129" t="n"/>
    </row>
    <row r="373" ht="15" customHeight="1" s="75">
      <c r="A373" s="124" t="n"/>
      <c r="B373" s="125" t="n"/>
      <c r="C373" s="126" t="n"/>
      <c r="D373" s="127" t="n"/>
      <c r="E373" s="127" t="n"/>
      <c r="F373" s="128" t="n"/>
      <c r="G373" s="128" t="n"/>
      <c r="H373" s="129" t="n"/>
      <c r="I373" s="129" t="n"/>
      <c r="J373" s="128" t="n"/>
      <c r="K373" s="130" t="n"/>
      <c r="L373" s="130" t="n"/>
      <c r="M373" s="128" t="n"/>
      <c r="N373" s="129" t="n"/>
    </row>
    <row r="374" ht="15" customHeight="1" s="75">
      <c r="A374" s="124" t="n"/>
      <c r="B374" s="125" t="n"/>
      <c r="C374" s="126" t="n"/>
      <c r="D374" s="127" t="n"/>
      <c r="E374" s="127" t="n"/>
      <c r="F374" s="128" t="n"/>
      <c r="G374" s="128" t="n"/>
      <c r="H374" s="129" t="n"/>
      <c r="I374" s="129" t="n"/>
      <c r="J374" s="128" t="n"/>
      <c r="K374" s="130" t="n"/>
      <c r="L374" s="130" t="n"/>
      <c r="M374" s="128" t="n"/>
      <c r="N374" s="129" t="n"/>
    </row>
    <row r="375" ht="15" customHeight="1" s="75">
      <c r="A375" s="124" t="n"/>
      <c r="B375" s="125" t="n"/>
      <c r="C375" s="126" t="n"/>
      <c r="D375" s="127" t="n"/>
      <c r="E375" s="127" t="n"/>
      <c r="F375" s="128" t="n"/>
      <c r="G375" s="128" t="n"/>
      <c r="H375" s="129" t="n"/>
      <c r="I375" s="129" t="n"/>
      <c r="J375" s="128" t="n"/>
      <c r="K375" s="130" t="n"/>
      <c r="L375" s="130" t="n"/>
      <c r="M375" s="128" t="n"/>
      <c r="N375" s="129" t="n"/>
    </row>
    <row r="376" ht="15" customHeight="1" s="75">
      <c r="A376" s="124" t="n"/>
      <c r="B376" s="125" t="n"/>
      <c r="C376" s="126" t="n"/>
      <c r="D376" s="127" t="n"/>
      <c r="E376" s="127" t="n"/>
      <c r="F376" s="128" t="n"/>
      <c r="G376" s="128" t="n"/>
      <c r="H376" s="129" t="n"/>
      <c r="I376" s="129" t="n"/>
      <c r="J376" s="128" t="n"/>
      <c r="K376" s="130" t="n"/>
      <c r="L376" s="130" t="n"/>
      <c r="M376" s="128" t="n"/>
      <c r="N376" s="129" t="n"/>
    </row>
    <row r="377" ht="15" customHeight="1" s="75">
      <c r="A377" s="124" t="n"/>
      <c r="B377" s="125" t="n"/>
      <c r="C377" s="126" t="n"/>
      <c r="D377" s="127" t="n"/>
      <c r="E377" s="127" t="n"/>
      <c r="F377" s="128" t="n"/>
      <c r="G377" s="128" t="n"/>
      <c r="H377" s="129" t="n"/>
      <c r="I377" s="129" t="n"/>
      <c r="J377" s="128" t="n"/>
      <c r="K377" s="130" t="n"/>
      <c r="L377" s="130" t="n"/>
      <c r="M377" s="128" t="n"/>
      <c r="N377" s="129" t="n"/>
    </row>
    <row r="378" ht="15" customHeight="1" s="75">
      <c r="A378" s="124" t="n"/>
      <c r="B378" s="125" t="n"/>
      <c r="C378" s="126" t="n"/>
      <c r="D378" s="127" t="n"/>
      <c r="E378" s="127" t="n"/>
      <c r="F378" s="128" t="n"/>
      <c r="G378" s="128" t="n"/>
      <c r="H378" s="129" t="n"/>
      <c r="I378" s="129" t="n"/>
      <c r="J378" s="128" t="n"/>
      <c r="K378" s="130" t="n"/>
      <c r="L378" s="130" t="n"/>
      <c r="M378" s="128" t="n"/>
      <c r="N378" s="129" t="n"/>
    </row>
    <row r="379" ht="15" customHeight="1" s="75">
      <c r="A379" s="124" t="n"/>
      <c r="B379" s="125" t="n"/>
      <c r="C379" s="126" t="n"/>
      <c r="D379" s="127" t="n"/>
      <c r="E379" s="127" t="n"/>
      <c r="F379" s="128" t="n"/>
      <c r="G379" s="128" t="n"/>
      <c r="H379" s="129" t="n"/>
      <c r="I379" s="129" t="n"/>
      <c r="J379" s="128" t="n"/>
      <c r="K379" s="130" t="n"/>
      <c r="L379" s="130" t="n"/>
      <c r="M379" s="128" t="n"/>
      <c r="N379" s="129" t="n"/>
    </row>
    <row r="380" ht="15" customHeight="1" s="75">
      <c r="A380" s="124" t="n"/>
      <c r="B380" s="125" t="n"/>
      <c r="C380" s="126" t="n"/>
      <c r="D380" s="127" t="n"/>
      <c r="E380" s="127" t="n"/>
      <c r="F380" s="128" t="n"/>
      <c r="G380" s="128" t="n"/>
      <c r="H380" s="129" t="n"/>
      <c r="I380" s="129" t="n"/>
      <c r="J380" s="128" t="n"/>
      <c r="K380" s="130" t="n"/>
      <c r="L380" s="130" t="n"/>
      <c r="M380" s="128" t="n"/>
      <c r="N380" s="129" t="n"/>
    </row>
    <row r="381" ht="15" customHeight="1" s="75">
      <c r="A381" s="124" t="n"/>
      <c r="B381" s="125" t="n"/>
      <c r="C381" s="126" t="n"/>
      <c r="D381" s="127" t="n"/>
      <c r="E381" s="127" t="n"/>
      <c r="F381" s="128" t="n"/>
      <c r="G381" s="128" t="n"/>
      <c r="H381" s="129" t="n"/>
      <c r="I381" s="129" t="n"/>
      <c r="J381" s="128" t="n"/>
      <c r="K381" s="130" t="n"/>
      <c r="L381" s="130" t="n"/>
      <c r="M381" s="128" t="n"/>
      <c r="N381" s="129" t="n"/>
    </row>
    <row r="382" ht="15" customHeight="1" s="75">
      <c r="A382" s="124" t="n"/>
      <c r="B382" s="125" t="n"/>
      <c r="C382" s="126" t="n"/>
      <c r="D382" s="127" t="n"/>
      <c r="E382" s="127" t="n"/>
      <c r="F382" s="128" t="n"/>
      <c r="G382" s="128" t="n"/>
      <c r="H382" s="129" t="n"/>
      <c r="I382" s="129" t="n"/>
      <c r="J382" s="128" t="n"/>
      <c r="K382" s="130" t="n"/>
      <c r="L382" s="130" t="n"/>
      <c r="M382" s="128" t="n"/>
      <c r="N382" s="129" t="n"/>
    </row>
    <row r="383" ht="15" customHeight="1" s="75">
      <c r="A383" s="124" t="n"/>
      <c r="B383" s="125" t="n"/>
      <c r="C383" s="126" t="n"/>
      <c r="D383" s="127" t="n"/>
      <c r="E383" s="127" t="n"/>
      <c r="F383" s="128" t="n"/>
      <c r="G383" s="128" t="n"/>
      <c r="H383" s="129" t="n"/>
      <c r="I383" s="129" t="n"/>
      <c r="J383" s="128" t="n"/>
      <c r="K383" s="130" t="n"/>
      <c r="L383" s="130" t="n"/>
      <c r="M383" s="128" t="n"/>
      <c r="N383" s="129" t="n"/>
    </row>
    <row r="384" ht="15" customHeight="1" s="75">
      <c r="A384" s="124" t="n"/>
      <c r="B384" s="125" t="n"/>
      <c r="C384" s="126" t="n"/>
      <c r="D384" s="127" t="n"/>
      <c r="E384" s="127" t="n"/>
      <c r="F384" s="128" t="n"/>
      <c r="G384" s="128" t="n"/>
      <c r="H384" s="129" t="n"/>
      <c r="I384" s="129" t="n"/>
      <c r="J384" s="128" t="n"/>
      <c r="K384" s="130" t="n"/>
      <c r="L384" s="130" t="n"/>
      <c r="M384" s="128" t="n"/>
      <c r="N384" s="129" t="n"/>
    </row>
    <row r="385" ht="15" customHeight="1" s="75">
      <c r="A385" s="124" t="n"/>
      <c r="B385" s="125" t="n"/>
      <c r="C385" s="126" t="n"/>
      <c r="D385" s="127" t="n"/>
      <c r="E385" s="127" t="n"/>
      <c r="F385" s="128" t="n"/>
      <c r="G385" s="128" t="n"/>
      <c r="H385" s="129" t="n"/>
      <c r="I385" s="129" t="n"/>
      <c r="J385" s="128" t="n"/>
      <c r="K385" s="130" t="n"/>
      <c r="L385" s="130" t="n"/>
      <c r="M385" s="128" t="n"/>
      <c r="N385" s="129" t="n"/>
    </row>
    <row r="386" ht="15" customHeight="1" s="75">
      <c r="A386" s="124" t="n"/>
      <c r="B386" s="125" t="n"/>
      <c r="C386" s="126" t="n"/>
      <c r="D386" s="127" t="n"/>
      <c r="E386" s="127" t="n"/>
      <c r="F386" s="128" t="n"/>
      <c r="G386" s="128" t="n"/>
      <c r="H386" s="129" t="n"/>
      <c r="I386" s="129" t="n"/>
      <c r="J386" s="128" t="n"/>
      <c r="K386" s="130" t="n"/>
      <c r="L386" s="130" t="n"/>
      <c r="M386" s="128" t="n"/>
      <c r="N386" s="129" t="n"/>
    </row>
    <row r="387" ht="15" customHeight="1" s="75">
      <c r="A387" s="124" t="n"/>
      <c r="B387" s="125" t="n"/>
      <c r="C387" s="126" t="n"/>
      <c r="D387" s="127" t="n"/>
      <c r="E387" s="127" t="n"/>
      <c r="F387" s="128" t="n"/>
      <c r="G387" s="128" t="n"/>
      <c r="H387" s="129" t="n"/>
      <c r="I387" s="129" t="n"/>
      <c r="J387" s="128" t="n"/>
      <c r="K387" s="130" t="n"/>
      <c r="L387" s="130" t="n"/>
      <c r="M387" s="128" t="n"/>
      <c r="N387" s="129" t="n"/>
    </row>
    <row r="388" ht="15" customHeight="1" s="75">
      <c r="A388" s="124" t="n"/>
      <c r="B388" s="125" t="n"/>
      <c r="C388" s="126" t="n"/>
      <c r="D388" s="127" t="n"/>
      <c r="E388" s="127" t="n"/>
      <c r="F388" s="128" t="n"/>
      <c r="G388" s="128" t="n"/>
      <c r="H388" s="129" t="n"/>
      <c r="I388" s="129" t="n"/>
      <c r="J388" s="128" t="n"/>
      <c r="K388" s="130" t="n"/>
      <c r="L388" s="130" t="n"/>
      <c r="M388" s="128" t="n"/>
      <c r="N388" s="129" t="n"/>
    </row>
    <row r="389" ht="15" customHeight="1" s="75">
      <c r="A389" s="124" t="n"/>
      <c r="B389" s="125" t="n"/>
      <c r="C389" s="126" t="n"/>
      <c r="D389" s="127" t="n"/>
      <c r="E389" s="127" t="n"/>
      <c r="F389" s="128" t="n"/>
      <c r="G389" s="128" t="n"/>
      <c r="H389" s="129" t="n"/>
      <c r="I389" s="129" t="n"/>
      <c r="J389" s="128" t="n"/>
      <c r="K389" s="130" t="n"/>
      <c r="L389" s="130" t="n"/>
      <c r="M389" s="128" t="n"/>
      <c r="N389" s="129" t="n"/>
    </row>
    <row r="390" ht="15" customHeight="1" s="75">
      <c r="A390" s="124" t="n"/>
      <c r="B390" s="125" t="n"/>
      <c r="C390" s="126" t="n"/>
      <c r="D390" s="127" t="n"/>
      <c r="E390" s="127" t="n"/>
      <c r="F390" s="128" t="n"/>
      <c r="G390" s="128" t="n"/>
      <c r="H390" s="129" t="n"/>
      <c r="I390" s="129" t="n"/>
      <c r="J390" s="128" t="n"/>
      <c r="K390" s="130" t="n"/>
      <c r="L390" s="130" t="n"/>
      <c r="M390" s="128" t="n"/>
      <c r="N390" s="129" t="n"/>
    </row>
    <row r="391" ht="15" customHeight="1" s="75">
      <c r="A391" s="124" t="n"/>
      <c r="B391" s="125" t="n"/>
      <c r="C391" s="126" t="n"/>
      <c r="D391" s="127" t="n"/>
      <c r="E391" s="127" t="n"/>
      <c r="F391" s="128" t="n"/>
      <c r="G391" s="128" t="n"/>
      <c r="H391" s="129" t="n"/>
      <c r="I391" s="129" t="n"/>
      <c r="J391" s="128" t="n"/>
      <c r="K391" s="130" t="n"/>
      <c r="L391" s="130" t="n"/>
      <c r="M391" s="128" t="n"/>
      <c r="N391" s="129" t="n"/>
    </row>
    <row r="392" ht="15" customHeight="1" s="75">
      <c r="A392" s="124" t="n"/>
      <c r="B392" s="125" t="n"/>
      <c r="C392" s="126" t="n"/>
      <c r="D392" s="127" t="n"/>
      <c r="E392" s="127" t="n"/>
      <c r="F392" s="128" t="n"/>
      <c r="G392" s="128" t="n"/>
      <c r="H392" s="129" t="n"/>
      <c r="I392" s="129" t="n"/>
      <c r="J392" s="128" t="n"/>
      <c r="K392" s="130" t="n"/>
      <c r="L392" s="130" t="n"/>
      <c r="M392" s="128" t="n"/>
      <c r="N392" s="129" t="n"/>
    </row>
    <row r="393" ht="15" customHeight="1" s="75">
      <c r="A393" s="124" t="n"/>
      <c r="B393" s="125" t="n"/>
      <c r="C393" s="126" t="n"/>
      <c r="D393" s="127" t="n"/>
      <c r="E393" s="127" t="n"/>
      <c r="F393" s="128" t="n"/>
      <c r="G393" s="128" t="n"/>
      <c r="H393" s="129" t="n"/>
      <c r="I393" s="129" t="n"/>
      <c r="J393" s="128" t="n"/>
      <c r="K393" s="130" t="n"/>
      <c r="L393" s="130" t="n"/>
      <c r="M393" s="128" t="n"/>
      <c r="N393" s="129" t="n"/>
    </row>
    <row r="394" ht="15" customHeight="1" s="75">
      <c r="A394" s="124" t="n"/>
      <c r="B394" s="125" t="n"/>
      <c r="C394" s="126" t="n"/>
      <c r="D394" s="127" t="n"/>
      <c r="E394" s="127" t="n"/>
      <c r="F394" s="128" t="n"/>
      <c r="G394" s="128" t="n"/>
      <c r="H394" s="129" t="n"/>
      <c r="I394" s="129" t="n"/>
      <c r="J394" s="128" t="n"/>
      <c r="K394" s="130" t="n"/>
      <c r="L394" s="130" t="n"/>
      <c r="M394" s="128" t="n"/>
      <c r="N394" s="129" t="n"/>
    </row>
    <row r="395" ht="15" customHeight="1" s="75">
      <c r="A395" s="124" t="n"/>
      <c r="B395" s="125" t="n"/>
      <c r="C395" s="126" t="n"/>
      <c r="D395" s="127" t="n"/>
      <c r="E395" s="127" t="n"/>
      <c r="F395" s="128" t="n"/>
      <c r="G395" s="128" t="n"/>
      <c r="H395" s="129" t="n"/>
      <c r="I395" s="129" t="n"/>
      <c r="J395" s="128" t="n"/>
      <c r="K395" s="130" t="n"/>
      <c r="L395" s="130" t="n"/>
      <c r="M395" s="128" t="n"/>
      <c r="N395" s="129" t="n"/>
    </row>
    <row r="396" ht="15" customHeight="1" s="75">
      <c r="A396" s="124" t="n"/>
      <c r="B396" s="125" t="n"/>
      <c r="C396" s="126" t="n"/>
      <c r="D396" s="127" t="n"/>
      <c r="E396" s="127" t="n"/>
      <c r="F396" s="128" t="n"/>
      <c r="G396" s="128" t="n"/>
      <c r="H396" s="129" t="n"/>
      <c r="I396" s="129" t="n"/>
      <c r="J396" s="128" t="n"/>
      <c r="K396" s="130" t="n"/>
      <c r="L396" s="130" t="n"/>
      <c r="M396" s="128" t="n"/>
      <c r="N396" s="129" t="n"/>
    </row>
    <row r="397" ht="15" customHeight="1" s="75">
      <c r="A397" s="124" t="n"/>
      <c r="B397" s="125" t="n"/>
      <c r="C397" s="126" t="n"/>
      <c r="D397" s="127" t="n"/>
      <c r="E397" s="127" t="n"/>
      <c r="F397" s="128" t="n"/>
      <c r="G397" s="128" t="n"/>
      <c r="H397" s="129" t="n"/>
      <c r="I397" s="129" t="n"/>
      <c r="J397" s="128" t="n"/>
      <c r="K397" s="130" t="n"/>
      <c r="L397" s="130" t="n"/>
      <c r="M397" s="128" t="n"/>
      <c r="N397" s="129" t="n"/>
    </row>
    <row r="398" ht="15" customHeight="1" s="75">
      <c r="A398" s="124" t="n"/>
      <c r="B398" s="125" t="n"/>
      <c r="C398" s="126" t="n"/>
      <c r="D398" s="127" t="n"/>
      <c r="E398" s="127" t="n"/>
      <c r="F398" s="128" t="n"/>
      <c r="G398" s="128" t="n"/>
      <c r="H398" s="129" t="n"/>
      <c r="I398" s="129" t="n"/>
      <c r="J398" s="128" t="n"/>
      <c r="K398" s="130" t="n"/>
      <c r="L398" s="130" t="n"/>
      <c r="M398" s="128" t="n"/>
      <c r="N398" s="129" t="n"/>
    </row>
    <row r="399" ht="15" customHeight="1" s="75">
      <c r="A399" s="124" t="n"/>
      <c r="B399" s="125" t="n"/>
      <c r="C399" s="126" t="n"/>
      <c r="D399" s="127" t="n"/>
      <c r="E399" s="127" t="n"/>
      <c r="F399" s="128" t="n"/>
      <c r="G399" s="128" t="n"/>
      <c r="H399" s="129" t="n"/>
      <c r="I399" s="129" t="n"/>
      <c r="J399" s="128" t="n"/>
      <c r="K399" s="130" t="n"/>
      <c r="L399" s="130" t="n"/>
      <c r="M399" s="128" t="n"/>
      <c r="N399" s="129" t="n"/>
    </row>
    <row r="400" ht="15" customHeight="1" s="75">
      <c r="A400" s="124" t="n"/>
      <c r="B400" s="125" t="n"/>
      <c r="C400" s="126" t="n"/>
      <c r="D400" s="127" t="n"/>
      <c r="E400" s="127" t="n"/>
      <c r="F400" s="128" t="n"/>
      <c r="G400" s="128" t="n"/>
      <c r="H400" s="129" t="n"/>
      <c r="I400" s="129" t="n"/>
      <c r="J400" s="128" t="n"/>
      <c r="K400" s="130" t="n"/>
      <c r="L400" s="130" t="n"/>
      <c r="M400" s="128" t="n"/>
      <c r="N400" s="129" t="n"/>
    </row>
    <row r="401" ht="15" customHeight="1" s="75">
      <c r="A401" s="124" t="n"/>
      <c r="B401" s="125" t="n"/>
      <c r="C401" s="126" t="n"/>
      <c r="D401" s="127" t="n"/>
      <c r="E401" s="127" t="n"/>
      <c r="F401" s="128" t="n"/>
      <c r="G401" s="128" t="n"/>
      <c r="H401" s="129" t="n"/>
      <c r="I401" s="129" t="n"/>
      <c r="J401" s="128" t="n"/>
      <c r="K401" s="130" t="n"/>
      <c r="L401" s="130" t="n"/>
      <c r="M401" s="128" t="n"/>
      <c r="N401" s="129" t="n"/>
    </row>
    <row r="402" ht="15" customHeight="1" s="75">
      <c r="A402" s="124" t="n"/>
      <c r="B402" s="125" t="n"/>
      <c r="C402" s="126" t="n"/>
      <c r="D402" s="127" t="n"/>
      <c r="E402" s="127" t="n"/>
      <c r="F402" s="128" t="n"/>
      <c r="G402" s="128" t="n"/>
      <c r="H402" s="129" t="n"/>
      <c r="I402" s="129" t="n"/>
      <c r="J402" s="128" t="n"/>
      <c r="K402" s="130" t="n"/>
      <c r="L402" s="130" t="n"/>
      <c r="M402" s="128" t="n"/>
      <c r="N402" s="129" t="n"/>
    </row>
    <row r="403" ht="15" customHeight="1" s="75">
      <c r="A403" s="124" t="n"/>
      <c r="B403" s="125" t="n"/>
      <c r="C403" s="126" t="n"/>
      <c r="D403" s="127" t="n"/>
      <c r="E403" s="127" t="n"/>
      <c r="F403" s="128" t="n"/>
      <c r="G403" s="128" t="n"/>
      <c r="H403" s="129" t="n"/>
      <c r="I403" s="129" t="n"/>
      <c r="J403" s="128" t="n"/>
      <c r="K403" s="130" t="n"/>
      <c r="L403" s="130" t="n"/>
      <c r="M403" s="128" t="n"/>
      <c r="N403" s="129" t="n"/>
    </row>
    <row r="404" ht="15" customHeight="1" s="75">
      <c r="A404" s="124" t="n"/>
      <c r="B404" s="125" t="n"/>
      <c r="C404" s="126" t="n"/>
      <c r="D404" s="127" t="n"/>
      <c r="E404" s="127" t="n"/>
      <c r="F404" s="128" t="n"/>
      <c r="G404" s="128" t="n"/>
      <c r="H404" s="129" t="n"/>
      <c r="I404" s="129" t="n"/>
      <c r="J404" s="128" t="n"/>
      <c r="K404" s="130" t="n"/>
      <c r="L404" s="130" t="n"/>
      <c r="M404" s="128" t="n"/>
      <c r="N404" s="129" t="n"/>
    </row>
    <row r="405" ht="15" customHeight="1" s="75">
      <c r="A405" s="124" t="n"/>
      <c r="B405" s="125" t="n"/>
      <c r="C405" s="126" t="n"/>
      <c r="D405" s="127" t="n"/>
      <c r="E405" s="127" t="n"/>
      <c r="F405" s="128" t="n"/>
      <c r="G405" s="128" t="n"/>
      <c r="H405" s="129" t="n"/>
      <c r="I405" s="129" t="n"/>
      <c r="J405" s="128" t="n"/>
      <c r="K405" s="130" t="n"/>
      <c r="L405" s="130" t="n"/>
      <c r="M405" s="128" t="n"/>
      <c r="N405" s="129" t="n"/>
    </row>
    <row r="406" ht="15" customHeight="1" s="75">
      <c r="A406" s="124" t="n"/>
      <c r="B406" s="125" t="n"/>
      <c r="C406" s="126" t="n"/>
      <c r="D406" s="127" t="n"/>
      <c r="E406" s="127" t="n"/>
      <c r="F406" s="128" t="n"/>
      <c r="G406" s="128" t="n"/>
      <c r="H406" s="129" t="n"/>
      <c r="I406" s="129" t="n"/>
      <c r="J406" s="128" t="n"/>
      <c r="K406" s="130" t="n"/>
      <c r="L406" s="130" t="n"/>
      <c r="M406" s="128" t="n"/>
      <c r="N406" s="129" t="n"/>
    </row>
    <row r="407" ht="15" customHeight="1" s="75">
      <c r="A407" s="124" t="n"/>
      <c r="B407" s="125" t="n"/>
      <c r="C407" s="126" t="n"/>
      <c r="D407" s="127" t="n"/>
      <c r="E407" s="127" t="n"/>
      <c r="F407" s="128" t="n"/>
      <c r="G407" s="128" t="n"/>
      <c r="H407" s="129" t="n"/>
      <c r="I407" s="129" t="n"/>
      <c r="J407" s="128" t="n"/>
      <c r="K407" s="130" t="n"/>
      <c r="L407" s="130" t="n"/>
      <c r="M407" s="128" t="n"/>
      <c r="N407" s="129" t="n"/>
    </row>
    <row r="408" ht="15" customHeight="1" s="75">
      <c r="A408" s="124" t="n"/>
      <c r="B408" s="125" t="n"/>
      <c r="C408" s="126" t="n"/>
      <c r="D408" s="127" t="n"/>
      <c r="E408" s="127" t="n"/>
      <c r="F408" s="128" t="n"/>
      <c r="G408" s="128" t="n"/>
      <c r="H408" s="129" t="n"/>
      <c r="I408" s="129" t="n"/>
      <c r="J408" s="128" t="n"/>
      <c r="K408" s="130" t="n"/>
      <c r="L408" s="130" t="n"/>
      <c r="M408" s="128" t="n"/>
      <c r="N408" s="129" t="n"/>
    </row>
    <row r="409" ht="15" customHeight="1" s="75">
      <c r="A409" s="124" t="n"/>
      <c r="B409" s="125" t="n"/>
      <c r="C409" s="126" t="n"/>
      <c r="D409" s="127" t="n"/>
      <c r="E409" s="127" t="n"/>
      <c r="F409" s="128" t="n"/>
      <c r="G409" s="128" t="n"/>
      <c r="H409" s="129" t="n"/>
      <c r="I409" s="129" t="n"/>
      <c r="J409" s="128" t="n"/>
      <c r="K409" s="130" t="n"/>
      <c r="L409" s="130" t="n"/>
      <c r="M409" s="128" t="n"/>
      <c r="N409" s="129" t="n"/>
    </row>
    <row r="410" ht="15" customHeight="1" s="75">
      <c r="A410" s="124" t="n"/>
      <c r="B410" s="125" t="n"/>
      <c r="C410" s="126" t="n"/>
      <c r="D410" s="127" t="n"/>
      <c r="E410" s="127" t="n"/>
      <c r="F410" s="128" t="n"/>
      <c r="G410" s="128" t="n"/>
      <c r="H410" s="129" t="n"/>
      <c r="I410" s="129" t="n"/>
      <c r="J410" s="128" t="n"/>
      <c r="K410" s="130" t="n"/>
      <c r="L410" s="130" t="n"/>
      <c r="M410" s="128" t="n"/>
      <c r="N410" s="129" t="n"/>
    </row>
    <row r="411" ht="15" customHeight="1" s="75">
      <c r="A411" s="124" t="n"/>
      <c r="B411" s="125" t="n"/>
      <c r="C411" s="126" t="n"/>
      <c r="D411" s="127" t="n"/>
      <c r="E411" s="127" t="n"/>
      <c r="F411" s="128" t="n"/>
      <c r="G411" s="128" t="n"/>
      <c r="H411" s="129" t="n"/>
      <c r="I411" s="129" t="n"/>
      <c r="J411" s="128" t="n"/>
      <c r="K411" s="130" t="n"/>
      <c r="L411" s="130" t="n"/>
      <c r="M411" s="128" t="n"/>
      <c r="N411" s="129" t="n"/>
    </row>
    <row r="412" ht="15" customHeight="1" s="75">
      <c r="A412" s="124" t="n"/>
      <c r="B412" s="125" t="n"/>
      <c r="C412" s="126" t="n"/>
      <c r="D412" s="127" t="n"/>
      <c r="E412" s="127" t="n"/>
      <c r="F412" s="128" t="n"/>
      <c r="G412" s="128" t="n"/>
      <c r="H412" s="129" t="n"/>
      <c r="I412" s="129" t="n"/>
      <c r="J412" s="128" t="n"/>
      <c r="K412" s="130" t="n"/>
      <c r="L412" s="130" t="n"/>
      <c r="M412" s="128" t="n"/>
      <c r="N412" s="129" t="n"/>
    </row>
    <row r="413" ht="15" customHeight="1" s="75">
      <c r="A413" s="124" t="n"/>
      <c r="B413" s="125" t="n"/>
      <c r="C413" s="126" t="n"/>
      <c r="D413" s="127" t="n"/>
      <c r="E413" s="127" t="n"/>
      <c r="F413" s="128" t="n"/>
      <c r="G413" s="128" t="n"/>
      <c r="H413" s="129" t="n"/>
      <c r="I413" s="129" t="n"/>
      <c r="J413" s="128" t="n"/>
      <c r="K413" s="130" t="n"/>
      <c r="L413" s="130" t="n"/>
      <c r="M413" s="128" t="n"/>
      <c r="N413" s="129" t="n"/>
    </row>
    <row r="414" ht="15" customHeight="1" s="75">
      <c r="A414" s="124" t="n"/>
      <c r="B414" s="125" t="n"/>
      <c r="C414" s="126" t="n"/>
      <c r="D414" s="127" t="n"/>
      <c r="E414" s="127" t="n"/>
      <c r="F414" s="128" t="n"/>
      <c r="G414" s="128" t="n"/>
      <c r="H414" s="129" t="n"/>
      <c r="I414" s="129" t="n"/>
      <c r="J414" s="128" t="n"/>
      <c r="K414" s="130" t="n"/>
      <c r="L414" s="130" t="n"/>
      <c r="M414" s="128" t="n"/>
      <c r="N414" s="129" t="n"/>
    </row>
    <row r="415" ht="15" customHeight="1" s="75">
      <c r="A415" s="124" t="n"/>
      <c r="B415" s="125" t="n"/>
      <c r="C415" s="126" t="n"/>
      <c r="D415" s="127" t="n"/>
      <c r="E415" s="127" t="n"/>
      <c r="F415" s="128" t="n"/>
      <c r="G415" s="128" t="n"/>
      <c r="H415" s="129" t="n"/>
      <c r="I415" s="129" t="n"/>
      <c r="J415" s="128" t="n"/>
      <c r="K415" s="130" t="n"/>
      <c r="L415" s="130" t="n"/>
      <c r="M415" s="128" t="n"/>
      <c r="N415" s="129" t="n"/>
    </row>
    <row r="416" ht="15" customHeight="1" s="75">
      <c r="A416" s="124" t="n"/>
      <c r="B416" s="125" t="n"/>
      <c r="C416" s="126" t="n"/>
      <c r="D416" s="127" t="n"/>
      <c r="E416" s="127" t="n"/>
      <c r="F416" s="128" t="n"/>
      <c r="G416" s="128" t="n"/>
      <c r="H416" s="129" t="n"/>
      <c r="I416" s="129" t="n"/>
      <c r="J416" s="128" t="n"/>
      <c r="K416" s="130" t="n"/>
      <c r="L416" s="130" t="n"/>
      <c r="M416" s="128" t="n"/>
      <c r="N416" s="129" t="n"/>
    </row>
    <row r="417" ht="15" customHeight="1" s="75">
      <c r="A417" s="124" t="n"/>
      <c r="B417" s="125" t="n"/>
      <c r="C417" s="126" t="n"/>
      <c r="D417" s="127" t="n"/>
      <c r="E417" s="127" t="n"/>
      <c r="F417" s="128" t="n"/>
      <c r="G417" s="128" t="n"/>
      <c r="H417" s="129" t="n"/>
      <c r="I417" s="129" t="n"/>
      <c r="J417" s="128" t="n"/>
      <c r="K417" s="130" t="n"/>
      <c r="L417" s="130" t="n"/>
      <c r="M417" s="128" t="n"/>
      <c r="N417" s="129" t="n"/>
    </row>
    <row r="418" ht="15" customHeight="1" s="75">
      <c r="A418" s="124" t="n"/>
      <c r="B418" s="125" t="n"/>
      <c r="C418" s="126" t="n"/>
      <c r="D418" s="127" t="n"/>
      <c r="E418" s="127" t="n"/>
      <c r="F418" s="128" t="n"/>
      <c r="G418" s="128" t="n"/>
      <c r="H418" s="129" t="n"/>
      <c r="I418" s="129" t="n"/>
      <c r="J418" s="128" t="n"/>
      <c r="K418" s="130" t="n"/>
      <c r="L418" s="130" t="n"/>
      <c r="M418" s="128" t="n"/>
      <c r="N418" s="129" t="n"/>
    </row>
    <row r="419" ht="15" customHeight="1" s="75">
      <c r="A419" s="124" t="n"/>
      <c r="B419" s="125" t="n"/>
      <c r="C419" s="126" t="n"/>
      <c r="D419" s="127" t="n"/>
      <c r="E419" s="127" t="n"/>
      <c r="F419" s="128" t="n"/>
      <c r="G419" s="128" t="n"/>
      <c r="H419" s="129" t="n"/>
      <c r="I419" s="129" t="n"/>
      <c r="J419" s="128" t="n"/>
      <c r="K419" s="130" t="n"/>
      <c r="L419" s="130" t="n"/>
      <c r="M419" s="128" t="n"/>
      <c r="N419" s="129" t="n"/>
    </row>
    <row r="420" ht="15" customHeight="1" s="75">
      <c r="A420" s="124" t="n"/>
      <c r="B420" s="125" t="n"/>
      <c r="C420" s="126" t="n"/>
      <c r="D420" s="127" t="n"/>
      <c r="E420" s="127" t="n"/>
      <c r="F420" s="128" t="n"/>
      <c r="G420" s="128" t="n"/>
      <c r="H420" s="129" t="n"/>
      <c r="I420" s="129" t="n"/>
      <c r="J420" s="128" t="n"/>
      <c r="K420" s="130" t="n"/>
      <c r="L420" s="130" t="n"/>
      <c r="M420" s="128" t="n"/>
      <c r="N420" s="129" t="n"/>
    </row>
    <row r="421" ht="15" customHeight="1" s="75">
      <c r="A421" s="124" t="n"/>
      <c r="B421" s="125" t="n"/>
      <c r="C421" s="126" t="n"/>
      <c r="D421" s="127" t="n"/>
      <c r="E421" s="127" t="n"/>
      <c r="F421" s="128" t="n"/>
      <c r="G421" s="128" t="n"/>
      <c r="H421" s="129" t="n"/>
      <c r="I421" s="129" t="n"/>
      <c r="J421" s="128" t="n"/>
      <c r="K421" s="130" t="n"/>
      <c r="L421" s="130" t="n"/>
      <c r="M421" s="128" t="n"/>
      <c r="N421" s="129" t="n"/>
    </row>
    <row r="422" ht="15" customHeight="1" s="75">
      <c r="A422" s="124" t="n"/>
      <c r="B422" s="125" t="n"/>
      <c r="C422" s="126" t="n"/>
      <c r="D422" s="127" t="n"/>
      <c r="E422" s="127" t="n"/>
      <c r="F422" s="128" t="n"/>
      <c r="G422" s="128" t="n"/>
      <c r="H422" s="129" t="n"/>
      <c r="I422" s="129" t="n"/>
      <c r="J422" s="128" t="n"/>
      <c r="K422" s="130" t="n"/>
      <c r="L422" s="130" t="n"/>
      <c r="M422" s="128" t="n"/>
      <c r="N422" s="129" t="n"/>
    </row>
    <row r="423" ht="15" customHeight="1" s="75">
      <c r="A423" s="124" t="n"/>
      <c r="B423" s="125" t="n"/>
      <c r="C423" s="126" t="n"/>
      <c r="D423" s="127" t="n"/>
      <c r="E423" s="127" t="n"/>
      <c r="F423" s="128" t="n"/>
      <c r="G423" s="128" t="n"/>
      <c r="H423" s="129" t="n"/>
      <c r="I423" s="129" t="n"/>
      <c r="J423" s="128" t="n"/>
      <c r="K423" s="130" t="n"/>
      <c r="L423" s="130" t="n"/>
      <c r="M423" s="128" t="n"/>
      <c r="N423" s="129" t="n"/>
    </row>
    <row r="424" ht="15" customHeight="1" s="75">
      <c r="A424" s="124" t="n"/>
      <c r="B424" s="125" t="n"/>
      <c r="C424" s="126" t="n"/>
      <c r="D424" s="127" t="n"/>
      <c r="E424" s="127" t="n"/>
      <c r="F424" s="128" t="n"/>
      <c r="G424" s="128" t="n"/>
      <c r="H424" s="129" t="n"/>
      <c r="I424" s="129" t="n"/>
      <c r="J424" s="128" t="n"/>
      <c r="K424" s="130" t="n"/>
      <c r="L424" s="130" t="n"/>
      <c r="M424" s="128" t="n"/>
      <c r="N424" s="129" t="n"/>
    </row>
    <row r="425" ht="15" customHeight="1" s="75">
      <c r="A425" s="124" t="n"/>
      <c r="B425" s="125" t="n"/>
      <c r="C425" s="126" t="n"/>
      <c r="D425" s="127" t="n"/>
      <c r="E425" s="127" t="n"/>
      <c r="F425" s="128" t="n"/>
      <c r="G425" s="128" t="n"/>
      <c r="H425" s="129" t="n"/>
      <c r="I425" s="129" t="n"/>
      <c r="J425" s="128" t="n"/>
      <c r="K425" s="130" t="n"/>
      <c r="L425" s="130" t="n"/>
      <c r="M425" s="128" t="n"/>
      <c r="N425" s="129" t="n"/>
    </row>
    <row r="426" ht="15" customHeight="1" s="75">
      <c r="A426" s="124" t="n"/>
      <c r="B426" s="125" t="n"/>
      <c r="C426" s="126" t="n"/>
      <c r="D426" s="127" t="n"/>
      <c r="E426" s="127" t="n"/>
      <c r="F426" s="128" t="n"/>
      <c r="G426" s="128" t="n"/>
      <c r="H426" s="129" t="n"/>
      <c r="I426" s="129" t="n"/>
      <c r="J426" s="128" t="n"/>
      <c r="K426" s="130" t="n"/>
      <c r="L426" s="130" t="n"/>
      <c r="M426" s="128" t="n"/>
      <c r="N426" s="129" t="n"/>
    </row>
    <row r="427" ht="15" customHeight="1" s="75">
      <c r="A427" s="124" t="n"/>
      <c r="B427" s="125" t="n"/>
      <c r="C427" s="126" t="n"/>
      <c r="D427" s="127" t="n"/>
      <c r="E427" s="127" t="n"/>
      <c r="F427" s="128" t="n"/>
      <c r="G427" s="128" t="n"/>
      <c r="H427" s="129" t="n"/>
      <c r="I427" s="129" t="n"/>
      <c r="J427" s="128" t="n"/>
      <c r="K427" s="130" t="n"/>
      <c r="L427" s="130" t="n"/>
      <c r="M427" s="128" t="n"/>
      <c r="N427" s="129" t="n"/>
    </row>
    <row r="428" ht="15" customHeight="1" s="75">
      <c r="A428" s="124" t="n"/>
      <c r="B428" s="125" t="n"/>
      <c r="C428" s="126" t="n"/>
      <c r="D428" s="127" t="n"/>
      <c r="E428" s="127" t="n"/>
      <c r="F428" s="128" t="n"/>
      <c r="G428" s="128" t="n"/>
      <c r="H428" s="129" t="n"/>
      <c r="I428" s="129" t="n"/>
      <c r="J428" s="128" t="n"/>
      <c r="K428" s="130" t="n"/>
      <c r="L428" s="130" t="n"/>
      <c r="M428" s="128" t="n"/>
      <c r="N428" s="129" t="n"/>
    </row>
    <row r="429" ht="15" customHeight="1" s="75">
      <c r="A429" s="124" t="n"/>
      <c r="B429" s="125" t="n"/>
      <c r="C429" s="126" t="n"/>
      <c r="D429" s="127" t="n"/>
      <c r="E429" s="127" t="n"/>
      <c r="F429" s="128" t="n"/>
      <c r="G429" s="128" t="n"/>
      <c r="H429" s="129" t="n"/>
      <c r="I429" s="129" t="n"/>
      <c r="J429" s="128" t="n"/>
      <c r="K429" s="130" t="n"/>
      <c r="L429" s="130" t="n"/>
      <c r="M429" s="128" t="n"/>
      <c r="N429" s="129" t="n"/>
    </row>
    <row r="430" ht="15" customHeight="1" s="75">
      <c r="A430" s="124" t="n"/>
      <c r="B430" s="125" t="n"/>
      <c r="C430" s="126" t="n"/>
      <c r="D430" s="127" t="n"/>
      <c r="E430" s="127" t="n"/>
      <c r="F430" s="128" t="n"/>
      <c r="G430" s="128" t="n"/>
      <c r="H430" s="129" t="n"/>
      <c r="I430" s="129" t="n"/>
      <c r="J430" s="128" t="n"/>
      <c r="K430" s="130" t="n"/>
      <c r="L430" s="130" t="n"/>
      <c r="M430" s="128" t="n"/>
      <c r="N430" s="129" t="n"/>
    </row>
    <row r="431" ht="15" customHeight="1" s="75">
      <c r="A431" s="124" t="n"/>
      <c r="B431" s="125" t="n"/>
      <c r="C431" s="126" t="n"/>
      <c r="D431" s="127" t="n"/>
      <c r="E431" s="127" t="n"/>
      <c r="F431" s="128" t="n"/>
      <c r="G431" s="128" t="n"/>
      <c r="H431" s="129" t="n"/>
      <c r="I431" s="129" t="n"/>
      <c r="J431" s="128" t="n"/>
      <c r="K431" s="130" t="n"/>
      <c r="L431" s="130" t="n"/>
      <c r="M431" s="128" t="n"/>
      <c r="N431" s="129" t="n"/>
    </row>
    <row r="432" ht="15" customHeight="1" s="75">
      <c r="A432" s="124" t="n"/>
      <c r="B432" s="125" t="n"/>
      <c r="C432" s="126" t="n"/>
      <c r="D432" s="127" t="n"/>
      <c r="E432" s="127" t="n"/>
      <c r="F432" s="128" t="n"/>
      <c r="G432" s="128" t="n"/>
      <c r="H432" s="129" t="n"/>
      <c r="I432" s="129" t="n"/>
      <c r="J432" s="128" t="n"/>
      <c r="K432" s="130" t="n"/>
      <c r="L432" s="130" t="n"/>
      <c r="M432" s="128" t="n"/>
      <c r="N432" s="129" t="n"/>
    </row>
    <row r="433" ht="15" customHeight="1" s="75">
      <c r="A433" s="124" t="n"/>
      <c r="B433" s="125" t="n"/>
      <c r="C433" s="126" t="n"/>
      <c r="D433" s="127" t="n"/>
      <c r="E433" s="127" t="n"/>
      <c r="F433" s="128" t="n"/>
      <c r="G433" s="128" t="n"/>
      <c r="H433" s="129" t="n"/>
      <c r="I433" s="129" t="n"/>
      <c r="J433" s="128" t="n"/>
      <c r="K433" s="130" t="n"/>
      <c r="L433" s="130" t="n"/>
      <c r="M433" s="128" t="n"/>
      <c r="N433" s="129" t="n"/>
    </row>
    <row r="434" ht="15" customHeight="1" s="75">
      <c r="A434" s="124" t="n"/>
      <c r="B434" s="125" t="n"/>
      <c r="C434" s="126" t="n"/>
      <c r="D434" s="127" t="n"/>
      <c r="E434" s="127" t="n"/>
      <c r="F434" s="128" t="n"/>
      <c r="G434" s="128" t="n"/>
      <c r="H434" s="129" t="n"/>
      <c r="I434" s="129" t="n"/>
      <c r="J434" s="128" t="n"/>
      <c r="K434" s="130" t="n"/>
      <c r="L434" s="130" t="n"/>
      <c r="M434" s="128" t="n"/>
      <c r="N434" s="129" t="n"/>
    </row>
    <row r="435" ht="15" customHeight="1" s="75">
      <c r="A435" s="124" t="n"/>
      <c r="B435" s="125" t="n"/>
      <c r="C435" s="126" t="n"/>
      <c r="D435" s="127" t="n"/>
      <c r="E435" s="127" t="n"/>
      <c r="F435" s="128" t="n"/>
      <c r="G435" s="128" t="n"/>
      <c r="H435" s="129" t="n"/>
      <c r="I435" s="129" t="n"/>
      <c r="J435" s="128" t="n"/>
      <c r="K435" s="130" t="n"/>
      <c r="L435" s="130" t="n"/>
      <c r="M435" s="128" t="n"/>
      <c r="N435" s="129" t="n"/>
    </row>
    <row r="436" ht="15" customHeight="1" s="75">
      <c r="A436" s="124" t="n"/>
      <c r="B436" s="125" t="n"/>
      <c r="C436" s="126" t="n"/>
      <c r="D436" s="127" t="n"/>
      <c r="E436" s="127" t="n"/>
      <c r="F436" s="128" t="n"/>
      <c r="G436" s="128" t="n"/>
      <c r="H436" s="129" t="n"/>
      <c r="I436" s="129" t="n"/>
      <c r="J436" s="128" t="n"/>
      <c r="K436" s="130" t="n"/>
      <c r="L436" s="130" t="n"/>
      <c r="M436" s="128" t="n"/>
      <c r="N436" s="129" t="n"/>
    </row>
    <row r="437" ht="15" customHeight="1" s="75">
      <c r="A437" s="124" t="n"/>
      <c r="B437" s="125" t="n"/>
      <c r="C437" s="126" t="n"/>
      <c r="D437" s="127" t="n"/>
      <c r="E437" s="127" t="n"/>
      <c r="F437" s="128" t="n"/>
      <c r="G437" s="128" t="n"/>
      <c r="H437" s="129" t="n"/>
      <c r="I437" s="129" t="n"/>
      <c r="J437" s="128" t="n"/>
      <c r="K437" s="130" t="n"/>
      <c r="L437" s="130" t="n"/>
      <c r="M437" s="128" t="n"/>
      <c r="N437" s="129" t="n"/>
    </row>
    <row r="438" ht="15" customHeight="1" s="75">
      <c r="A438" s="124" t="n"/>
      <c r="B438" s="125" t="n"/>
      <c r="C438" s="126" t="n"/>
      <c r="D438" s="127" t="n"/>
      <c r="E438" s="127" t="n"/>
      <c r="F438" s="128" t="n"/>
      <c r="G438" s="128" t="n"/>
      <c r="H438" s="129" t="n"/>
      <c r="I438" s="129" t="n"/>
      <c r="J438" s="128" t="n"/>
      <c r="K438" s="130" t="n"/>
      <c r="L438" s="130" t="n"/>
      <c r="M438" s="128" t="n"/>
      <c r="N438" s="129" t="n"/>
    </row>
    <row r="439" ht="15" customHeight="1" s="75">
      <c r="A439" s="124" t="n"/>
      <c r="B439" s="125" t="n"/>
      <c r="C439" s="126" t="n"/>
      <c r="D439" s="127" t="n"/>
      <c r="E439" s="127" t="n"/>
      <c r="F439" s="128" t="n"/>
      <c r="G439" s="128" t="n"/>
      <c r="H439" s="129" t="n"/>
      <c r="I439" s="129" t="n"/>
      <c r="J439" s="128" t="n"/>
      <c r="K439" s="130" t="n"/>
      <c r="L439" s="130" t="n"/>
      <c r="M439" s="128" t="n"/>
      <c r="N439" s="129" t="n"/>
    </row>
    <row r="440" ht="15" customHeight="1" s="75">
      <c r="A440" s="124" t="n"/>
      <c r="B440" s="125" t="n"/>
      <c r="C440" s="126" t="n"/>
      <c r="D440" s="127" t="n"/>
      <c r="E440" s="127" t="n"/>
      <c r="F440" s="128" t="n"/>
      <c r="G440" s="128" t="n"/>
      <c r="H440" s="129" t="n"/>
      <c r="I440" s="129" t="n"/>
      <c r="J440" s="128" t="n"/>
      <c r="K440" s="130" t="n"/>
      <c r="L440" s="130" t="n"/>
      <c r="M440" s="128" t="n"/>
      <c r="N440" s="129" t="n"/>
    </row>
    <row r="441" ht="15" customHeight="1" s="75">
      <c r="A441" s="124" t="n"/>
      <c r="B441" s="125" t="n"/>
      <c r="C441" s="126" t="n"/>
      <c r="D441" s="127" t="n"/>
      <c r="E441" s="127" t="n"/>
      <c r="F441" s="128" t="n"/>
      <c r="G441" s="128" t="n"/>
      <c r="H441" s="129" t="n"/>
      <c r="I441" s="129" t="n"/>
      <c r="J441" s="128" t="n"/>
      <c r="K441" s="130" t="n"/>
      <c r="L441" s="130" t="n"/>
      <c r="M441" s="128" t="n"/>
      <c r="N441" s="129" t="n"/>
    </row>
    <row r="442" ht="15" customHeight="1" s="75">
      <c r="A442" s="124" t="n"/>
      <c r="B442" s="125" t="n"/>
      <c r="C442" s="126" t="n"/>
      <c r="D442" s="127" t="n"/>
      <c r="E442" s="127" t="n"/>
      <c r="F442" s="128" t="n"/>
      <c r="G442" s="128" t="n"/>
      <c r="H442" s="129" t="n"/>
      <c r="I442" s="129" t="n"/>
      <c r="J442" s="128" t="n"/>
      <c r="K442" s="130" t="n"/>
      <c r="L442" s="130" t="n"/>
      <c r="M442" s="128" t="n"/>
      <c r="N442" s="129" t="n"/>
    </row>
    <row r="443" ht="15" customHeight="1" s="75">
      <c r="A443" s="124" t="n"/>
      <c r="B443" s="125" t="n"/>
      <c r="C443" s="126" t="n"/>
      <c r="D443" s="127" t="n"/>
      <c r="E443" s="127" t="n"/>
      <c r="F443" s="128" t="n"/>
      <c r="G443" s="128" t="n"/>
      <c r="H443" s="129" t="n"/>
      <c r="I443" s="129" t="n"/>
      <c r="J443" s="128" t="n"/>
      <c r="K443" s="130" t="n"/>
      <c r="L443" s="130" t="n"/>
      <c r="M443" s="128" t="n"/>
      <c r="N443" s="129" t="n"/>
    </row>
    <row r="444" ht="15" customHeight="1" s="75">
      <c r="A444" s="124" t="n"/>
      <c r="B444" s="125" t="n"/>
      <c r="C444" s="126" t="n"/>
      <c r="D444" s="127" t="n"/>
      <c r="E444" s="127" t="n"/>
      <c r="F444" s="128" t="n"/>
      <c r="G444" s="128" t="n"/>
      <c r="H444" s="129" t="n"/>
      <c r="I444" s="129" t="n"/>
      <c r="J444" s="128" t="n"/>
      <c r="K444" s="130" t="n"/>
      <c r="L444" s="130" t="n"/>
      <c r="M444" s="128" t="n"/>
      <c r="N444" s="129" t="n"/>
    </row>
    <row r="445" ht="15" customHeight="1" s="75">
      <c r="A445" s="124" t="n"/>
      <c r="B445" s="125" t="n"/>
      <c r="C445" s="126" t="n"/>
      <c r="D445" s="127" t="n"/>
      <c r="E445" s="127" t="n"/>
      <c r="F445" s="128" t="n"/>
      <c r="G445" s="128" t="n"/>
      <c r="H445" s="129" t="n"/>
      <c r="I445" s="129" t="n"/>
      <c r="J445" s="128" t="n"/>
      <c r="K445" s="130" t="n"/>
      <c r="L445" s="130" t="n"/>
      <c r="M445" s="128" t="n"/>
      <c r="N445" s="129" t="n"/>
    </row>
    <row r="446" ht="15" customHeight="1" s="75">
      <c r="A446" s="124" t="n"/>
      <c r="B446" s="125" t="n"/>
      <c r="C446" s="126" t="n"/>
      <c r="D446" s="127" t="n"/>
      <c r="E446" s="127" t="n"/>
      <c r="F446" s="128" t="n"/>
      <c r="G446" s="128" t="n"/>
      <c r="H446" s="129" t="n"/>
      <c r="I446" s="129" t="n"/>
      <c r="J446" s="128" t="n"/>
      <c r="K446" s="130" t="n"/>
      <c r="L446" s="130" t="n"/>
      <c r="M446" s="128" t="n"/>
      <c r="N446" s="129" t="n"/>
    </row>
    <row r="447" ht="15" customHeight="1" s="75">
      <c r="A447" s="124" t="n"/>
      <c r="B447" s="125" t="n"/>
      <c r="C447" s="126" t="n"/>
      <c r="D447" s="127" t="n"/>
      <c r="E447" s="127" t="n"/>
      <c r="F447" s="128" t="n"/>
      <c r="G447" s="128" t="n"/>
      <c r="H447" s="129" t="n"/>
      <c r="I447" s="129" t="n"/>
      <c r="J447" s="128" t="n"/>
      <c r="K447" s="130" t="n"/>
      <c r="L447" s="130" t="n"/>
      <c r="M447" s="128" t="n"/>
      <c r="N447" s="129" t="n"/>
    </row>
    <row r="448" ht="15" customHeight="1" s="75">
      <c r="A448" s="124" t="n"/>
      <c r="B448" s="125" t="n"/>
      <c r="C448" s="126" t="n"/>
      <c r="D448" s="127" t="n"/>
      <c r="E448" s="127" t="n"/>
      <c r="F448" s="128" t="n"/>
      <c r="G448" s="128" t="n"/>
      <c r="H448" s="129" t="n"/>
      <c r="I448" s="129" t="n"/>
      <c r="J448" s="128" t="n"/>
      <c r="K448" s="130" t="n"/>
      <c r="L448" s="130" t="n"/>
      <c r="M448" s="128" t="n"/>
      <c r="N448" s="129" t="n"/>
    </row>
    <row r="449" ht="15" customHeight="1" s="75">
      <c r="A449" s="124" t="n"/>
      <c r="B449" s="125" t="n"/>
      <c r="C449" s="126" t="n"/>
      <c r="D449" s="127" t="n"/>
      <c r="E449" s="127" t="n"/>
      <c r="F449" s="128" t="n"/>
      <c r="G449" s="128" t="n"/>
      <c r="H449" s="129" t="n"/>
      <c r="I449" s="129" t="n"/>
      <c r="J449" s="128" t="n"/>
      <c r="K449" s="130" t="n"/>
      <c r="L449" s="130" t="n"/>
      <c r="M449" s="128" t="n"/>
      <c r="N449" s="129" t="n"/>
    </row>
    <row r="450" ht="15" customHeight="1" s="75">
      <c r="A450" s="124" t="n"/>
      <c r="B450" s="125" t="n"/>
      <c r="C450" s="126" t="n"/>
      <c r="D450" s="127" t="n"/>
      <c r="E450" s="127" t="n"/>
      <c r="F450" s="128" t="n"/>
      <c r="G450" s="128" t="n"/>
      <c r="H450" s="129" t="n"/>
      <c r="I450" s="129" t="n"/>
      <c r="J450" s="128" t="n"/>
      <c r="K450" s="130" t="n"/>
      <c r="L450" s="130" t="n"/>
      <c r="M450" s="128" t="n"/>
      <c r="N450" s="129" t="n"/>
    </row>
    <row r="451" ht="15" customHeight="1" s="75">
      <c r="A451" s="124" t="n"/>
      <c r="B451" s="125" t="n"/>
      <c r="C451" s="126" t="n"/>
      <c r="D451" s="127" t="n"/>
      <c r="E451" s="127" t="n"/>
      <c r="F451" s="128" t="n"/>
      <c r="G451" s="128" t="n"/>
      <c r="H451" s="129" t="n"/>
      <c r="I451" s="129" t="n"/>
      <c r="J451" s="128" t="n"/>
      <c r="K451" s="130" t="n"/>
      <c r="L451" s="130" t="n"/>
      <c r="M451" s="128" t="n"/>
      <c r="N451" s="129" t="n"/>
    </row>
    <row r="452" ht="15" customHeight="1" s="75">
      <c r="A452" s="124" t="n"/>
      <c r="B452" s="125" t="n"/>
      <c r="C452" s="126" t="n"/>
      <c r="D452" s="127" t="n"/>
      <c r="E452" s="127" t="n"/>
      <c r="F452" s="128" t="n"/>
      <c r="G452" s="128" t="n"/>
      <c r="H452" s="129" t="n"/>
      <c r="I452" s="129" t="n"/>
      <c r="J452" s="128" t="n"/>
      <c r="K452" s="130" t="n"/>
      <c r="L452" s="130" t="n"/>
      <c r="M452" s="128" t="n"/>
      <c r="N452" s="129" t="n"/>
    </row>
    <row r="453" ht="15" customHeight="1" s="75">
      <c r="A453" s="124" t="n"/>
      <c r="B453" s="125" t="n"/>
      <c r="C453" s="126" t="n"/>
      <c r="D453" s="127" t="n"/>
      <c r="E453" s="127" t="n"/>
      <c r="F453" s="128" t="n"/>
      <c r="G453" s="128" t="n"/>
      <c r="H453" s="129" t="n"/>
      <c r="I453" s="129" t="n"/>
      <c r="J453" s="128" t="n"/>
      <c r="K453" s="130" t="n"/>
      <c r="L453" s="130" t="n"/>
      <c r="M453" s="128" t="n"/>
      <c r="N453" s="129" t="n"/>
    </row>
    <row r="454" ht="15" customHeight="1" s="75">
      <c r="A454" s="124" t="n"/>
      <c r="B454" s="125" t="n"/>
      <c r="C454" s="126" t="n"/>
      <c r="D454" s="127" t="n"/>
      <c r="E454" s="127" t="n"/>
      <c r="F454" s="128" t="n"/>
      <c r="G454" s="128" t="n"/>
      <c r="H454" s="129" t="n"/>
      <c r="I454" s="129" t="n"/>
      <c r="J454" s="128" t="n"/>
      <c r="K454" s="130" t="n"/>
      <c r="L454" s="130" t="n"/>
      <c r="M454" s="128" t="n"/>
      <c r="N454" s="129" t="n"/>
    </row>
    <row r="455" ht="15" customHeight="1" s="75">
      <c r="A455" s="124" t="n"/>
      <c r="B455" s="125" t="n"/>
      <c r="C455" s="126" t="n"/>
      <c r="D455" s="127" t="n"/>
      <c r="E455" s="127" t="n"/>
      <c r="F455" s="128" t="n"/>
      <c r="G455" s="128" t="n"/>
      <c r="H455" s="129" t="n"/>
      <c r="I455" s="129" t="n"/>
      <c r="J455" s="128" t="n"/>
      <c r="K455" s="130" t="n"/>
      <c r="L455" s="130" t="n"/>
      <c r="M455" s="128" t="n"/>
      <c r="N455" s="129" t="n"/>
    </row>
    <row r="456" ht="15" customHeight="1" s="75">
      <c r="A456" s="124" t="n"/>
      <c r="B456" s="125" t="n"/>
      <c r="C456" s="126" t="n"/>
      <c r="D456" s="127" t="n"/>
      <c r="E456" s="127" t="n"/>
      <c r="F456" s="128" t="n"/>
      <c r="G456" s="128" t="n"/>
      <c r="H456" s="129" t="n"/>
      <c r="I456" s="129" t="n"/>
      <c r="J456" s="128" t="n"/>
      <c r="K456" s="130" t="n"/>
      <c r="L456" s="130" t="n"/>
      <c r="M456" s="128" t="n"/>
      <c r="N456" s="129" t="n"/>
    </row>
    <row r="457" ht="15" customHeight="1" s="75">
      <c r="A457" s="124" t="n"/>
      <c r="B457" s="125" t="n"/>
      <c r="C457" s="126" t="n"/>
      <c r="D457" s="127" t="n"/>
      <c r="E457" s="127" t="n"/>
      <c r="F457" s="128" t="n"/>
      <c r="G457" s="128" t="n"/>
      <c r="H457" s="129" t="n"/>
      <c r="I457" s="129" t="n"/>
      <c r="J457" s="128" t="n"/>
      <c r="K457" s="130" t="n"/>
      <c r="L457" s="130" t="n"/>
      <c r="M457" s="128" t="n"/>
      <c r="N457" s="129" t="n"/>
    </row>
    <row r="458" ht="15" customHeight="1" s="75">
      <c r="A458" s="124" t="n"/>
      <c r="B458" s="125" t="n"/>
      <c r="C458" s="126" t="n"/>
      <c r="D458" s="127" t="n"/>
      <c r="E458" s="127" t="n"/>
      <c r="F458" s="128" t="n"/>
      <c r="G458" s="128" t="n"/>
      <c r="H458" s="129" t="n"/>
      <c r="I458" s="129" t="n"/>
      <c r="J458" s="128" t="n"/>
      <c r="K458" s="130" t="n"/>
      <c r="L458" s="130" t="n"/>
      <c r="M458" s="128" t="n"/>
      <c r="N458" s="129" t="n"/>
    </row>
    <row r="459" ht="15" customHeight="1" s="75">
      <c r="A459" s="124" t="n"/>
      <c r="B459" s="125" t="n"/>
      <c r="C459" s="126" t="n"/>
      <c r="D459" s="127" t="n"/>
      <c r="E459" s="127" t="n"/>
      <c r="F459" s="128" t="n"/>
      <c r="G459" s="128" t="n"/>
      <c r="H459" s="129" t="n"/>
      <c r="I459" s="129" t="n"/>
      <c r="J459" s="128" t="n"/>
      <c r="K459" s="130" t="n"/>
      <c r="L459" s="130" t="n"/>
      <c r="M459" s="128" t="n"/>
      <c r="N459" s="129" t="n"/>
    </row>
    <row r="460" ht="15" customHeight="1" s="75">
      <c r="A460" s="124" t="n"/>
      <c r="B460" s="125" t="n"/>
      <c r="C460" s="126" t="n"/>
      <c r="D460" s="127" t="n"/>
      <c r="E460" s="127" t="n"/>
      <c r="F460" s="128" t="n"/>
      <c r="G460" s="128" t="n"/>
      <c r="H460" s="129" t="n"/>
      <c r="I460" s="129" t="n"/>
      <c r="J460" s="128" t="n"/>
      <c r="K460" s="130" t="n"/>
      <c r="L460" s="130" t="n"/>
      <c r="M460" s="128" t="n"/>
      <c r="N460" s="129" t="n"/>
    </row>
    <row r="461" ht="15" customHeight="1" s="75">
      <c r="A461" s="124" t="n"/>
      <c r="B461" s="125" t="n"/>
      <c r="C461" s="126" t="n"/>
      <c r="D461" s="127" t="n"/>
      <c r="E461" s="127" t="n"/>
      <c r="F461" s="128" t="n"/>
      <c r="G461" s="128" t="n"/>
      <c r="H461" s="129" t="n"/>
      <c r="I461" s="129" t="n"/>
      <c r="J461" s="128" t="n"/>
      <c r="K461" s="130" t="n"/>
      <c r="L461" s="130" t="n"/>
      <c r="M461" s="128" t="n"/>
      <c r="N461" s="129" t="n"/>
    </row>
    <row r="462" ht="15" customHeight="1" s="75">
      <c r="A462" s="124" t="n"/>
      <c r="B462" s="125" t="n"/>
      <c r="C462" s="126" t="n"/>
      <c r="D462" s="127" t="n"/>
      <c r="E462" s="127" t="n"/>
      <c r="F462" s="128" t="n"/>
      <c r="G462" s="128" t="n"/>
      <c r="H462" s="129" t="n"/>
      <c r="I462" s="129" t="n"/>
      <c r="J462" s="128" t="n"/>
      <c r="K462" s="130" t="n"/>
      <c r="L462" s="130" t="n"/>
      <c r="M462" s="128" t="n"/>
      <c r="N462" s="129" t="n"/>
    </row>
    <row r="463" ht="15" customHeight="1" s="75">
      <c r="A463" s="124" t="n"/>
      <c r="B463" s="125" t="n"/>
      <c r="C463" s="126" t="n"/>
      <c r="D463" s="127" t="n"/>
      <c r="E463" s="127" t="n"/>
      <c r="F463" s="128" t="n"/>
      <c r="G463" s="128" t="n"/>
      <c r="H463" s="129" t="n"/>
      <c r="I463" s="129" t="n"/>
      <c r="J463" s="128" t="n"/>
      <c r="K463" s="130" t="n"/>
      <c r="L463" s="130" t="n"/>
      <c r="M463" s="128" t="n"/>
      <c r="N463" s="129" t="n"/>
    </row>
    <row r="464" ht="15" customHeight="1" s="75">
      <c r="A464" s="124" t="n"/>
      <c r="B464" s="125" t="n"/>
      <c r="C464" s="126" t="n"/>
      <c r="D464" s="127" t="n"/>
      <c r="E464" s="127" t="n"/>
      <c r="F464" s="128" t="n"/>
      <c r="G464" s="128" t="n"/>
      <c r="H464" s="129" t="n"/>
      <c r="I464" s="129" t="n"/>
      <c r="J464" s="128" t="n"/>
      <c r="K464" s="130" t="n"/>
      <c r="L464" s="130" t="n"/>
      <c r="M464" s="128" t="n"/>
      <c r="N464" s="129" t="n"/>
    </row>
    <row r="465" ht="15" customHeight="1" s="75">
      <c r="A465" s="124" t="n"/>
      <c r="B465" s="125" t="n"/>
      <c r="C465" s="126" t="n"/>
      <c r="D465" s="127" t="n"/>
      <c r="E465" s="127" t="n"/>
      <c r="F465" s="128" t="n"/>
      <c r="G465" s="128" t="n"/>
      <c r="H465" s="129" t="n"/>
      <c r="I465" s="129" t="n"/>
      <c r="J465" s="128" t="n"/>
      <c r="K465" s="130" t="n"/>
      <c r="L465" s="130" t="n"/>
      <c r="M465" s="128" t="n"/>
      <c r="N465" s="129" t="n"/>
    </row>
    <row r="466" ht="15" customHeight="1" s="75">
      <c r="A466" s="124" t="n"/>
      <c r="B466" s="125" t="n"/>
      <c r="C466" s="126" t="n"/>
      <c r="D466" s="127" t="n"/>
      <c r="E466" s="127" t="n"/>
      <c r="F466" s="128" t="n"/>
      <c r="G466" s="128" t="n"/>
      <c r="H466" s="129" t="n"/>
      <c r="I466" s="129" t="n"/>
      <c r="J466" s="128" t="n"/>
      <c r="K466" s="130" t="n"/>
      <c r="L466" s="130" t="n"/>
      <c r="M466" s="128" t="n"/>
      <c r="N466" s="129" t="n"/>
    </row>
    <row r="467" ht="15" customHeight="1" s="75">
      <c r="A467" s="124" t="n"/>
      <c r="B467" s="125" t="n"/>
      <c r="C467" s="126" t="n"/>
      <c r="D467" s="127" t="n"/>
      <c r="E467" s="127" t="n"/>
      <c r="F467" s="128" t="n"/>
      <c r="G467" s="128" t="n"/>
      <c r="H467" s="129" t="n"/>
      <c r="I467" s="129" t="n"/>
      <c r="J467" s="128" t="n"/>
      <c r="K467" s="130" t="n"/>
      <c r="L467" s="130" t="n"/>
      <c r="M467" s="128" t="n"/>
      <c r="N467" s="129" t="n"/>
    </row>
    <row r="468" ht="15" customHeight="1" s="75">
      <c r="A468" s="124" t="n"/>
      <c r="B468" s="125" t="n"/>
      <c r="C468" s="126" t="n"/>
      <c r="D468" s="127" t="n"/>
      <c r="E468" s="127" t="n"/>
      <c r="F468" s="128" t="n"/>
      <c r="G468" s="128" t="n"/>
      <c r="H468" s="129" t="n"/>
      <c r="I468" s="129" t="n"/>
      <c r="J468" s="128" t="n"/>
      <c r="K468" s="130" t="n"/>
      <c r="L468" s="130" t="n"/>
      <c r="M468" s="128" t="n"/>
      <c r="N468" s="129" t="n"/>
    </row>
    <row r="469" ht="15" customHeight="1" s="75">
      <c r="A469" s="124" t="n"/>
      <c r="B469" s="125" t="n"/>
      <c r="C469" s="126" t="n"/>
      <c r="D469" s="127" t="n"/>
      <c r="E469" s="127" t="n"/>
      <c r="F469" s="128" t="n"/>
      <c r="G469" s="128" t="n"/>
      <c r="H469" s="129" t="n"/>
      <c r="I469" s="129" t="n"/>
      <c r="J469" s="128" t="n"/>
      <c r="K469" s="130" t="n"/>
      <c r="L469" s="130" t="n"/>
      <c r="M469" s="128" t="n"/>
      <c r="N469" s="129" t="n"/>
    </row>
    <row r="470" ht="15" customHeight="1" s="75">
      <c r="A470" s="124" t="n"/>
      <c r="B470" s="125" t="n"/>
      <c r="C470" s="126" t="n"/>
      <c r="D470" s="127" t="n"/>
      <c r="E470" s="127" t="n"/>
      <c r="F470" s="128" t="n"/>
      <c r="G470" s="128" t="n"/>
      <c r="H470" s="129" t="n"/>
      <c r="I470" s="129" t="n"/>
      <c r="J470" s="128" t="n"/>
      <c r="K470" s="130" t="n"/>
      <c r="L470" s="130" t="n"/>
      <c r="M470" s="128" t="n"/>
      <c r="N470" s="129" t="n"/>
    </row>
    <row r="471" ht="15" customHeight="1" s="75">
      <c r="A471" s="124" t="n"/>
      <c r="B471" s="125" t="n"/>
      <c r="C471" s="126" t="n"/>
      <c r="D471" s="127" t="n"/>
      <c r="E471" s="127" t="n"/>
      <c r="F471" s="128" t="n"/>
      <c r="G471" s="128" t="n"/>
      <c r="H471" s="129" t="n"/>
      <c r="I471" s="129" t="n"/>
      <c r="J471" s="128" t="n"/>
      <c r="K471" s="130" t="n"/>
      <c r="L471" s="130" t="n"/>
      <c r="M471" s="128" t="n"/>
      <c r="N471" s="129" t="n"/>
    </row>
    <row r="472" ht="15" customHeight="1" s="75">
      <c r="A472" s="124" t="n"/>
      <c r="B472" s="125" t="n"/>
      <c r="C472" s="126" t="n"/>
      <c r="D472" s="127" t="n"/>
      <c r="E472" s="127" t="n"/>
      <c r="F472" s="128" t="n"/>
      <c r="G472" s="128" t="n"/>
      <c r="H472" s="129" t="n"/>
      <c r="I472" s="129" t="n"/>
      <c r="J472" s="128" t="n"/>
      <c r="K472" s="130" t="n"/>
      <c r="L472" s="130" t="n"/>
      <c r="M472" s="128" t="n"/>
      <c r="N472" s="129" t="n"/>
    </row>
    <row r="473" ht="15" customHeight="1" s="75">
      <c r="A473" s="124" t="n"/>
      <c r="B473" s="125" t="n"/>
      <c r="C473" s="126" t="n"/>
      <c r="D473" s="127" t="n"/>
      <c r="E473" s="127" t="n"/>
      <c r="F473" s="128" t="n"/>
      <c r="G473" s="128" t="n"/>
      <c r="H473" s="129" t="n"/>
      <c r="I473" s="129" t="n"/>
      <c r="J473" s="128" t="n"/>
      <c r="K473" s="130" t="n"/>
      <c r="L473" s="130" t="n"/>
      <c r="M473" s="128" t="n"/>
      <c r="N473" s="129" t="n"/>
    </row>
    <row r="474" ht="15" customHeight="1" s="75">
      <c r="A474" s="124" t="n"/>
      <c r="B474" s="125" t="n"/>
      <c r="C474" s="126" t="n"/>
      <c r="D474" s="127" t="n"/>
      <c r="E474" s="127" t="n"/>
      <c r="F474" s="128" t="n"/>
      <c r="G474" s="128" t="n"/>
      <c r="H474" s="129" t="n"/>
      <c r="I474" s="129" t="n"/>
      <c r="J474" s="128" t="n"/>
      <c r="K474" s="130" t="n"/>
      <c r="L474" s="130" t="n"/>
      <c r="M474" s="128" t="n"/>
      <c r="N474" s="129" t="n"/>
    </row>
    <row r="475" ht="15" customHeight="1" s="75">
      <c r="A475" s="124" t="n"/>
      <c r="B475" s="125" t="n"/>
      <c r="C475" s="126" t="n"/>
      <c r="D475" s="127" t="n"/>
      <c r="E475" s="127" t="n"/>
      <c r="F475" s="128" t="n"/>
      <c r="G475" s="128" t="n"/>
      <c r="H475" s="129" t="n"/>
      <c r="I475" s="129" t="n"/>
      <c r="J475" s="128" t="n"/>
      <c r="K475" s="130" t="n"/>
      <c r="L475" s="130" t="n"/>
      <c r="M475" s="128" t="n"/>
      <c r="N475" s="129" t="n"/>
    </row>
    <row r="476" ht="15" customHeight="1" s="75">
      <c r="A476" s="124" t="n"/>
      <c r="B476" s="125" t="n"/>
      <c r="C476" s="126" t="n"/>
      <c r="D476" s="127" t="n"/>
      <c r="E476" s="127" t="n"/>
      <c r="F476" s="128" t="n"/>
      <c r="G476" s="128" t="n"/>
      <c r="H476" s="129" t="n"/>
      <c r="I476" s="129" t="n"/>
      <c r="J476" s="128" t="n"/>
      <c r="K476" s="130" t="n"/>
      <c r="L476" s="130" t="n"/>
      <c r="M476" s="128" t="n"/>
      <c r="N476" s="129" t="n"/>
    </row>
    <row r="477" ht="15" customHeight="1" s="75">
      <c r="A477" s="124" t="n"/>
      <c r="B477" s="125" t="n"/>
      <c r="C477" s="126" t="n"/>
      <c r="D477" s="127" t="n"/>
      <c r="E477" s="127" t="n"/>
      <c r="F477" s="128" t="n"/>
      <c r="G477" s="128" t="n"/>
      <c r="H477" s="129" t="n"/>
      <c r="I477" s="129" t="n"/>
      <c r="J477" s="128" t="n"/>
      <c r="K477" s="130" t="n"/>
      <c r="L477" s="130" t="n"/>
      <c r="M477" s="128" t="n"/>
      <c r="N477" s="129" t="n"/>
    </row>
    <row r="478" ht="15" customHeight="1" s="75">
      <c r="A478" s="124" t="n"/>
      <c r="B478" s="125" t="n"/>
      <c r="C478" s="126" t="n"/>
      <c r="D478" s="127" t="n"/>
      <c r="E478" s="127" t="n"/>
      <c r="F478" s="128" t="n"/>
      <c r="G478" s="128" t="n"/>
      <c r="H478" s="129" t="n"/>
      <c r="I478" s="129" t="n"/>
      <c r="J478" s="128" t="n"/>
      <c r="K478" s="130" t="n"/>
      <c r="L478" s="130" t="n"/>
      <c r="M478" s="128" t="n"/>
      <c r="N478" s="129" t="n"/>
    </row>
    <row r="479" ht="15" customHeight="1" s="75">
      <c r="A479" s="124" t="n"/>
      <c r="B479" s="125" t="n"/>
      <c r="C479" s="126" t="n"/>
      <c r="D479" s="127" t="n"/>
      <c r="E479" s="127" t="n"/>
      <c r="F479" s="128" t="n"/>
      <c r="G479" s="128" t="n"/>
      <c r="H479" s="129" t="n"/>
      <c r="I479" s="129" t="n"/>
      <c r="J479" s="128" t="n"/>
      <c r="K479" s="130" t="n"/>
      <c r="L479" s="130" t="n"/>
      <c r="M479" s="128" t="n"/>
      <c r="N479" s="129" t="n"/>
    </row>
    <row r="480" ht="15" customHeight="1" s="75">
      <c r="A480" s="124" t="n"/>
      <c r="B480" s="125" t="n"/>
      <c r="C480" s="126" t="n"/>
      <c r="D480" s="127" t="n"/>
      <c r="E480" s="127" t="n"/>
      <c r="F480" s="128" t="n"/>
      <c r="G480" s="128" t="n"/>
      <c r="H480" s="129" t="n"/>
      <c r="I480" s="129" t="n"/>
      <c r="J480" s="128" t="n"/>
      <c r="K480" s="130" t="n"/>
      <c r="L480" s="130" t="n"/>
      <c r="M480" s="128" t="n"/>
      <c r="N480" s="129" t="n"/>
    </row>
    <row r="481" ht="15" customHeight="1" s="75">
      <c r="A481" s="124" t="n"/>
      <c r="B481" s="125" t="n"/>
      <c r="C481" s="126" t="n"/>
      <c r="D481" s="127" t="n"/>
      <c r="E481" s="127" t="n"/>
      <c r="F481" s="128" t="n"/>
      <c r="G481" s="128" t="n"/>
      <c r="H481" s="129" t="n"/>
      <c r="I481" s="129" t="n"/>
      <c r="J481" s="128" t="n"/>
      <c r="K481" s="130" t="n"/>
      <c r="L481" s="130" t="n"/>
      <c r="M481" s="128" t="n"/>
      <c r="N481" s="129" t="n"/>
    </row>
    <row r="482" ht="15" customHeight="1" s="75">
      <c r="A482" s="124" t="n"/>
      <c r="B482" s="125" t="n"/>
      <c r="C482" s="126" t="n"/>
      <c r="D482" s="127" t="n"/>
      <c r="E482" s="127" t="n"/>
      <c r="F482" s="128" t="n"/>
      <c r="G482" s="128" t="n"/>
      <c r="H482" s="129" t="n"/>
      <c r="I482" s="129" t="n"/>
      <c r="J482" s="128" t="n"/>
      <c r="K482" s="130" t="n"/>
      <c r="L482" s="130" t="n"/>
      <c r="M482" s="128" t="n"/>
      <c r="N482" s="129" t="n"/>
    </row>
    <row r="483" ht="15" customHeight="1" s="75">
      <c r="A483" s="124" t="n"/>
      <c r="B483" s="125" t="n"/>
      <c r="C483" s="126" t="n"/>
      <c r="D483" s="127" t="n"/>
      <c r="E483" s="127" t="n"/>
      <c r="F483" s="128" t="n"/>
      <c r="G483" s="128" t="n"/>
      <c r="H483" s="129" t="n"/>
      <c r="I483" s="129" t="n"/>
      <c r="J483" s="128" t="n"/>
      <c r="K483" s="130" t="n"/>
      <c r="L483" s="130" t="n"/>
      <c r="M483" s="128" t="n"/>
      <c r="N483" s="129" t="n"/>
    </row>
    <row r="484" ht="15" customHeight="1" s="75">
      <c r="A484" s="124" t="n"/>
      <c r="B484" s="125" t="n"/>
      <c r="C484" s="126" t="n"/>
      <c r="D484" s="127" t="n"/>
      <c r="E484" s="127" t="n"/>
      <c r="F484" s="128" t="n"/>
      <c r="G484" s="128" t="n"/>
      <c r="H484" s="129" t="n"/>
      <c r="I484" s="129" t="n"/>
      <c r="J484" s="128" t="n"/>
      <c r="K484" s="130" t="n"/>
      <c r="L484" s="130" t="n"/>
      <c r="M484" s="128" t="n"/>
      <c r="N484" s="129" t="n"/>
    </row>
    <row r="485" ht="15" customHeight="1" s="75">
      <c r="A485" s="124" t="n"/>
      <c r="B485" s="125" t="n"/>
      <c r="C485" s="126" t="n"/>
      <c r="D485" s="127" t="n"/>
      <c r="E485" s="127" t="n"/>
      <c r="F485" s="128" t="n"/>
      <c r="G485" s="128" t="n"/>
      <c r="H485" s="129" t="n"/>
      <c r="I485" s="129" t="n"/>
      <c r="J485" s="128" t="n"/>
      <c r="K485" s="130" t="n"/>
      <c r="L485" s="130" t="n"/>
      <c r="M485" s="128" t="n"/>
      <c r="N485" s="129" t="n"/>
    </row>
    <row r="486" ht="15" customHeight="1" s="75">
      <c r="A486" s="124" t="n"/>
      <c r="B486" s="125" t="n"/>
      <c r="C486" s="126" t="n"/>
      <c r="D486" s="127" t="n"/>
      <c r="E486" s="127" t="n"/>
      <c r="F486" s="128" t="n"/>
      <c r="G486" s="128" t="n"/>
      <c r="H486" s="129" t="n"/>
      <c r="I486" s="129" t="n"/>
      <c r="J486" s="128" t="n"/>
      <c r="K486" s="130" t="n"/>
      <c r="L486" s="130" t="n"/>
      <c r="M486" s="128" t="n"/>
      <c r="N486" s="129" t="n"/>
    </row>
    <row r="487" ht="15" customHeight="1" s="75">
      <c r="A487" s="124" t="n"/>
      <c r="B487" s="125" t="n"/>
      <c r="C487" s="126" t="n"/>
      <c r="D487" s="127" t="n"/>
      <c r="E487" s="127" t="n"/>
      <c r="F487" s="128" t="n"/>
      <c r="G487" s="128" t="n"/>
      <c r="H487" s="129" t="n"/>
      <c r="I487" s="129" t="n"/>
      <c r="J487" s="128" t="n"/>
      <c r="K487" s="130" t="n"/>
      <c r="L487" s="130" t="n"/>
      <c r="M487" s="128" t="n"/>
      <c r="N487" s="129" t="n"/>
    </row>
    <row r="488" ht="15" customHeight="1" s="75">
      <c r="A488" s="124" t="n"/>
      <c r="B488" s="125" t="n"/>
      <c r="C488" s="126" t="n"/>
      <c r="D488" s="127" t="n"/>
      <c r="E488" s="127" t="n"/>
      <c r="F488" s="128" t="n"/>
      <c r="G488" s="128" t="n"/>
      <c r="H488" s="129" t="n"/>
      <c r="I488" s="129" t="n"/>
      <c r="J488" s="128" t="n"/>
      <c r="K488" s="130" t="n"/>
      <c r="L488" s="130" t="n"/>
      <c r="M488" s="128" t="n"/>
      <c r="N488" s="129" t="n"/>
    </row>
    <row r="489" ht="15" customHeight="1" s="75">
      <c r="A489" s="124" t="n"/>
      <c r="B489" s="125" t="n"/>
      <c r="C489" s="126" t="n"/>
      <c r="D489" s="127" t="n"/>
      <c r="E489" s="127" t="n"/>
      <c r="F489" s="128" t="n"/>
      <c r="G489" s="128" t="n"/>
      <c r="H489" s="129" t="n"/>
      <c r="I489" s="129" t="n"/>
      <c r="J489" s="128" t="n"/>
      <c r="K489" s="130" t="n"/>
      <c r="L489" s="130" t="n"/>
      <c r="M489" s="128" t="n"/>
      <c r="N489" s="129" t="n"/>
    </row>
    <row r="490" ht="15" customHeight="1" s="75">
      <c r="A490" s="124" t="n"/>
      <c r="B490" s="125" t="n"/>
      <c r="C490" s="126" t="n"/>
      <c r="D490" s="127" t="n"/>
      <c r="E490" s="127" t="n"/>
      <c r="F490" s="128" t="n"/>
      <c r="G490" s="128" t="n"/>
      <c r="H490" s="129" t="n"/>
      <c r="I490" s="129" t="n"/>
      <c r="J490" s="128" t="n"/>
      <c r="K490" s="130" t="n"/>
      <c r="L490" s="130" t="n"/>
      <c r="M490" s="128" t="n"/>
      <c r="N490" s="129" t="n"/>
    </row>
    <row r="491" ht="15" customHeight="1" s="75">
      <c r="A491" s="124" t="n"/>
      <c r="B491" s="125" t="n"/>
      <c r="C491" s="126" t="n"/>
      <c r="D491" s="127" t="n"/>
      <c r="E491" s="127" t="n"/>
      <c r="F491" s="128" t="n"/>
      <c r="G491" s="128" t="n"/>
      <c r="H491" s="129" t="n"/>
      <c r="I491" s="129" t="n"/>
      <c r="J491" s="128" t="n"/>
      <c r="K491" s="130" t="n"/>
      <c r="L491" s="130" t="n"/>
      <c r="M491" s="128" t="n"/>
      <c r="N491" s="129" t="n"/>
    </row>
    <row r="492" ht="15" customHeight="1" s="75">
      <c r="A492" s="124" t="n"/>
      <c r="B492" s="125" t="n"/>
      <c r="C492" s="126" t="n"/>
      <c r="D492" s="127" t="n"/>
      <c r="E492" s="127" t="n"/>
      <c r="F492" s="128" t="n"/>
      <c r="G492" s="128" t="n"/>
      <c r="H492" s="129" t="n"/>
      <c r="I492" s="129" t="n"/>
      <c r="J492" s="128" t="n"/>
      <c r="K492" s="130" t="n"/>
      <c r="L492" s="130" t="n"/>
      <c r="M492" s="128" t="n"/>
      <c r="N492" s="129" t="n"/>
    </row>
    <row r="493" ht="15" customHeight="1" s="75">
      <c r="A493" s="124" t="n"/>
      <c r="B493" s="125" t="n"/>
      <c r="C493" s="126" t="n"/>
      <c r="D493" s="127" t="n"/>
      <c r="E493" s="127" t="n"/>
      <c r="F493" s="128" t="n"/>
      <c r="G493" s="128" t="n"/>
      <c r="H493" s="129" t="n"/>
      <c r="I493" s="129" t="n"/>
      <c r="J493" s="128" t="n"/>
      <c r="K493" s="130" t="n"/>
      <c r="L493" s="130" t="n"/>
      <c r="M493" s="128" t="n"/>
      <c r="N493" s="129" t="n"/>
    </row>
    <row r="494" ht="15" customHeight="1" s="75">
      <c r="A494" s="124" t="n"/>
      <c r="B494" s="125" t="n"/>
      <c r="C494" s="126" t="n"/>
      <c r="D494" s="127" t="n"/>
      <c r="E494" s="127" t="n"/>
      <c r="F494" s="128" t="n"/>
      <c r="G494" s="128" t="n"/>
      <c r="H494" s="129" t="n"/>
      <c r="I494" s="129" t="n"/>
      <c r="J494" s="128" t="n"/>
      <c r="K494" s="130" t="n"/>
      <c r="L494" s="130" t="n"/>
      <c r="M494" s="128" t="n"/>
      <c r="N494" s="129" t="n"/>
    </row>
    <row r="495" ht="15" customHeight="1" s="75">
      <c r="A495" s="124" t="n"/>
      <c r="B495" s="125" t="n"/>
      <c r="C495" s="126" t="n"/>
      <c r="D495" s="127" t="n"/>
      <c r="E495" s="127" t="n"/>
      <c r="F495" s="128" t="n"/>
      <c r="G495" s="128" t="n"/>
      <c r="H495" s="129" t="n"/>
      <c r="I495" s="129" t="n"/>
      <c r="J495" s="128" t="n"/>
      <c r="K495" s="130" t="n"/>
      <c r="L495" s="130" t="n"/>
      <c r="M495" s="128" t="n"/>
      <c r="N495" s="129" t="n"/>
    </row>
    <row r="496" ht="15" customHeight="1" s="75">
      <c r="A496" s="124" t="n"/>
      <c r="B496" s="125" t="n"/>
      <c r="C496" s="126" t="n"/>
      <c r="D496" s="127" t="n"/>
      <c r="E496" s="127" t="n"/>
      <c r="F496" s="128" t="n"/>
      <c r="G496" s="128" t="n"/>
      <c r="H496" s="129" t="n"/>
      <c r="I496" s="129" t="n"/>
      <c r="J496" s="128" t="n"/>
      <c r="K496" s="130" t="n"/>
      <c r="L496" s="130" t="n"/>
      <c r="M496" s="128" t="n"/>
      <c r="N496" s="129" t="n"/>
    </row>
    <row r="497" ht="15" customHeight="1" s="75">
      <c r="A497" s="124" t="n"/>
      <c r="B497" s="125" t="n"/>
      <c r="C497" s="126" t="n"/>
      <c r="D497" s="127" t="n"/>
      <c r="E497" s="127" t="n"/>
      <c r="F497" s="128" t="n"/>
      <c r="G497" s="128" t="n"/>
      <c r="H497" s="129" t="n"/>
      <c r="I497" s="129" t="n"/>
      <c r="J497" s="128" t="n"/>
      <c r="K497" s="130" t="n"/>
      <c r="L497" s="130" t="n"/>
      <c r="M497" s="128" t="n"/>
      <c r="N497" s="129" t="n"/>
    </row>
    <row r="498" ht="15" customHeight="1" s="75">
      <c r="A498" s="124" t="n"/>
      <c r="B498" s="125" t="n"/>
      <c r="C498" s="126" t="n"/>
      <c r="D498" s="127" t="n"/>
      <c r="E498" s="127" t="n"/>
      <c r="F498" s="128" t="n"/>
      <c r="G498" s="128" t="n"/>
      <c r="H498" s="129" t="n"/>
      <c r="I498" s="129" t="n"/>
      <c r="J498" s="128" t="n"/>
      <c r="K498" s="130" t="n"/>
      <c r="L498" s="130" t="n"/>
      <c r="M498" s="128" t="n"/>
      <c r="N498" s="129" t="n"/>
    </row>
    <row r="499" ht="15" customHeight="1" s="75">
      <c r="A499" s="124" t="n"/>
      <c r="B499" s="125" t="n"/>
      <c r="C499" s="126" t="n"/>
      <c r="D499" s="127" t="n"/>
      <c r="E499" s="127" t="n"/>
      <c r="F499" s="128" t="n"/>
      <c r="G499" s="128" t="n"/>
      <c r="H499" s="129" t="n"/>
      <c r="I499" s="129" t="n"/>
      <c r="J499" s="128" t="n"/>
      <c r="K499" s="130" t="n"/>
      <c r="L499" s="130" t="n"/>
      <c r="M499" s="128" t="n"/>
      <c r="N499" s="129" t="n"/>
    </row>
    <row r="500" ht="15" customHeight="1" s="75">
      <c r="A500" s="124" t="n"/>
      <c r="B500" s="125" t="n"/>
      <c r="C500" s="126" t="n"/>
      <c r="D500" s="127" t="n"/>
      <c r="E500" s="127" t="n"/>
      <c r="F500" s="128" t="n"/>
      <c r="G500" s="128" t="n"/>
      <c r="H500" s="129" t="n"/>
      <c r="I500" s="129" t="n"/>
      <c r="J500" s="128" t="n"/>
      <c r="K500" s="130" t="n"/>
      <c r="L500" s="130" t="n"/>
      <c r="M500" s="128" t="n"/>
      <c r="N500" s="129" t="n"/>
    </row>
    <row r="501" ht="15" customHeight="1" s="75">
      <c r="A501" s="124" t="n"/>
      <c r="B501" s="125" t="n"/>
      <c r="C501" s="126" t="n"/>
      <c r="D501" s="127" t="n"/>
      <c r="E501" s="127" t="n"/>
      <c r="F501" s="128" t="n"/>
      <c r="G501" s="128" t="n"/>
      <c r="H501" s="129" t="n"/>
      <c r="I501" s="129" t="n"/>
      <c r="J501" s="128" t="n"/>
      <c r="K501" s="130" t="n"/>
      <c r="L501" s="130" t="n"/>
      <c r="M501" s="128" t="n"/>
      <c r="N501" s="129" t="n"/>
    </row>
    <row r="502" ht="15" customHeight="1" s="75">
      <c r="A502" s="124" t="n"/>
      <c r="B502" s="125" t="n"/>
      <c r="C502" s="126" t="n"/>
      <c r="D502" s="127" t="n"/>
      <c r="E502" s="127" t="n"/>
      <c r="F502" s="128" t="n"/>
      <c r="G502" s="128" t="n"/>
      <c r="H502" s="129" t="n"/>
      <c r="I502" s="129" t="n"/>
      <c r="J502" s="128" t="n"/>
      <c r="K502" s="130" t="n"/>
      <c r="L502" s="130" t="n"/>
      <c r="M502" s="128" t="n"/>
      <c r="N502" s="129" t="n"/>
    </row>
    <row r="503" ht="15" customHeight="1" s="75">
      <c r="A503" s="124" t="n"/>
      <c r="B503" s="125" t="n"/>
      <c r="C503" s="126" t="n"/>
      <c r="D503" s="127" t="n"/>
      <c r="E503" s="127" t="n"/>
      <c r="F503" s="128" t="n"/>
      <c r="G503" s="128" t="n"/>
      <c r="H503" s="129" t="n"/>
      <c r="I503" s="129" t="n"/>
      <c r="J503" s="128" t="n"/>
      <c r="K503" s="130" t="n"/>
      <c r="L503" s="130" t="n"/>
      <c r="M503" s="128" t="n"/>
      <c r="N503" s="129" t="n"/>
    </row>
    <row r="504" ht="15" customHeight="1" s="75">
      <c r="A504" s="124" t="n"/>
      <c r="B504" s="125" t="n"/>
      <c r="C504" s="126" t="n"/>
      <c r="D504" s="127" t="n"/>
      <c r="E504" s="127" t="n"/>
      <c r="F504" s="128" t="n"/>
      <c r="G504" s="128" t="n"/>
      <c r="H504" s="129" t="n"/>
      <c r="I504" s="129" t="n"/>
      <c r="J504" s="128" t="n"/>
      <c r="K504" s="130" t="n"/>
      <c r="L504" s="130" t="n"/>
      <c r="M504" s="128" t="n"/>
      <c r="N504" s="129" t="n"/>
    </row>
    <row r="505" ht="15" customHeight="1" s="75">
      <c r="A505" s="124" t="n"/>
      <c r="B505" s="125" t="n"/>
      <c r="C505" s="126" t="n"/>
      <c r="D505" s="127" t="n"/>
      <c r="E505" s="127" t="n"/>
      <c r="F505" s="128" t="n"/>
      <c r="G505" s="128" t="n"/>
      <c r="H505" s="129" t="n"/>
      <c r="I505" s="129" t="n"/>
      <c r="J505" s="128" t="n"/>
      <c r="K505" s="130" t="n"/>
      <c r="L505" s="130" t="n"/>
      <c r="M505" s="128" t="n"/>
      <c r="N505" s="129" t="n"/>
    </row>
    <row r="506" ht="15" customHeight="1" s="75">
      <c r="A506" s="124" t="n"/>
      <c r="B506" s="125" t="n"/>
      <c r="C506" s="126" t="n"/>
      <c r="D506" s="127" t="n"/>
      <c r="E506" s="127" t="n"/>
      <c r="F506" s="128" t="n"/>
      <c r="G506" s="128" t="n"/>
      <c r="H506" s="129" t="n"/>
      <c r="I506" s="129" t="n"/>
      <c r="J506" s="128" t="n"/>
      <c r="K506" s="130" t="n"/>
      <c r="L506" s="130" t="n"/>
      <c r="M506" s="128" t="n"/>
      <c r="N506" s="129" t="n"/>
    </row>
    <row r="507" ht="15" customHeight="1" s="75">
      <c r="A507" s="124" t="n"/>
      <c r="B507" s="125" t="n"/>
      <c r="C507" s="126" t="n"/>
      <c r="D507" s="127" t="n"/>
      <c r="E507" s="127" t="n"/>
      <c r="F507" s="128" t="n"/>
      <c r="G507" s="128" t="n"/>
      <c r="H507" s="129" t="n"/>
      <c r="I507" s="129" t="n"/>
      <c r="J507" s="128" t="n"/>
      <c r="K507" s="130" t="n"/>
      <c r="L507" s="130" t="n"/>
      <c r="M507" s="128" t="n"/>
      <c r="N507" s="129" t="n"/>
    </row>
    <row r="508" ht="15" customHeight="1" s="75">
      <c r="A508" s="124" t="n"/>
      <c r="B508" s="125" t="n"/>
      <c r="C508" s="126" t="n"/>
      <c r="D508" s="127" t="n"/>
      <c r="E508" s="127" t="n"/>
      <c r="F508" s="128" t="n"/>
      <c r="G508" s="128" t="n"/>
      <c r="H508" s="129" t="n"/>
      <c r="I508" s="129" t="n"/>
      <c r="J508" s="128" t="n"/>
      <c r="K508" s="130" t="n"/>
      <c r="L508" s="130" t="n"/>
      <c r="M508" s="128" t="n"/>
      <c r="N508" s="129" t="n"/>
    </row>
    <row r="509" ht="15" customHeight="1" s="75">
      <c r="A509" s="124" t="n"/>
      <c r="B509" s="125" t="n"/>
      <c r="C509" s="126" t="n"/>
      <c r="D509" s="127" t="n"/>
      <c r="E509" s="127" t="n"/>
      <c r="F509" s="128" t="n"/>
      <c r="G509" s="128" t="n"/>
      <c r="H509" s="129" t="n"/>
      <c r="I509" s="129" t="n"/>
      <c r="J509" s="128" t="n"/>
      <c r="K509" s="130" t="n"/>
      <c r="L509" s="130" t="n"/>
      <c r="M509" s="128" t="n"/>
      <c r="N509" s="129" t="n"/>
    </row>
    <row r="510" ht="15" customHeight="1" s="75">
      <c r="A510" s="124" t="n"/>
      <c r="B510" s="125" t="n"/>
      <c r="C510" s="126" t="n"/>
      <c r="D510" s="127" t="n"/>
      <c r="E510" s="127" t="n"/>
      <c r="F510" s="128" t="n"/>
      <c r="G510" s="128" t="n"/>
      <c r="H510" s="129" t="n"/>
      <c r="I510" s="129" t="n"/>
      <c r="J510" s="128" t="n"/>
      <c r="K510" s="130" t="n"/>
      <c r="L510" s="130" t="n"/>
      <c r="M510" s="128" t="n"/>
      <c r="N510" s="129" t="n"/>
    </row>
    <row r="511" ht="15" customHeight="1" s="75">
      <c r="A511" s="124" t="n"/>
      <c r="B511" s="125" t="n"/>
      <c r="C511" s="126" t="n"/>
      <c r="D511" s="127" t="n"/>
      <c r="E511" s="127" t="n"/>
      <c r="F511" s="128" t="n"/>
      <c r="G511" s="128" t="n"/>
      <c r="H511" s="129" t="n"/>
      <c r="I511" s="129" t="n"/>
      <c r="J511" s="128" t="n"/>
      <c r="K511" s="130" t="n"/>
      <c r="L511" s="130" t="n"/>
      <c r="M511" s="128" t="n"/>
      <c r="N511" s="129" t="n"/>
    </row>
    <row r="512" ht="15" customHeight="1" s="75">
      <c r="A512" s="124" t="n"/>
      <c r="B512" s="125" t="n"/>
      <c r="C512" s="126" t="n"/>
      <c r="D512" s="127" t="n"/>
      <c r="E512" s="127" t="n"/>
      <c r="F512" s="128" t="n"/>
      <c r="G512" s="128" t="n"/>
      <c r="H512" s="129" t="n"/>
      <c r="I512" s="129" t="n"/>
      <c r="J512" s="128" t="n"/>
      <c r="K512" s="130" t="n"/>
      <c r="L512" s="130" t="n"/>
      <c r="M512" s="128" t="n"/>
      <c r="N512" s="129" t="n"/>
    </row>
    <row r="513" ht="15" customHeight="1" s="75">
      <c r="A513" s="124" t="n"/>
      <c r="B513" s="125" t="n"/>
      <c r="C513" s="126" t="n"/>
      <c r="D513" s="127" t="n"/>
      <c r="E513" s="127" t="n"/>
      <c r="F513" s="128" t="n"/>
      <c r="G513" s="128" t="n"/>
      <c r="H513" s="129" t="n"/>
      <c r="I513" s="129" t="n"/>
      <c r="J513" s="128" t="n"/>
      <c r="K513" s="130" t="n"/>
      <c r="L513" s="130" t="n"/>
      <c r="M513" s="128" t="n"/>
      <c r="N513" s="129" t="n"/>
    </row>
    <row r="514" ht="15" customHeight="1" s="75">
      <c r="A514" s="124" t="n"/>
      <c r="B514" s="125" t="n"/>
      <c r="C514" s="126" t="n"/>
      <c r="D514" s="127" t="n"/>
      <c r="E514" s="127" t="n"/>
      <c r="F514" s="128" t="n"/>
      <c r="G514" s="128" t="n"/>
      <c r="H514" s="129" t="n"/>
      <c r="I514" s="129" t="n"/>
      <c r="J514" s="128" t="n"/>
      <c r="K514" s="130" t="n"/>
      <c r="L514" s="130" t="n"/>
      <c r="M514" s="128" t="n"/>
      <c r="N514" s="129" t="n"/>
    </row>
    <row r="515" ht="15" customHeight="1" s="75">
      <c r="A515" s="124" t="n"/>
      <c r="B515" s="125" t="n"/>
      <c r="C515" s="126" t="n"/>
      <c r="D515" s="127" t="n"/>
      <c r="E515" s="127" t="n"/>
      <c r="F515" s="128" t="n"/>
      <c r="G515" s="128" t="n"/>
      <c r="H515" s="129" t="n"/>
      <c r="I515" s="129" t="n"/>
      <c r="J515" s="128" t="n"/>
      <c r="K515" s="130" t="n"/>
      <c r="L515" s="130" t="n"/>
      <c r="M515" s="128" t="n"/>
      <c r="N515" s="129" t="n"/>
    </row>
    <row r="516" ht="15" customHeight="1" s="75">
      <c r="A516" s="124" t="n"/>
      <c r="B516" s="125" t="n"/>
      <c r="C516" s="126" t="n"/>
      <c r="D516" s="127" t="n"/>
      <c r="E516" s="127" t="n"/>
      <c r="F516" s="128" t="n"/>
      <c r="G516" s="128" t="n"/>
      <c r="H516" s="129" t="n"/>
      <c r="I516" s="129" t="n"/>
      <c r="J516" s="128" t="n"/>
      <c r="K516" s="130" t="n"/>
      <c r="L516" s="130" t="n"/>
      <c r="M516" s="128" t="n"/>
      <c r="N516" s="129" t="n"/>
    </row>
    <row r="517" ht="15" customHeight="1" s="75">
      <c r="A517" s="124" t="n"/>
      <c r="B517" s="125" t="n"/>
      <c r="C517" s="126" t="n"/>
      <c r="D517" s="127" t="n"/>
      <c r="E517" s="127" t="n"/>
      <c r="F517" s="128" t="n"/>
      <c r="G517" s="128" t="n"/>
      <c r="H517" s="129" t="n"/>
      <c r="I517" s="129" t="n"/>
      <c r="J517" s="128" t="n"/>
      <c r="K517" s="130" t="n"/>
      <c r="L517" s="130" t="n"/>
      <c r="M517" s="128" t="n"/>
      <c r="N517" s="129" t="n"/>
    </row>
    <row r="518" ht="15" customHeight="1" s="75">
      <c r="A518" s="124" t="n"/>
      <c r="B518" s="125" t="n"/>
      <c r="C518" s="126" t="n"/>
      <c r="D518" s="127" t="n"/>
      <c r="E518" s="127" t="n"/>
      <c r="F518" s="128" t="n"/>
      <c r="G518" s="128" t="n"/>
      <c r="H518" s="129" t="n"/>
      <c r="I518" s="129" t="n"/>
      <c r="J518" s="128" t="n"/>
      <c r="K518" s="130" t="n"/>
      <c r="L518" s="130" t="n"/>
      <c r="M518" s="128" t="n"/>
      <c r="N518" s="129" t="n"/>
    </row>
    <row r="519" ht="15" customHeight="1" s="75">
      <c r="A519" s="124" t="n"/>
      <c r="B519" s="125" t="n"/>
      <c r="C519" s="126" t="n"/>
      <c r="D519" s="127" t="n"/>
      <c r="E519" s="127" t="n"/>
      <c r="F519" s="128" t="n"/>
      <c r="G519" s="128" t="n"/>
      <c r="H519" s="129" t="n"/>
      <c r="I519" s="129" t="n"/>
      <c r="J519" s="128" t="n"/>
      <c r="K519" s="130" t="n"/>
      <c r="L519" s="130" t="n"/>
      <c r="M519" s="128" t="n"/>
      <c r="N519" s="129" t="n"/>
    </row>
    <row r="520" ht="15" customHeight="1" s="75">
      <c r="A520" s="124" t="n"/>
      <c r="B520" s="125" t="n"/>
      <c r="C520" s="126" t="n"/>
      <c r="D520" s="127" t="n"/>
      <c r="E520" s="127" t="n"/>
      <c r="F520" s="128" t="n"/>
      <c r="G520" s="128" t="n"/>
      <c r="H520" s="129" t="n"/>
      <c r="I520" s="129" t="n"/>
      <c r="J520" s="128" t="n"/>
      <c r="K520" s="130" t="n"/>
      <c r="L520" s="130" t="n"/>
      <c r="M520" s="128" t="n"/>
      <c r="N520" s="129" t="n"/>
    </row>
    <row r="521" ht="15" customHeight="1" s="75">
      <c r="A521" s="124" t="n"/>
      <c r="B521" s="125" t="n"/>
      <c r="C521" s="126" t="n"/>
      <c r="D521" s="127" t="n"/>
      <c r="E521" s="127" t="n"/>
      <c r="F521" s="128" t="n"/>
      <c r="G521" s="128" t="n"/>
      <c r="H521" s="129" t="n"/>
      <c r="I521" s="129" t="n"/>
      <c r="J521" s="128" t="n"/>
      <c r="K521" s="130" t="n"/>
      <c r="L521" s="130" t="n"/>
      <c r="M521" s="128" t="n"/>
      <c r="N521" s="129" t="n"/>
    </row>
    <row r="522" ht="15" customHeight="1" s="75">
      <c r="A522" s="124" t="n"/>
      <c r="B522" s="125" t="n"/>
      <c r="C522" s="126" t="n"/>
      <c r="D522" s="127" t="n"/>
      <c r="E522" s="127" t="n"/>
      <c r="F522" s="128" t="n"/>
      <c r="G522" s="128" t="n"/>
      <c r="H522" s="129" t="n"/>
      <c r="I522" s="129" t="n"/>
      <c r="J522" s="128" t="n"/>
      <c r="K522" s="130" t="n"/>
      <c r="L522" s="130" t="n"/>
      <c r="M522" s="128" t="n"/>
      <c r="N522" s="129" t="n"/>
    </row>
    <row r="523" ht="15" customHeight="1" s="75">
      <c r="A523" s="124" t="n"/>
      <c r="B523" s="125" t="n"/>
      <c r="C523" s="126" t="n"/>
      <c r="D523" s="127" t="n"/>
      <c r="E523" s="127" t="n"/>
      <c r="F523" s="128" t="n"/>
      <c r="G523" s="128" t="n"/>
      <c r="H523" s="129" t="n"/>
      <c r="I523" s="129" t="n"/>
      <c r="J523" s="128" t="n"/>
      <c r="K523" s="130" t="n"/>
      <c r="L523" s="130" t="n"/>
      <c r="M523" s="128" t="n"/>
      <c r="N523" s="129" t="n"/>
    </row>
    <row r="524" ht="15" customHeight="1" s="75">
      <c r="A524" s="124" t="n"/>
      <c r="B524" s="125" t="n"/>
      <c r="C524" s="126" t="n"/>
      <c r="D524" s="127" t="n"/>
      <c r="E524" s="127" t="n"/>
      <c r="F524" s="128" t="n"/>
      <c r="G524" s="128" t="n"/>
      <c r="H524" s="129" t="n"/>
      <c r="I524" s="129" t="n"/>
      <c r="J524" s="128" t="n"/>
      <c r="K524" s="130" t="n"/>
      <c r="L524" s="130" t="n"/>
      <c r="M524" s="128" t="n"/>
      <c r="N524" s="129" t="n"/>
    </row>
    <row r="525" ht="15" customHeight="1" s="75">
      <c r="A525" s="124" t="n"/>
      <c r="B525" s="125" t="n"/>
      <c r="C525" s="126" t="n"/>
      <c r="D525" s="127" t="n"/>
      <c r="E525" s="127" t="n"/>
      <c r="F525" s="128" t="n"/>
      <c r="G525" s="128" t="n"/>
      <c r="H525" s="129" t="n"/>
      <c r="I525" s="129" t="n"/>
      <c r="J525" s="128" t="n"/>
      <c r="K525" s="130" t="n"/>
      <c r="L525" s="130" t="n"/>
      <c r="M525" s="128" t="n"/>
      <c r="N525" s="129" t="n"/>
    </row>
    <row r="526" ht="15" customHeight="1" s="75">
      <c r="A526" s="124" t="n"/>
      <c r="B526" s="125" t="n"/>
      <c r="C526" s="126" t="n"/>
      <c r="D526" s="127" t="n"/>
      <c r="E526" s="127" t="n"/>
      <c r="F526" s="128" t="n"/>
      <c r="G526" s="128" t="n"/>
      <c r="H526" s="129" t="n"/>
      <c r="I526" s="129" t="n"/>
      <c r="J526" s="128" t="n"/>
      <c r="K526" s="130" t="n"/>
      <c r="L526" s="130" t="n"/>
      <c r="M526" s="128" t="n"/>
      <c r="N526" s="129" t="n"/>
    </row>
    <row r="527" ht="15" customHeight="1" s="75">
      <c r="A527" s="124" t="n"/>
      <c r="B527" s="125" t="n"/>
      <c r="C527" s="126" t="n"/>
      <c r="D527" s="127" t="n"/>
      <c r="E527" s="127" t="n"/>
      <c r="F527" s="128" t="n"/>
      <c r="G527" s="128" t="n"/>
      <c r="H527" s="129" t="n"/>
      <c r="I527" s="129" t="n"/>
      <c r="J527" s="128" t="n"/>
      <c r="K527" s="130" t="n"/>
      <c r="L527" s="130" t="n"/>
      <c r="M527" s="128" t="n"/>
      <c r="N527" s="129" t="n"/>
    </row>
    <row r="528" ht="15" customHeight="1" s="75">
      <c r="A528" s="124" t="n"/>
      <c r="B528" s="125" t="n"/>
      <c r="C528" s="126" t="n"/>
      <c r="D528" s="127" t="n"/>
      <c r="E528" s="127" t="n"/>
      <c r="F528" s="128" t="n"/>
      <c r="G528" s="128" t="n"/>
      <c r="H528" s="129" t="n"/>
      <c r="I528" s="129" t="n"/>
      <c r="J528" s="128" t="n"/>
      <c r="K528" s="130" t="n"/>
      <c r="L528" s="130" t="n"/>
      <c r="M528" s="128" t="n"/>
      <c r="N528" s="129" t="n"/>
    </row>
    <row r="529" ht="15" customHeight="1" s="75">
      <c r="A529" s="124" t="n"/>
      <c r="B529" s="125" t="n"/>
      <c r="C529" s="126" t="n"/>
      <c r="D529" s="127" t="n"/>
      <c r="E529" s="127" t="n"/>
      <c r="F529" s="128" t="n"/>
      <c r="G529" s="128" t="n"/>
      <c r="H529" s="129" t="n"/>
      <c r="I529" s="129" t="n"/>
      <c r="J529" s="128" t="n"/>
      <c r="K529" s="130" t="n"/>
      <c r="L529" s="130" t="n"/>
      <c r="M529" s="128" t="n"/>
      <c r="N529" s="129" t="n"/>
    </row>
    <row r="530" ht="15" customHeight="1" s="75">
      <c r="A530" s="124" t="n"/>
      <c r="B530" s="125" t="n"/>
      <c r="C530" s="126" t="n"/>
      <c r="D530" s="127" t="n"/>
      <c r="E530" s="127" t="n"/>
      <c r="F530" s="128" t="n"/>
      <c r="G530" s="128" t="n"/>
      <c r="H530" s="129" t="n"/>
      <c r="I530" s="129" t="n"/>
      <c r="J530" s="128" t="n"/>
      <c r="K530" s="130" t="n"/>
      <c r="L530" s="130" t="n"/>
      <c r="M530" s="128" t="n"/>
      <c r="N530" s="129" t="n"/>
    </row>
    <row r="531" ht="15" customHeight="1" s="75">
      <c r="A531" s="124" t="n"/>
      <c r="B531" s="125" t="n"/>
      <c r="C531" s="126" t="n"/>
      <c r="D531" s="127" t="n"/>
      <c r="E531" s="127" t="n"/>
      <c r="F531" s="128" t="n"/>
      <c r="G531" s="128" t="n"/>
      <c r="H531" s="129" t="n"/>
      <c r="I531" s="129" t="n"/>
      <c r="J531" s="128" t="n"/>
      <c r="K531" s="130" t="n"/>
      <c r="L531" s="130" t="n"/>
      <c r="M531" s="128" t="n"/>
      <c r="N531" s="129" t="n"/>
    </row>
    <row r="532" ht="15" customHeight="1" s="75">
      <c r="A532" s="124" t="n"/>
      <c r="B532" s="125" t="n"/>
      <c r="C532" s="126" t="n"/>
      <c r="D532" s="127" t="n"/>
      <c r="E532" s="127" t="n"/>
      <c r="F532" s="128" t="n"/>
      <c r="G532" s="128" t="n"/>
      <c r="H532" s="129" t="n"/>
      <c r="I532" s="129" t="n"/>
      <c r="J532" s="128" t="n"/>
      <c r="K532" s="130" t="n"/>
      <c r="L532" s="130" t="n"/>
      <c r="M532" s="128" t="n"/>
      <c r="N532" s="129" t="n"/>
    </row>
    <row r="533" ht="15" customHeight="1" s="75">
      <c r="A533" s="124" t="n"/>
      <c r="B533" s="125" t="n"/>
      <c r="C533" s="126" t="n"/>
      <c r="D533" s="127" t="n"/>
      <c r="E533" s="127" t="n"/>
      <c r="F533" s="128" t="n"/>
      <c r="G533" s="128" t="n"/>
      <c r="H533" s="129" t="n"/>
      <c r="I533" s="129" t="n"/>
      <c r="J533" s="128" t="n"/>
      <c r="K533" s="130" t="n"/>
      <c r="L533" s="130" t="n"/>
      <c r="M533" s="128" t="n"/>
      <c r="N533" s="129" t="n"/>
    </row>
    <row r="534" ht="15" customHeight="1" s="75">
      <c r="A534" s="124" t="n"/>
      <c r="B534" s="125" t="n"/>
      <c r="C534" s="126" t="n"/>
      <c r="D534" s="127" t="n"/>
      <c r="E534" s="127" t="n"/>
      <c r="F534" s="128" t="n"/>
      <c r="G534" s="128" t="n"/>
      <c r="H534" s="129" t="n"/>
      <c r="I534" s="129" t="n"/>
      <c r="J534" s="128" t="n"/>
      <c r="K534" s="130" t="n"/>
      <c r="L534" s="130" t="n"/>
      <c r="M534" s="128" t="n"/>
      <c r="N534" s="129" t="n"/>
    </row>
    <row r="535" ht="15" customHeight="1" s="75">
      <c r="A535" s="124" t="n"/>
      <c r="B535" s="125" t="n"/>
      <c r="C535" s="126" t="n"/>
      <c r="D535" s="127" t="n"/>
      <c r="E535" s="127" t="n"/>
      <c r="F535" s="128" t="n"/>
      <c r="G535" s="128" t="n"/>
      <c r="H535" s="129" t="n"/>
      <c r="I535" s="129" t="n"/>
      <c r="J535" s="128" t="n"/>
      <c r="K535" s="130" t="n"/>
      <c r="L535" s="130" t="n"/>
      <c r="M535" s="128" t="n"/>
      <c r="N535" s="129" t="n"/>
    </row>
    <row r="536" ht="15" customHeight="1" s="75">
      <c r="A536" s="124" t="n"/>
      <c r="B536" s="125" t="n"/>
      <c r="C536" s="126" t="n"/>
      <c r="D536" s="127" t="n"/>
      <c r="E536" s="127" t="n"/>
      <c r="F536" s="128" t="n"/>
      <c r="G536" s="128" t="n"/>
      <c r="H536" s="129" t="n"/>
      <c r="I536" s="129" t="n"/>
      <c r="J536" s="128" t="n"/>
      <c r="K536" s="130" t="n"/>
      <c r="L536" s="130" t="n"/>
      <c r="M536" s="128" t="n"/>
      <c r="N536" s="129" t="n"/>
    </row>
    <row r="537" ht="15" customHeight="1" s="75">
      <c r="A537" s="124" t="n"/>
      <c r="B537" s="125" t="n"/>
      <c r="C537" s="126" t="n"/>
      <c r="D537" s="127" t="n"/>
      <c r="E537" s="127" t="n"/>
      <c r="F537" s="128" t="n"/>
      <c r="G537" s="128" t="n"/>
      <c r="H537" s="129" t="n"/>
      <c r="I537" s="129" t="n"/>
      <c r="J537" s="128" t="n"/>
      <c r="K537" s="130" t="n"/>
      <c r="L537" s="130" t="n"/>
      <c r="M537" s="128" t="n"/>
      <c r="N537" s="129" t="n"/>
    </row>
    <row r="538" ht="15" customHeight="1" s="75">
      <c r="A538" s="124" t="n"/>
      <c r="B538" s="125" t="n"/>
      <c r="C538" s="126" t="n"/>
      <c r="D538" s="127" t="n"/>
      <c r="E538" s="127" t="n"/>
      <c r="F538" s="128" t="n"/>
      <c r="G538" s="128" t="n"/>
      <c r="H538" s="129" t="n"/>
      <c r="I538" s="129" t="n"/>
      <c r="J538" s="128" t="n"/>
      <c r="K538" s="130" t="n"/>
      <c r="L538" s="130" t="n"/>
      <c r="M538" s="128" t="n"/>
      <c r="N538" s="129" t="n"/>
    </row>
    <row r="539" ht="15" customHeight="1" s="75">
      <c r="A539" s="124" t="n"/>
      <c r="B539" s="125" t="n"/>
      <c r="C539" s="126" t="n"/>
      <c r="D539" s="127" t="n"/>
      <c r="E539" s="127" t="n"/>
      <c r="F539" s="128" t="n"/>
      <c r="G539" s="128" t="n"/>
      <c r="H539" s="129" t="n"/>
      <c r="I539" s="129" t="n"/>
      <c r="J539" s="128" t="n"/>
      <c r="K539" s="130" t="n"/>
      <c r="L539" s="130" t="n"/>
      <c r="M539" s="128" t="n"/>
      <c r="N539" s="129" t="n"/>
    </row>
    <row r="540" ht="15" customHeight="1" s="75">
      <c r="A540" s="124" t="n"/>
      <c r="B540" s="125" t="n"/>
      <c r="C540" s="126" t="n"/>
      <c r="D540" s="127" t="n"/>
      <c r="E540" s="127" t="n"/>
      <c r="F540" s="128" t="n"/>
      <c r="G540" s="128" t="n"/>
      <c r="H540" s="129" t="n"/>
      <c r="I540" s="129" t="n"/>
      <c r="J540" s="128" t="n"/>
      <c r="K540" s="130" t="n"/>
      <c r="L540" s="130" t="n"/>
      <c r="M540" s="128" t="n"/>
      <c r="N540" s="129" t="n"/>
    </row>
    <row r="541" ht="15" customHeight="1" s="75">
      <c r="A541" s="124" t="n"/>
      <c r="B541" s="125" t="n"/>
      <c r="C541" s="126" t="n"/>
      <c r="D541" s="127" t="n"/>
      <c r="E541" s="127" t="n"/>
      <c r="F541" s="128" t="n"/>
      <c r="G541" s="128" t="n"/>
      <c r="H541" s="129" t="n"/>
      <c r="I541" s="129" t="n"/>
      <c r="J541" s="128" t="n"/>
      <c r="K541" s="130" t="n"/>
      <c r="L541" s="130" t="n"/>
      <c r="M541" s="128" t="n"/>
      <c r="N541" s="129" t="n"/>
    </row>
    <row r="542" ht="15" customHeight="1" s="75">
      <c r="A542" s="124" t="n"/>
      <c r="B542" s="125" t="n"/>
      <c r="C542" s="126" t="n"/>
      <c r="D542" s="127" t="n"/>
      <c r="E542" s="127" t="n"/>
      <c r="F542" s="128" t="n"/>
      <c r="G542" s="128" t="n"/>
      <c r="H542" s="129" t="n"/>
      <c r="I542" s="129" t="n"/>
      <c r="J542" s="128" t="n"/>
      <c r="K542" s="130" t="n"/>
      <c r="L542" s="130" t="n"/>
      <c r="M542" s="128" t="n"/>
      <c r="N542" s="129" t="n"/>
    </row>
    <row r="543" ht="15" customHeight="1" s="75">
      <c r="A543" s="124" t="n"/>
      <c r="B543" s="125" t="n"/>
      <c r="C543" s="126" t="n"/>
      <c r="D543" s="127" t="n"/>
      <c r="E543" s="127" t="n"/>
      <c r="F543" s="128" t="n"/>
      <c r="G543" s="128" t="n"/>
      <c r="H543" s="129" t="n"/>
      <c r="I543" s="129" t="n"/>
      <c r="J543" s="128" t="n"/>
      <c r="K543" s="130" t="n"/>
      <c r="L543" s="130" t="n"/>
      <c r="M543" s="128" t="n"/>
      <c r="N543" s="129" t="n"/>
    </row>
    <row r="544" ht="15" customHeight="1" s="75">
      <c r="A544" s="124" t="n"/>
      <c r="B544" s="125" t="n"/>
      <c r="C544" s="126" t="n"/>
      <c r="D544" s="127" t="n"/>
      <c r="E544" s="127" t="n"/>
      <c r="F544" s="128" t="n"/>
      <c r="G544" s="128" t="n"/>
      <c r="H544" s="129" t="n"/>
      <c r="I544" s="129" t="n"/>
      <c r="J544" s="128" t="n"/>
      <c r="K544" s="130" t="n"/>
      <c r="L544" s="130" t="n"/>
      <c r="M544" s="128" t="n"/>
      <c r="N544" s="129" t="n"/>
    </row>
    <row r="545" ht="15" customHeight="1" s="75">
      <c r="A545" s="124" t="n"/>
      <c r="B545" s="125" t="n"/>
      <c r="C545" s="126" t="n"/>
      <c r="D545" s="127" t="n"/>
      <c r="E545" s="127" t="n"/>
      <c r="F545" s="128" t="n"/>
      <c r="G545" s="128" t="n"/>
      <c r="H545" s="129" t="n"/>
      <c r="I545" s="129" t="n"/>
      <c r="J545" s="128" t="n"/>
      <c r="K545" s="130" t="n"/>
      <c r="L545" s="130" t="n"/>
      <c r="M545" s="128" t="n"/>
      <c r="N545" s="129" t="n"/>
    </row>
    <row r="546" ht="15" customHeight="1" s="75">
      <c r="A546" s="124" t="n"/>
      <c r="B546" s="125" t="n"/>
      <c r="C546" s="126" t="n"/>
      <c r="D546" s="127" t="n"/>
      <c r="E546" s="127" t="n"/>
      <c r="F546" s="128" t="n"/>
      <c r="G546" s="128" t="n"/>
      <c r="H546" s="129" t="n"/>
      <c r="I546" s="129" t="n"/>
      <c r="J546" s="128" t="n"/>
      <c r="K546" s="130" t="n"/>
      <c r="L546" s="130" t="n"/>
      <c r="M546" s="128" t="n"/>
      <c r="N546" s="129" t="n"/>
    </row>
    <row r="547" ht="15" customHeight="1" s="75">
      <c r="A547" s="124" t="n"/>
      <c r="B547" s="125" t="n"/>
      <c r="C547" s="126" t="n"/>
      <c r="D547" s="127" t="n"/>
      <c r="E547" s="127" t="n"/>
      <c r="F547" s="128" t="n"/>
      <c r="G547" s="128" t="n"/>
      <c r="H547" s="129" t="n"/>
      <c r="I547" s="129" t="n"/>
      <c r="J547" s="128" t="n"/>
      <c r="K547" s="130" t="n"/>
      <c r="L547" s="130" t="n"/>
      <c r="M547" s="128" t="n"/>
      <c r="N547" s="129" t="n"/>
    </row>
    <row r="548" ht="15" customHeight="1" s="75">
      <c r="A548" s="124" t="n"/>
      <c r="B548" s="125" t="n"/>
      <c r="C548" s="126" t="n"/>
      <c r="D548" s="127" t="n"/>
      <c r="E548" s="127" t="n"/>
      <c r="F548" s="128" t="n"/>
      <c r="G548" s="128" t="n"/>
      <c r="H548" s="129" t="n"/>
      <c r="I548" s="129" t="n"/>
      <c r="J548" s="128" t="n"/>
      <c r="K548" s="130" t="n"/>
      <c r="L548" s="130" t="n"/>
      <c r="M548" s="128" t="n"/>
      <c r="N548" s="129" t="n"/>
    </row>
    <row r="549" ht="15" customHeight="1" s="75">
      <c r="A549" s="124" t="n"/>
      <c r="B549" s="125" t="n"/>
      <c r="C549" s="126" t="n"/>
      <c r="D549" s="127" t="n"/>
      <c r="E549" s="127" t="n"/>
      <c r="F549" s="128" t="n"/>
      <c r="G549" s="128" t="n"/>
      <c r="H549" s="129" t="n"/>
      <c r="I549" s="129" t="n"/>
      <c r="J549" s="128" t="n"/>
      <c r="K549" s="130" t="n"/>
      <c r="L549" s="130" t="n"/>
      <c r="M549" s="128" t="n"/>
      <c r="N549" s="129" t="n"/>
    </row>
    <row r="550" ht="15" customHeight="1" s="75">
      <c r="A550" s="124" t="n"/>
      <c r="B550" s="125" t="n"/>
      <c r="C550" s="126" t="n"/>
      <c r="D550" s="127" t="n"/>
      <c r="E550" s="127" t="n"/>
      <c r="F550" s="128" t="n"/>
      <c r="G550" s="128" t="n"/>
      <c r="H550" s="129" t="n"/>
      <c r="I550" s="129" t="n"/>
      <c r="J550" s="128" t="n"/>
      <c r="K550" s="130" t="n"/>
      <c r="L550" s="130" t="n"/>
      <c r="M550" s="128" t="n"/>
      <c r="N550" s="129" t="n"/>
    </row>
    <row r="551" ht="15" customHeight="1" s="75">
      <c r="A551" s="124" t="n"/>
      <c r="B551" s="125" t="n"/>
      <c r="C551" s="126" t="n"/>
      <c r="D551" s="127" t="n"/>
      <c r="E551" s="127" t="n"/>
      <c r="F551" s="128" t="n"/>
      <c r="G551" s="128" t="n"/>
      <c r="H551" s="129" t="n"/>
      <c r="I551" s="129" t="n"/>
      <c r="J551" s="128" t="n"/>
      <c r="K551" s="130" t="n"/>
      <c r="L551" s="130" t="n"/>
      <c r="M551" s="128" t="n"/>
      <c r="N551" s="129" t="n"/>
    </row>
    <row r="552" ht="15" customHeight="1" s="75">
      <c r="A552" s="124" t="n"/>
      <c r="B552" s="125" t="n"/>
      <c r="C552" s="126" t="n"/>
      <c r="D552" s="127" t="n"/>
      <c r="E552" s="127" t="n"/>
      <c r="F552" s="128" t="n"/>
      <c r="G552" s="128" t="n"/>
      <c r="H552" s="129" t="n"/>
      <c r="I552" s="129" t="n"/>
      <c r="J552" s="128" t="n"/>
      <c r="K552" s="130" t="n"/>
      <c r="L552" s="130" t="n"/>
      <c r="M552" s="128" t="n"/>
      <c r="N552" s="129" t="n"/>
    </row>
    <row r="553" ht="15" customHeight="1" s="75">
      <c r="A553" s="124" t="n"/>
      <c r="B553" s="125" t="n"/>
      <c r="C553" s="126" t="n"/>
      <c r="D553" s="127" t="n"/>
      <c r="E553" s="127" t="n"/>
      <c r="F553" s="128" t="n"/>
      <c r="G553" s="128" t="n"/>
      <c r="H553" s="129" t="n"/>
      <c r="I553" s="129" t="n"/>
      <c r="J553" s="128" t="n"/>
      <c r="K553" s="130" t="n"/>
      <c r="L553" s="130" t="n"/>
      <c r="M553" s="128" t="n"/>
      <c r="N553" s="129" t="n"/>
    </row>
    <row r="554" ht="15" customHeight="1" s="75">
      <c r="A554" s="124" t="n"/>
      <c r="B554" s="125" t="n"/>
      <c r="C554" s="126" t="n"/>
      <c r="D554" s="127" t="n"/>
      <c r="E554" s="127" t="n"/>
      <c r="F554" s="128" t="n"/>
      <c r="G554" s="128" t="n"/>
      <c r="H554" s="129" t="n"/>
      <c r="I554" s="129" t="n"/>
      <c r="J554" s="128" t="n"/>
      <c r="K554" s="130" t="n"/>
      <c r="L554" s="130" t="n"/>
      <c r="M554" s="128" t="n"/>
      <c r="N554" s="129" t="n"/>
    </row>
    <row r="555" ht="15" customHeight="1" s="75">
      <c r="A555" s="124" t="n"/>
      <c r="B555" s="125" t="n"/>
      <c r="C555" s="126" t="n"/>
      <c r="D555" s="127" t="n"/>
      <c r="E555" s="127" t="n"/>
      <c r="F555" s="128" t="n"/>
      <c r="G555" s="128" t="n"/>
      <c r="H555" s="129" t="n"/>
      <c r="I555" s="129" t="n"/>
      <c r="J555" s="128" t="n"/>
      <c r="K555" s="130" t="n"/>
      <c r="L555" s="130" t="n"/>
      <c r="M555" s="128" t="n"/>
      <c r="N555" s="129" t="n"/>
    </row>
    <row r="556" ht="15" customHeight="1" s="75">
      <c r="A556" s="124" t="n"/>
      <c r="B556" s="125" t="n"/>
      <c r="C556" s="126" t="n"/>
      <c r="D556" s="127" t="n"/>
      <c r="E556" s="127" t="n"/>
      <c r="F556" s="128" t="n"/>
      <c r="G556" s="128" t="n"/>
      <c r="H556" s="129" t="n"/>
      <c r="I556" s="129" t="n"/>
      <c r="J556" s="128" t="n"/>
      <c r="K556" s="130" t="n"/>
      <c r="L556" s="130" t="n"/>
      <c r="M556" s="128" t="n"/>
      <c r="N556" s="129" t="n"/>
    </row>
    <row r="557" ht="15" customHeight="1" s="75">
      <c r="A557" s="124" t="n"/>
      <c r="B557" s="125" t="n"/>
      <c r="C557" s="126" t="n"/>
      <c r="D557" s="127" t="n"/>
      <c r="E557" s="127" t="n"/>
      <c r="F557" s="128" t="n"/>
      <c r="G557" s="128" t="n"/>
      <c r="H557" s="129" t="n"/>
      <c r="I557" s="129" t="n"/>
      <c r="J557" s="128" t="n"/>
      <c r="K557" s="130" t="n"/>
      <c r="L557" s="130" t="n"/>
      <c r="M557" s="128" t="n"/>
      <c r="N557" s="129" t="n"/>
    </row>
    <row r="558" ht="15" customHeight="1" s="75">
      <c r="A558" s="124" t="n"/>
      <c r="B558" s="125" t="n"/>
      <c r="C558" s="126" t="n"/>
      <c r="D558" s="127" t="n"/>
      <c r="E558" s="127" t="n"/>
      <c r="F558" s="128" t="n"/>
      <c r="G558" s="128" t="n"/>
      <c r="H558" s="129" t="n"/>
      <c r="I558" s="129" t="n"/>
      <c r="J558" s="128" t="n"/>
      <c r="K558" s="130" t="n"/>
      <c r="L558" s="130" t="n"/>
      <c r="M558" s="128" t="n"/>
      <c r="N558" s="129" t="n"/>
    </row>
    <row r="559" ht="15" customHeight="1" s="75">
      <c r="A559" s="124" t="n"/>
      <c r="B559" s="125" t="n"/>
      <c r="C559" s="126" t="n"/>
      <c r="D559" s="127" t="n"/>
      <c r="E559" s="127" t="n"/>
      <c r="F559" s="128" t="n"/>
      <c r="G559" s="128" t="n"/>
      <c r="H559" s="129" t="n"/>
      <c r="I559" s="129" t="n"/>
      <c r="J559" s="128" t="n"/>
      <c r="K559" s="130" t="n"/>
      <c r="L559" s="130" t="n"/>
      <c r="M559" s="128" t="n"/>
      <c r="N559" s="129" t="n"/>
    </row>
    <row r="560" ht="15" customHeight="1" s="75">
      <c r="A560" s="124" t="n"/>
      <c r="B560" s="125" t="n"/>
      <c r="C560" s="126" t="n"/>
      <c r="D560" s="127" t="n"/>
      <c r="E560" s="127" t="n"/>
      <c r="F560" s="128" t="n"/>
      <c r="G560" s="128" t="n"/>
      <c r="H560" s="129" t="n"/>
      <c r="I560" s="129" t="n"/>
      <c r="J560" s="128" t="n"/>
      <c r="K560" s="130" t="n"/>
      <c r="L560" s="130" t="n"/>
      <c r="M560" s="128" t="n"/>
      <c r="N560" s="129" t="n"/>
    </row>
    <row r="561" ht="15" customHeight="1" s="75">
      <c r="A561" s="124" t="n"/>
      <c r="B561" s="125" t="n"/>
      <c r="C561" s="126" t="n"/>
      <c r="D561" s="127" t="n"/>
      <c r="E561" s="127" t="n"/>
      <c r="F561" s="128" t="n"/>
      <c r="G561" s="128" t="n"/>
      <c r="H561" s="129" t="n"/>
      <c r="I561" s="129" t="n"/>
      <c r="J561" s="128" t="n"/>
      <c r="K561" s="130" t="n"/>
      <c r="L561" s="130" t="n"/>
      <c r="M561" s="128" t="n"/>
      <c r="N561" s="129" t="n"/>
    </row>
    <row r="562" ht="15" customHeight="1" s="75">
      <c r="A562" s="124" t="n"/>
      <c r="B562" s="125" t="n"/>
      <c r="C562" s="126" t="n"/>
      <c r="D562" s="127" t="n"/>
      <c r="E562" s="127" t="n"/>
      <c r="F562" s="128" t="n"/>
      <c r="G562" s="128" t="n"/>
      <c r="H562" s="129" t="n"/>
      <c r="I562" s="129" t="n"/>
      <c r="J562" s="128" t="n"/>
      <c r="K562" s="130" t="n"/>
      <c r="L562" s="130" t="n"/>
      <c r="M562" s="128" t="n"/>
      <c r="N562" s="129" t="n"/>
    </row>
    <row r="563" ht="15" customHeight="1" s="75">
      <c r="A563" s="124" t="n"/>
      <c r="B563" s="125" t="n"/>
      <c r="C563" s="126" t="n"/>
      <c r="D563" s="127" t="n"/>
      <c r="E563" s="127" t="n"/>
      <c r="F563" s="128" t="n"/>
      <c r="G563" s="128" t="n"/>
      <c r="H563" s="129" t="n"/>
      <c r="I563" s="129" t="n"/>
      <c r="J563" s="128" t="n"/>
      <c r="K563" s="130" t="n"/>
      <c r="L563" s="130" t="n"/>
      <c r="M563" s="128" t="n"/>
      <c r="N563" s="129" t="n"/>
    </row>
    <row r="564" ht="15" customHeight="1" s="75">
      <c r="A564" s="124" t="n"/>
      <c r="B564" s="125" t="n"/>
      <c r="C564" s="126" t="n"/>
      <c r="D564" s="127" t="n"/>
      <c r="E564" s="127" t="n"/>
      <c r="F564" s="128" t="n"/>
      <c r="G564" s="128" t="n"/>
      <c r="H564" s="129" t="n"/>
      <c r="I564" s="129" t="n"/>
      <c r="J564" s="128" t="n"/>
      <c r="K564" s="130" t="n"/>
      <c r="L564" s="130" t="n"/>
      <c r="M564" s="128" t="n"/>
      <c r="N564" s="129" t="n"/>
    </row>
    <row r="565" ht="15" customHeight="1" s="75">
      <c r="A565" s="124" t="n"/>
      <c r="B565" s="125" t="n"/>
      <c r="C565" s="126" t="n"/>
      <c r="D565" s="127" t="n"/>
      <c r="E565" s="127" t="n"/>
      <c r="F565" s="128" t="n"/>
      <c r="G565" s="128" t="n"/>
      <c r="H565" s="129" t="n"/>
      <c r="I565" s="129" t="n"/>
      <c r="J565" s="128" t="n"/>
      <c r="K565" s="130" t="n"/>
      <c r="L565" s="130" t="n"/>
      <c r="M565" s="128" t="n"/>
      <c r="N565" s="129" t="n"/>
    </row>
    <row r="566" ht="15" customHeight="1" s="75">
      <c r="A566" s="124" t="n"/>
      <c r="B566" s="125" t="n"/>
      <c r="C566" s="126" t="n"/>
      <c r="D566" s="127" t="n"/>
      <c r="E566" s="127" t="n"/>
      <c r="F566" s="128" t="n"/>
      <c r="G566" s="128" t="n"/>
      <c r="H566" s="129" t="n"/>
      <c r="I566" s="129" t="n"/>
      <c r="J566" s="128" t="n"/>
      <c r="K566" s="130" t="n"/>
      <c r="L566" s="130" t="n"/>
      <c r="M566" s="128" t="n"/>
      <c r="N566" s="129" t="n"/>
    </row>
    <row r="567" ht="15" customHeight="1" s="75">
      <c r="A567" s="124" t="n"/>
      <c r="B567" s="125" t="n"/>
      <c r="C567" s="126" t="n"/>
      <c r="D567" s="127" t="n"/>
      <c r="E567" s="127" t="n"/>
      <c r="F567" s="128" t="n"/>
      <c r="G567" s="128" t="n"/>
      <c r="H567" s="129" t="n"/>
      <c r="I567" s="129" t="n"/>
      <c r="J567" s="128" t="n"/>
      <c r="K567" s="130" t="n"/>
      <c r="L567" s="130" t="n"/>
      <c r="M567" s="128" t="n"/>
      <c r="N567" s="129" t="n"/>
    </row>
    <row r="568" ht="15" customHeight="1" s="75">
      <c r="A568" s="124" t="n"/>
      <c r="B568" s="125" t="n"/>
      <c r="C568" s="126" t="n"/>
      <c r="D568" s="127" t="n"/>
      <c r="E568" s="127" t="n"/>
      <c r="F568" s="128" t="n"/>
      <c r="G568" s="128" t="n"/>
      <c r="H568" s="129" t="n"/>
      <c r="I568" s="129" t="n"/>
      <c r="J568" s="128" t="n"/>
      <c r="K568" s="130" t="n"/>
      <c r="L568" s="130" t="n"/>
      <c r="M568" s="128" t="n"/>
      <c r="N568" s="129" t="n"/>
    </row>
    <row r="569" ht="15" customHeight="1" s="75">
      <c r="A569" s="124" t="n"/>
      <c r="B569" s="125" t="n"/>
      <c r="C569" s="126" t="n"/>
      <c r="D569" s="127" t="n"/>
      <c r="E569" s="127" t="n"/>
      <c r="F569" s="128" t="n"/>
      <c r="G569" s="128" t="n"/>
      <c r="H569" s="129" t="n"/>
      <c r="I569" s="129" t="n"/>
      <c r="J569" s="128" t="n"/>
      <c r="K569" s="130" t="n"/>
      <c r="L569" s="130" t="n"/>
      <c r="M569" s="128" t="n"/>
      <c r="N569" s="129" t="n"/>
    </row>
    <row r="570" ht="15" customHeight="1" s="75">
      <c r="A570" s="124" t="n"/>
      <c r="B570" s="125" t="n"/>
      <c r="C570" s="126" t="n"/>
      <c r="D570" s="127" t="n"/>
      <c r="E570" s="127" t="n"/>
      <c r="F570" s="128" t="n"/>
      <c r="G570" s="128" t="n"/>
      <c r="H570" s="129" t="n"/>
      <c r="I570" s="129" t="n"/>
      <c r="J570" s="128" t="n"/>
      <c r="K570" s="130" t="n"/>
      <c r="L570" s="130" t="n"/>
      <c r="M570" s="128" t="n"/>
      <c r="N570" s="129" t="n"/>
    </row>
    <row r="571" ht="15" customHeight="1" s="75">
      <c r="A571" s="124" t="n"/>
      <c r="B571" s="125" t="n"/>
      <c r="C571" s="126" t="n"/>
      <c r="D571" s="127" t="n"/>
      <c r="E571" s="127" t="n"/>
      <c r="F571" s="128" t="n"/>
      <c r="G571" s="128" t="n"/>
      <c r="H571" s="129" t="n"/>
      <c r="I571" s="129" t="n"/>
      <c r="J571" s="128" t="n"/>
      <c r="K571" s="130" t="n"/>
      <c r="L571" s="130" t="n"/>
      <c r="M571" s="128" t="n"/>
      <c r="N571" s="129" t="n"/>
    </row>
    <row r="572" ht="15" customHeight="1" s="75">
      <c r="A572" s="124" t="n"/>
      <c r="B572" s="125" t="n"/>
      <c r="C572" s="126" t="n"/>
      <c r="D572" s="127" t="n"/>
      <c r="E572" s="127" t="n"/>
      <c r="F572" s="128" t="n"/>
      <c r="G572" s="128" t="n"/>
      <c r="H572" s="129" t="n"/>
      <c r="I572" s="129" t="n"/>
      <c r="J572" s="128" t="n"/>
      <c r="K572" s="130" t="n"/>
      <c r="L572" s="130" t="n"/>
      <c r="M572" s="128" t="n"/>
      <c r="N572" s="129" t="n"/>
    </row>
    <row r="573" ht="15" customHeight="1" s="75">
      <c r="A573" s="124" t="n"/>
      <c r="B573" s="125" t="n"/>
      <c r="C573" s="126" t="n"/>
      <c r="D573" s="127" t="n"/>
      <c r="E573" s="127" t="n"/>
      <c r="F573" s="128" t="n"/>
      <c r="G573" s="128" t="n"/>
      <c r="H573" s="129" t="n"/>
      <c r="I573" s="129" t="n"/>
      <c r="J573" s="128" t="n"/>
      <c r="K573" s="130" t="n"/>
      <c r="L573" s="130" t="n"/>
      <c r="M573" s="128" t="n"/>
      <c r="N573" s="129" t="n"/>
    </row>
    <row r="574" ht="15" customHeight="1" s="75">
      <c r="A574" s="124" t="n"/>
      <c r="B574" s="125" t="n"/>
      <c r="C574" s="126" t="n"/>
      <c r="D574" s="127" t="n"/>
      <c r="E574" s="127" t="n"/>
      <c r="F574" s="128" t="n"/>
      <c r="G574" s="128" t="n"/>
      <c r="H574" s="129" t="n"/>
      <c r="I574" s="129" t="n"/>
      <c r="J574" s="128" t="n"/>
      <c r="K574" s="130" t="n"/>
      <c r="L574" s="130" t="n"/>
      <c r="M574" s="128" t="n"/>
      <c r="N574" s="129" t="n"/>
    </row>
    <row r="575" ht="15" customHeight="1" s="75">
      <c r="A575" s="124" t="n"/>
      <c r="B575" s="125" t="n"/>
      <c r="C575" s="126" t="n"/>
      <c r="D575" s="127" t="n"/>
      <c r="E575" s="127" t="n"/>
      <c r="F575" s="128" t="n"/>
      <c r="G575" s="128" t="n"/>
      <c r="H575" s="129" t="n"/>
      <c r="I575" s="129" t="n"/>
      <c r="J575" s="128" t="n"/>
      <c r="K575" s="130" t="n"/>
      <c r="L575" s="130" t="n"/>
      <c r="M575" s="128" t="n"/>
      <c r="N575" s="129" t="n"/>
    </row>
    <row r="576" ht="15" customHeight="1" s="75">
      <c r="A576" s="124" t="n"/>
      <c r="B576" s="125" t="n"/>
      <c r="C576" s="126" t="n"/>
      <c r="D576" s="127" t="n"/>
      <c r="E576" s="127" t="n"/>
      <c r="F576" s="128" t="n"/>
      <c r="G576" s="128" t="n"/>
      <c r="H576" s="129" t="n"/>
      <c r="I576" s="129" t="n"/>
      <c r="J576" s="128" t="n"/>
      <c r="K576" s="130" t="n"/>
      <c r="L576" s="130" t="n"/>
      <c r="M576" s="128" t="n"/>
      <c r="N576" s="129" t="n"/>
    </row>
    <row r="577" ht="15" customHeight="1" s="75">
      <c r="A577" s="124" t="n"/>
      <c r="B577" s="125" t="n"/>
      <c r="C577" s="126" t="n"/>
      <c r="D577" s="127" t="n"/>
      <c r="E577" s="127" t="n"/>
      <c r="F577" s="128" t="n"/>
      <c r="G577" s="128" t="n"/>
      <c r="H577" s="129" t="n"/>
      <c r="I577" s="129" t="n"/>
      <c r="J577" s="128" t="n"/>
      <c r="K577" s="130" t="n"/>
      <c r="L577" s="130" t="n"/>
      <c r="M577" s="128" t="n"/>
      <c r="N577" s="129" t="n"/>
    </row>
    <row r="578" ht="15" customHeight="1" s="75">
      <c r="A578" s="124" t="n"/>
      <c r="B578" s="125" t="n"/>
      <c r="C578" s="126" t="n"/>
      <c r="D578" s="127" t="n"/>
      <c r="E578" s="127" t="n"/>
      <c r="F578" s="128" t="n"/>
      <c r="G578" s="128" t="n"/>
      <c r="H578" s="129" t="n"/>
      <c r="I578" s="129" t="n"/>
      <c r="J578" s="128" t="n"/>
      <c r="K578" s="130" t="n"/>
      <c r="L578" s="130" t="n"/>
      <c r="M578" s="128" t="n"/>
      <c r="N578" s="129" t="n"/>
    </row>
    <row r="579" ht="15" customHeight="1" s="75">
      <c r="A579" s="124" t="n"/>
      <c r="B579" s="125" t="n"/>
      <c r="C579" s="126" t="n"/>
      <c r="D579" s="127" t="n"/>
      <c r="E579" s="127" t="n"/>
      <c r="F579" s="128" t="n"/>
      <c r="G579" s="128" t="n"/>
      <c r="H579" s="129" t="n"/>
      <c r="I579" s="129" t="n"/>
      <c r="J579" s="128" t="n"/>
      <c r="K579" s="130" t="n"/>
      <c r="L579" s="130" t="n"/>
      <c r="M579" s="128" t="n"/>
      <c r="N579" s="129" t="n"/>
    </row>
    <row r="580" ht="15" customHeight="1" s="75">
      <c r="A580" s="124" t="n"/>
      <c r="B580" s="125" t="n"/>
      <c r="C580" s="126" t="n"/>
      <c r="D580" s="127" t="n"/>
      <c r="E580" s="127" t="n"/>
      <c r="F580" s="128" t="n"/>
      <c r="G580" s="128" t="n"/>
      <c r="H580" s="129" t="n"/>
      <c r="I580" s="129" t="n"/>
      <c r="J580" s="128" t="n"/>
      <c r="K580" s="130" t="n"/>
      <c r="L580" s="130" t="n"/>
      <c r="M580" s="128" t="n"/>
      <c r="N580" s="129" t="n"/>
    </row>
    <row r="581" ht="15" customHeight="1" s="75">
      <c r="A581" s="124" t="n"/>
      <c r="B581" s="125" t="n"/>
      <c r="C581" s="126" t="n"/>
      <c r="D581" s="127" t="n"/>
      <c r="E581" s="127" t="n"/>
      <c r="F581" s="128" t="n"/>
      <c r="G581" s="128" t="n"/>
      <c r="H581" s="129" t="n"/>
      <c r="I581" s="129" t="n"/>
      <c r="J581" s="128" t="n"/>
      <c r="K581" s="130" t="n"/>
      <c r="L581" s="130" t="n"/>
      <c r="M581" s="128" t="n"/>
      <c r="N581" s="129" t="n"/>
    </row>
    <row r="582" ht="15" customHeight="1" s="75">
      <c r="A582" s="124" t="n"/>
      <c r="B582" s="125" t="n"/>
      <c r="C582" s="126" t="n"/>
      <c r="D582" s="127" t="n"/>
      <c r="E582" s="127" t="n"/>
      <c r="F582" s="128" t="n"/>
      <c r="G582" s="128" t="n"/>
      <c r="H582" s="129" t="n"/>
      <c r="I582" s="129" t="n"/>
      <c r="J582" s="128" t="n"/>
      <c r="K582" s="130" t="n"/>
      <c r="L582" s="130" t="n"/>
      <c r="M582" s="128" t="n"/>
      <c r="N582" s="129" t="n"/>
    </row>
    <row r="583" ht="15" customHeight="1" s="75">
      <c r="A583" s="124" t="n"/>
      <c r="B583" s="125" t="n"/>
      <c r="C583" s="126" t="n"/>
      <c r="D583" s="127" t="n"/>
      <c r="E583" s="127" t="n"/>
      <c r="F583" s="128" t="n"/>
      <c r="G583" s="128" t="n"/>
      <c r="H583" s="129" t="n"/>
      <c r="I583" s="129" t="n"/>
      <c r="J583" s="128" t="n"/>
      <c r="K583" s="130" t="n"/>
      <c r="L583" s="130" t="n"/>
      <c r="M583" s="128" t="n"/>
      <c r="N583" s="129" t="n"/>
    </row>
    <row r="584" ht="15" customHeight="1" s="75">
      <c r="A584" s="124" t="n"/>
      <c r="B584" s="125" t="n"/>
      <c r="C584" s="126" t="n"/>
      <c r="D584" s="127" t="n"/>
      <c r="E584" s="127" t="n"/>
      <c r="F584" s="128" t="n"/>
      <c r="G584" s="128" t="n"/>
      <c r="H584" s="129" t="n"/>
      <c r="I584" s="129" t="n"/>
      <c r="J584" s="128" t="n"/>
      <c r="K584" s="130" t="n"/>
      <c r="L584" s="130" t="n"/>
      <c r="M584" s="128" t="n"/>
      <c r="N584" s="129" t="n"/>
    </row>
    <row r="585" ht="15" customHeight="1" s="75">
      <c r="A585" s="124" t="n"/>
      <c r="B585" s="125" t="n"/>
      <c r="C585" s="126" t="n"/>
      <c r="D585" s="127" t="n"/>
      <c r="E585" s="127" t="n"/>
      <c r="F585" s="128" t="n"/>
      <c r="G585" s="128" t="n"/>
      <c r="H585" s="129" t="n"/>
      <c r="I585" s="129" t="n"/>
      <c r="J585" s="128" t="n"/>
      <c r="K585" s="130" t="n"/>
      <c r="L585" s="130" t="n"/>
      <c r="M585" s="128" t="n"/>
      <c r="N585" s="129" t="n"/>
    </row>
    <row r="586" ht="15" customHeight="1" s="75">
      <c r="A586" s="124" t="n"/>
      <c r="B586" s="125" t="n"/>
      <c r="C586" s="126" t="n"/>
      <c r="D586" s="127" t="n"/>
      <c r="E586" s="127" t="n"/>
      <c r="F586" s="128" t="n"/>
      <c r="G586" s="128" t="n"/>
      <c r="H586" s="129" t="n"/>
      <c r="I586" s="129" t="n"/>
      <c r="J586" s="128" t="n"/>
      <c r="K586" s="130" t="n"/>
      <c r="L586" s="130" t="n"/>
      <c r="M586" s="128" t="n"/>
      <c r="N586" s="129" t="n"/>
    </row>
    <row r="587" ht="15" customHeight="1" s="75">
      <c r="A587" s="124" t="n"/>
      <c r="B587" s="125" t="n"/>
      <c r="C587" s="126" t="n"/>
      <c r="D587" s="127" t="n"/>
      <c r="E587" s="127" t="n"/>
      <c r="F587" s="128" t="n"/>
      <c r="G587" s="128" t="n"/>
      <c r="H587" s="129" t="n"/>
      <c r="I587" s="129" t="n"/>
      <c r="J587" s="128" t="n"/>
      <c r="K587" s="130" t="n"/>
      <c r="L587" s="130" t="n"/>
      <c r="M587" s="128" t="n"/>
      <c r="N587" s="129" t="n"/>
    </row>
    <row r="588" ht="15" customHeight="1" s="75">
      <c r="A588" s="124" t="n"/>
      <c r="B588" s="125" t="n"/>
      <c r="C588" s="126" t="n"/>
      <c r="D588" s="127" t="n"/>
      <c r="E588" s="127" t="n"/>
      <c r="F588" s="128" t="n"/>
      <c r="G588" s="128" t="n"/>
      <c r="H588" s="129" t="n"/>
      <c r="I588" s="129" t="n"/>
      <c r="J588" s="128" t="n"/>
      <c r="K588" s="130" t="n"/>
      <c r="L588" s="130" t="n"/>
      <c r="M588" s="128" t="n"/>
      <c r="N588" s="129" t="n"/>
    </row>
    <row r="589" ht="15" customHeight="1" s="75">
      <c r="A589" s="124" t="n"/>
      <c r="B589" s="125" t="n"/>
      <c r="C589" s="126" t="n"/>
      <c r="D589" s="127" t="n"/>
      <c r="E589" s="127" t="n"/>
      <c r="F589" s="128" t="n"/>
      <c r="G589" s="128" t="n"/>
      <c r="H589" s="129" t="n"/>
      <c r="I589" s="129" t="n"/>
      <c r="J589" s="128" t="n"/>
      <c r="K589" s="130" t="n"/>
      <c r="L589" s="130" t="n"/>
      <c r="M589" s="128" t="n"/>
      <c r="N589" s="129" t="n"/>
    </row>
    <row r="590" ht="15" customHeight="1" s="75">
      <c r="A590" s="124" t="n"/>
      <c r="B590" s="125" t="n"/>
      <c r="C590" s="126" t="n"/>
      <c r="D590" s="127" t="n"/>
      <c r="E590" s="127" t="n"/>
      <c r="F590" s="128" t="n"/>
      <c r="G590" s="128" t="n"/>
      <c r="H590" s="129" t="n"/>
      <c r="I590" s="129" t="n"/>
      <c r="J590" s="128" t="n"/>
      <c r="K590" s="130" t="n"/>
      <c r="L590" s="130" t="n"/>
      <c r="M590" s="128" t="n"/>
      <c r="N590" s="129" t="n"/>
    </row>
    <row r="591" ht="15" customHeight="1" s="75">
      <c r="A591" s="124" t="n"/>
      <c r="B591" s="125" t="n"/>
      <c r="C591" s="126" t="n"/>
      <c r="D591" s="127" t="n"/>
      <c r="E591" s="127" t="n"/>
      <c r="F591" s="128" t="n"/>
      <c r="G591" s="128" t="n"/>
      <c r="H591" s="129" t="n"/>
      <c r="I591" s="129" t="n"/>
      <c r="J591" s="128" t="n"/>
      <c r="K591" s="130" t="n"/>
      <c r="L591" s="130" t="n"/>
      <c r="M591" s="128" t="n"/>
      <c r="N591" s="129" t="n"/>
    </row>
    <row r="592" ht="15" customHeight="1" s="75">
      <c r="A592" s="124" t="n"/>
      <c r="B592" s="125" t="n"/>
      <c r="C592" s="126" t="n"/>
      <c r="D592" s="127" t="n"/>
      <c r="E592" s="127" t="n"/>
      <c r="F592" s="128" t="n"/>
      <c r="G592" s="128" t="n"/>
      <c r="H592" s="129" t="n"/>
      <c r="I592" s="129" t="n"/>
      <c r="J592" s="128" t="n"/>
      <c r="K592" s="130" t="n"/>
      <c r="L592" s="130" t="n"/>
      <c r="M592" s="128" t="n"/>
      <c r="N592" s="129" t="n"/>
    </row>
    <row r="593" ht="15" customHeight="1" s="75">
      <c r="A593" s="124" t="n"/>
      <c r="B593" s="125" t="n"/>
      <c r="C593" s="126" t="n"/>
      <c r="D593" s="127" t="n"/>
      <c r="E593" s="127" t="n"/>
      <c r="F593" s="128" t="n"/>
      <c r="G593" s="128" t="n"/>
      <c r="H593" s="129" t="n"/>
      <c r="I593" s="129" t="n"/>
      <c r="J593" s="128" t="n"/>
      <c r="K593" s="130" t="n"/>
      <c r="L593" s="130" t="n"/>
      <c r="M593" s="128" t="n"/>
      <c r="N593" s="129" t="n"/>
    </row>
    <row r="594" ht="15" customHeight="1" s="75">
      <c r="A594" s="124" t="n"/>
      <c r="B594" s="125" t="n"/>
      <c r="C594" s="126" t="n"/>
      <c r="D594" s="127" t="n"/>
      <c r="E594" s="127" t="n"/>
      <c r="F594" s="128" t="n"/>
      <c r="G594" s="128" t="n"/>
      <c r="H594" s="129" t="n"/>
      <c r="I594" s="129" t="n"/>
      <c r="J594" s="128" t="n"/>
      <c r="K594" s="130" t="n"/>
      <c r="L594" s="130" t="n"/>
      <c r="M594" s="128" t="n"/>
      <c r="N594" s="129" t="n"/>
    </row>
    <row r="595" ht="15" customHeight="1" s="75">
      <c r="A595" s="124" t="n"/>
      <c r="B595" s="125" t="n"/>
      <c r="C595" s="126" t="n"/>
      <c r="D595" s="127" t="n"/>
      <c r="E595" s="127" t="n"/>
      <c r="F595" s="128" t="n"/>
      <c r="G595" s="128" t="n"/>
      <c r="H595" s="129" t="n"/>
      <c r="I595" s="129" t="n"/>
      <c r="J595" s="128" t="n"/>
      <c r="K595" s="130" t="n"/>
      <c r="L595" s="130" t="n"/>
      <c r="M595" s="128" t="n"/>
      <c r="N595" s="129" t="n"/>
    </row>
    <row r="596" ht="15" customHeight="1" s="75">
      <c r="A596" s="124" t="n"/>
      <c r="B596" s="125" t="n"/>
      <c r="C596" s="126" t="n"/>
      <c r="D596" s="127" t="n"/>
      <c r="E596" s="127" t="n"/>
      <c r="F596" s="128" t="n"/>
      <c r="G596" s="128" t="n"/>
      <c r="H596" s="129" t="n"/>
      <c r="I596" s="129" t="n"/>
      <c r="J596" s="128" t="n"/>
      <c r="K596" s="130" t="n"/>
      <c r="L596" s="130" t="n"/>
      <c r="M596" s="128" t="n"/>
      <c r="N596" s="129" t="n"/>
    </row>
    <row r="597" ht="15" customHeight="1" s="75">
      <c r="A597" s="124" t="n"/>
      <c r="B597" s="125" t="n"/>
      <c r="C597" s="126" t="n"/>
      <c r="D597" s="127" t="n"/>
      <c r="E597" s="127" t="n"/>
      <c r="F597" s="128" t="n"/>
      <c r="G597" s="128" t="n"/>
      <c r="H597" s="129" t="n"/>
      <c r="I597" s="129" t="n"/>
      <c r="J597" s="128" t="n"/>
      <c r="K597" s="130" t="n"/>
      <c r="L597" s="130" t="n"/>
      <c r="M597" s="128" t="n"/>
      <c r="N597" s="129" t="n"/>
    </row>
    <row r="598" ht="15" customHeight="1" s="75">
      <c r="A598" s="124" t="n"/>
      <c r="B598" s="125" t="n"/>
      <c r="C598" s="126" t="n"/>
      <c r="D598" s="127" t="n"/>
      <c r="E598" s="127" t="n"/>
      <c r="F598" s="128" t="n"/>
      <c r="G598" s="128" t="n"/>
      <c r="H598" s="129" t="n"/>
      <c r="I598" s="129" t="n"/>
      <c r="J598" s="128" t="n"/>
      <c r="K598" s="130" t="n"/>
      <c r="L598" s="130" t="n"/>
      <c r="M598" s="128" t="n"/>
      <c r="N598" s="129" t="n"/>
    </row>
    <row r="599" ht="15" customHeight="1" s="75">
      <c r="A599" s="124" t="n"/>
      <c r="B599" s="125" t="n"/>
      <c r="C599" s="126" t="n"/>
      <c r="D599" s="127" t="n"/>
      <c r="E599" s="127" t="n"/>
      <c r="F599" s="128" t="n"/>
      <c r="G599" s="128" t="n"/>
      <c r="H599" s="129" t="n"/>
      <c r="I599" s="129" t="n"/>
      <c r="J599" s="128" t="n"/>
      <c r="K599" s="130" t="n"/>
      <c r="L599" s="130" t="n"/>
      <c r="M599" s="128" t="n"/>
      <c r="N599" s="129" t="n"/>
    </row>
    <row r="600" ht="15" customHeight="1" s="75">
      <c r="A600" s="124" t="n"/>
      <c r="B600" s="125" t="n"/>
      <c r="C600" s="126" t="n"/>
      <c r="D600" s="127" t="n"/>
      <c r="E600" s="127" t="n"/>
      <c r="F600" s="128" t="n"/>
      <c r="G600" s="128" t="n"/>
      <c r="H600" s="129" t="n"/>
      <c r="I600" s="129" t="n"/>
      <c r="J600" s="128" t="n"/>
      <c r="K600" s="130" t="n"/>
      <c r="L600" s="130" t="n"/>
      <c r="M600" s="128" t="n"/>
      <c r="N600" s="129" t="n"/>
    </row>
    <row r="601" ht="15" customHeight="1" s="75">
      <c r="A601" s="124" t="n"/>
      <c r="B601" s="125" t="n"/>
      <c r="C601" s="126" t="n"/>
      <c r="D601" s="127" t="n"/>
      <c r="E601" s="127" t="n"/>
      <c r="F601" s="128" t="n"/>
      <c r="G601" s="128" t="n"/>
      <c r="H601" s="129" t="n"/>
      <c r="I601" s="129" t="n"/>
      <c r="J601" s="128" t="n"/>
      <c r="K601" s="130" t="n"/>
      <c r="L601" s="130" t="n"/>
      <c r="M601" s="128" t="n"/>
      <c r="N601" s="129" t="n"/>
    </row>
    <row r="602" ht="15" customHeight="1" s="75">
      <c r="A602" s="124" t="n"/>
      <c r="B602" s="125" t="n"/>
      <c r="C602" s="126" t="n"/>
      <c r="D602" s="127" t="n"/>
      <c r="E602" s="127" t="n"/>
      <c r="F602" s="128" t="n"/>
      <c r="G602" s="128" t="n"/>
      <c r="H602" s="129" t="n"/>
      <c r="I602" s="129" t="n"/>
      <c r="J602" s="128" t="n"/>
      <c r="K602" s="130" t="n"/>
      <c r="L602" s="130" t="n"/>
      <c r="M602" s="128" t="n"/>
      <c r="N602" s="129" t="n"/>
    </row>
    <row r="603" ht="15" customHeight="1" s="75">
      <c r="A603" s="124" t="n"/>
      <c r="B603" s="125" t="n"/>
      <c r="C603" s="126" t="n"/>
      <c r="D603" s="127" t="n"/>
      <c r="E603" s="127" t="n"/>
      <c r="F603" s="128" t="n"/>
      <c r="G603" s="128" t="n"/>
      <c r="H603" s="129" t="n"/>
      <c r="I603" s="129" t="n"/>
      <c r="J603" s="128" t="n"/>
      <c r="K603" s="130" t="n"/>
      <c r="L603" s="130" t="n"/>
      <c r="M603" s="128" t="n"/>
      <c r="N603" s="129" t="n"/>
    </row>
    <row r="604" ht="15" customHeight="1" s="75">
      <c r="A604" s="124" t="n"/>
      <c r="B604" s="125" t="n"/>
      <c r="C604" s="126" t="n"/>
      <c r="D604" s="127" t="n"/>
      <c r="E604" s="127" t="n"/>
      <c r="F604" s="128" t="n"/>
      <c r="G604" s="128" t="n"/>
      <c r="H604" s="129" t="n"/>
      <c r="I604" s="129" t="n"/>
      <c r="J604" s="128" t="n"/>
      <c r="K604" s="130" t="n"/>
      <c r="L604" s="130" t="n"/>
      <c r="M604" s="128" t="n"/>
      <c r="N604" s="129" t="n"/>
    </row>
    <row r="605" ht="15" customHeight="1" s="75">
      <c r="A605" s="124" t="n"/>
      <c r="B605" s="125" t="n"/>
      <c r="C605" s="126" t="n"/>
      <c r="D605" s="127" t="n"/>
      <c r="E605" s="127" t="n"/>
      <c r="F605" s="128" t="n"/>
      <c r="G605" s="128" t="n"/>
      <c r="H605" s="129" t="n"/>
      <c r="I605" s="129" t="n"/>
      <c r="J605" s="128" t="n"/>
      <c r="K605" s="130" t="n"/>
      <c r="L605" s="130" t="n"/>
      <c r="M605" s="128" t="n"/>
      <c r="N605" s="129" t="n"/>
    </row>
    <row r="606" ht="15" customHeight="1" s="75">
      <c r="A606" s="124" t="n"/>
      <c r="B606" s="125" t="n"/>
      <c r="C606" s="126" t="n"/>
      <c r="D606" s="127" t="n"/>
      <c r="E606" s="127" t="n"/>
      <c r="F606" s="128" t="n"/>
      <c r="G606" s="128" t="n"/>
      <c r="H606" s="129" t="n"/>
      <c r="I606" s="129" t="n"/>
      <c r="J606" s="128" t="n"/>
      <c r="K606" s="130" t="n"/>
      <c r="L606" s="130" t="n"/>
      <c r="M606" s="128" t="n"/>
      <c r="N606" s="129" t="n"/>
    </row>
    <row r="607" ht="15" customHeight="1" s="75">
      <c r="A607" s="124" t="n"/>
      <c r="B607" s="125" t="n"/>
      <c r="C607" s="126" t="n"/>
      <c r="D607" s="127" t="n"/>
      <c r="E607" s="127" t="n"/>
      <c r="F607" s="128" t="n"/>
      <c r="G607" s="128" t="n"/>
      <c r="H607" s="129" t="n"/>
      <c r="I607" s="129" t="n"/>
      <c r="J607" s="128" t="n"/>
      <c r="K607" s="130" t="n"/>
      <c r="L607" s="130" t="n"/>
      <c r="M607" s="128" t="n"/>
      <c r="N607" s="129" t="n"/>
    </row>
    <row r="608" ht="15" customHeight="1" s="75">
      <c r="A608" s="124" t="n"/>
      <c r="B608" s="125" t="n"/>
      <c r="C608" s="126" t="n"/>
      <c r="D608" s="127" t="n"/>
      <c r="E608" s="127" t="n"/>
      <c r="F608" s="128" t="n"/>
      <c r="G608" s="128" t="n"/>
      <c r="H608" s="129" t="n"/>
      <c r="I608" s="129" t="n"/>
      <c r="J608" s="128" t="n"/>
      <c r="K608" s="130" t="n"/>
      <c r="L608" s="130" t="n"/>
      <c r="M608" s="128" t="n"/>
      <c r="N608" s="129" t="n"/>
    </row>
    <row r="609" ht="15" customHeight="1" s="75">
      <c r="A609" s="124" t="n"/>
      <c r="B609" s="125" t="n"/>
      <c r="C609" s="126" t="n"/>
      <c r="D609" s="127" t="n"/>
      <c r="E609" s="127" t="n"/>
      <c r="F609" s="128" t="n"/>
      <c r="G609" s="128" t="n"/>
      <c r="H609" s="129" t="n"/>
      <c r="I609" s="129" t="n"/>
      <c r="J609" s="128" t="n"/>
      <c r="K609" s="130" t="n"/>
      <c r="L609" s="130" t="n"/>
      <c r="M609" s="128" t="n"/>
      <c r="N609" s="129" t="n"/>
    </row>
    <row r="610" ht="15" customHeight="1" s="75">
      <c r="A610" s="124" t="n"/>
      <c r="B610" s="125" t="n"/>
      <c r="C610" s="126" t="n"/>
      <c r="D610" s="127" t="n"/>
      <c r="E610" s="127" t="n"/>
      <c r="F610" s="128" t="n"/>
      <c r="G610" s="128" t="n"/>
      <c r="H610" s="129" t="n"/>
      <c r="I610" s="129" t="n"/>
      <c r="J610" s="128" t="n"/>
      <c r="K610" s="130" t="n"/>
      <c r="L610" s="130" t="n"/>
      <c r="M610" s="128" t="n"/>
      <c r="N610" s="129" t="n"/>
    </row>
    <row r="611" ht="15" customHeight="1" s="75">
      <c r="A611" s="124" t="n"/>
      <c r="B611" s="125" t="n"/>
      <c r="C611" s="126" t="n"/>
      <c r="D611" s="127" t="n"/>
      <c r="E611" s="127" t="n"/>
      <c r="F611" s="128" t="n"/>
      <c r="G611" s="128" t="n"/>
      <c r="H611" s="129" t="n"/>
      <c r="I611" s="129" t="n"/>
      <c r="J611" s="128" t="n"/>
      <c r="K611" s="130" t="n"/>
      <c r="L611" s="130" t="n"/>
      <c r="M611" s="128" t="n"/>
      <c r="N611" s="129" t="n"/>
    </row>
    <row r="612" ht="15" customHeight="1" s="75">
      <c r="A612" s="124" t="n"/>
      <c r="B612" s="125" t="n"/>
      <c r="C612" s="126" t="n"/>
      <c r="D612" s="127" t="n"/>
      <c r="E612" s="127" t="n"/>
      <c r="F612" s="128" t="n"/>
      <c r="G612" s="128" t="n"/>
      <c r="H612" s="129" t="n"/>
      <c r="I612" s="129" t="n"/>
      <c r="J612" s="128" t="n"/>
      <c r="K612" s="130" t="n"/>
      <c r="L612" s="130" t="n"/>
      <c r="M612" s="128" t="n"/>
      <c r="N612" s="129" t="n"/>
    </row>
    <row r="613" ht="15" customHeight="1" s="75">
      <c r="A613" s="124" t="n"/>
      <c r="B613" s="125" t="n"/>
      <c r="C613" s="126" t="n"/>
      <c r="D613" s="127" t="n"/>
      <c r="E613" s="127" t="n"/>
      <c r="F613" s="128" t="n"/>
      <c r="G613" s="128" t="n"/>
      <c r="H613" s="129" t="n"/>
      <c r="I613" s="129" t="n"/>
      <c r="J613" s="128" t="n"/>
      <c r="K613" s="130" t="n"/>
      <c r="L613" s="130" t="n"/>
      <c r="M613" s="128" t="n"/>
      <c r="N613" s="129" t="n"/>
    </row>
    <row r="614" ht="15" customHeight="1" s="75">
      <c r="A614" s="124" t="n"/>
      <c r="B614" s="125" t="n"/>
      <c r="C614" s="126" t="n"/>
      <c r="D614" s="127" t="n"/>
      <c r="E614" s="127" t="n"/>
      <c r="F614" s="128" t="n"/>
      <c r="G614" s="128" t="n"/>
      <c r="H614" s="129" t="n"/>
      <c r="I614" s="129" t="n"/>
      <c r="J614" s="128" t="n"/>
      <c r="K614" s="130" t="n"/>
      <c r="L614" s="130" t="n"/>
      <c r="M614" s="128" t="n"/>
      <c r="N614" s="129" t="n"/>
    </row>
    <row r="615" ht="15" customHeight="1" s="75">
      <c r="A615" s="124" t="n"/>
      <c r="B615" s="125" t="n"/>
      <c r="C615" s="126" t="n"/>
      <c r="D615" s="127" t="n"/>
      <c r="E615" s="127" t="n"/>
      <c r="F615" s="128" t="n"/>
      <c r="G615" s="128" t="n"/>
      <c r="H615" s="129" t="n"/>
      <c r="I615" s="129" t="n"/>
      <c r="J615" s="128" t="n"/>
      <c r="K615" s="130" t="n"/>
      <c r="L615" s="130" t="n"/>
      <c r="M615" s="128" t="n"/>
      <c r="N615" s="129" t="n"/>
    </row>
    <row r="616" ht="15" customHeight="1" s="75">
      <c r="A616" s="124" t="n"/>
      <c r="B616" s="125" t="n"/>
      <c r="C616" s="126" t="n"/>
      <c r="D616" s="127" t="n"/>
      <c r="E616" s="127" t="n"/>
      <c r="F616" s="128" t="n"/>
      <c r="G616" s="128" t="n"/>
      <c r="H616" s="129" t="n"/>
      <c r="I616" s="129" t="n"/>
      <c r="J616" s="128" t="n"/>
      <c r="K616" s="130" t="n"/>
      <c r="L616" s="130" t="n"/>
      <c r="M616" s="128" t="n"/>
      <c r="N616" s="129" t="n"/>
    </row>
    <row r="617" ht="15" customHeight="1" s="75">
      <c r="A617" s="124" t="n"/>
      <c r="B617" s="125" t="n"/>
      <c r="C617" s="126" t="n"/>
      <c r="D617" s="127" t="n"/>
      <c r="E617" s="127" t="n"/>
      <c r="F617" s="128" t="n"/>
      <c r="G617" s="128" t="n"/>
      <c r="H617" s="129" t="n"/>
      <c r="I617" s="129" t="n"/>
      <c r="J617" s="128" t="n"/>
      <c r="K617" s="130" t="n"/>
      <c r="L617" s="130" t="n"/>
      <c r="M617" s="128" t="n"/>
      <c r="N617" s="129" t="n"/>
    </row>
    <row r="618" ht="15" customHeight="1" s="75">
      <c r="A618" s="124" t="n"/>
      <c r="B618" s="125" t="n"/>
      <c r="C618" s="126" t="n"/>
      <c r="D618" s="127" t="n"/>
      <c r="E618" s="127" t="n"/>
      <c r="F618" s="128" t="n"/>
      <c r="G618" s="128" t="n"/>
      <c r="H618" s="129" t="n"/>
      <c r="I618" s="129" t="n"/>
      <c r="J618" s="128" t="n"/>
      <c r="K618" s="130" t="n"/>
      <c r="L618" s="130" t="n"/>
      <c r="M618" s="128" t="n"/>
      <c r="N618" s="129" t="n"/>
    </row>
    <row r="619" ht="15" customHeight="1" s="75">
      <c r="A619" s="124" t="n"/>
      <c r="B619" s="125" t="n"/>
      <c r="C619" s="126" t="n"/>
      <c r="D619" s="127" t="n"/>
      <c r="E619" s="127" t="n"/>
      <c r="F619" s="128" t="n"/>
      <c r="G619" s="128" t="n"/>
      <c r="H619" s="129" t="n"/>
      <c r="I619" s="129" t="n"/>
      <c r="J619" s="128" t="n"/>
      <c r="K619" s="130" t="n"/>
      <c r="L619" s="130" t="n"/>
      <c r="M619" s="128" t="n"/>
      <c r="N619" s="129" t="n"/>
    </row>
    <row r="620" ht="15" customHeight="1" s="75">
      <c r="A620" s="124" t="n"/>
      <c r="B620" s="125" t="n"/>
      <c r="C620" s="126" t="n"/>
      <c r="D620" s="127" t="n"/>
      <c r="E620" s="127" t="n"/>
      <c r="F620" s="128" t="n"/>
      <c r="G620" s="128" t="n"/>
      <c r="H620" s="129" t="n"/>
      <c r="I620" s="129" t="n"/>
      <c r="J620" s="128" t="n"/>
      <c r="K620" s="130" t="n"/>
      <c r="L620" s="130" t="n"/>
      <c r="M620" s="128" t="n"/>
      <c r="N620" s="129" t="n"/>
    </row>
    <row r="621" ht="15" customHeight="1" s="75">
      <c r="A621" s="124" t="n"/>
      <c r="B621" s="125" t="n"/>
      <c r="C621" s="126" t="n"/>
      <c r="D621" s="127" t="n"/>
      <c r="E621" s="127" t="n"/>
      <c r="F621" s="128" t="n"/>
      <c r="G621" s="128" t="n"/>
      <c r="H621" s="129" t="n"/>
      <c r="I621" s="129" t="n"/>
      <c r="J621" s="128" t="n"/>
      <c r="K621" s="130" t="n"/>
      <c r="L621" s="130" t="n"/>
      <c r="M621" s="128" t="n"/>
      <c r="N621" s="129" t="n"/>
    </row>
    <row r="622" ht="15" customHeight="1" s="75">
      <c r="A622" s="124" t="n"/>
      <c r="B622" s="125" t="n"/>
      <c r="C622" s="126" t="n"/>
      <c r="D622" s="127" t="n"/>
      <c r="E622" s="127" t="n"/>
      <c r="F622" s="128" t="n"/>
      <c r="G622" s="128" t="n"/>
      <c r="H622" s="129" t="n"/>
      <c r="I622" s="129" t="n"/>
      <c r="J622" s="128" t="n"/>
      <c r="K622" s="130" t="n"/>
      <c r="L622" s="130" t="n"/>
      <c r="M622" s="128" t="n"/>
      <c r="N622" s="129" t="n"/>
    </row>
    <row r="623" ht="15" customHeight="1" s="75">
      <c r="A623" s="124" t="n"/>
      <c r="B623" s="125" t="n"/>
      <c r="C623" s="126" t="n"/>
      <c r="D623" s="127" t="n"/>
      <c r="E623" s="127" t="n"/>
      <c r="F623" s="128" t="n"/>
      <c r="G623" s="128" t="n"/>
      <c r="H623" s="129" t="n"/>
      <c r="I623" s="129" t="n"/>
      <c r="J623" s="128" t="n"/>
      <c r="K623" s="130" t="n"/>
      <c r="L623" s="130" t="n"/>
      <c r="M623" s="128" t="n"/>
      <c r="N623" s="129" t="n"/>
    </row>
    <row r="624" ht="15" customHeight="1" s="75">
      <c r="A624" s="124" t="n"/>
      <c r="B624" s="125" t="n"/>
      <c r="C624" s="126" t="n"/>
      <c r="D624" s="127" t="n"/>
      <c r="E624" s="127" t="n"/>
      <c r="F624" s="128" t="n"/>
      <c r="G624" s="128" t="n"/>
      <c r="H624" s="129" t="n"/>
      <c r="I624" s="129" t="n"/>
      <c r="J624" s="128" t="n"/>
      <c r="K624" s="130" t="n"/>
      <c r="L624" s="130" t="n"/>
      <c r="M624" s="128" t="n"/>
      <c r="N624" s="129" t="n"/>
    </row>
    <row r="625" ht="15" customHeight="1" s="75">
      <c r="A625" s="124" t="n"/>
      <c r="B625" s="125" t="n"/>
      <c r="C625" s="126" t="n"/>
      <c r="D625" s="127" t="n"/>
      <c r="E625" s="127" t="n"/>
      <c r="F625" s="128" t="n"/>
      <c r="G625" s="128" t="n"/>
      <c r="H625" s="129" t="n"/>
      <c r="I625" s="129" t="n"/>
      <c r="J625" s="128" t="n"/>
      <c r="K625" s="130" t="n"/>
      <c r="L625" s="130" t="n"/>
      <c r="M625" s="128" t="n"/>
      <c r="N625" s="129" t="n"/>
    </row>
    <row r="626" ht="15" customHeight="1" s="75">
      <c r="A626" s="124" t="n"/>
      <c r="B626" s="125" t="n"/>
      <c r="C626" s="126" t="n"/>
      <c r="D626" s="127" t="n"/>
      <c r="E626" s="127" t="n"/>
      <c r="F626" s="128" t="n"/>
      <c r="G626" s="128" t="n"/>
      <c r="H626" s="129" t="n"/>
      <c r="I626" s="129" t="n"/>
      <c r="J626" s="128" t="n"/>
      <c r="K626" s="130" t="n"/>
      <c r="L626" s="130" t="n"/>
      <c r="M626" s="128" t="n"/>
      <c r="N626" s="129" t="n"/>
    </row>
    <row r="627" ht="15" customHeight="1" s="75">
      <c r="A627" s="124" t="n"/>
      <c r="B627" s="125" t="n"/>
      <c r="C627" s="126" t="n"/>
      <c r="D627" s="127" t="n"/>
      <c r="E627" s="127" t="n"/>
      <c r="F627" s="128" t="n"/>
      <c r="G627" s="128" t="n"/>
      <c r="H627" s="129" t="n"/>
      <c r="I627" s="129" t="n"/>
      <c r="J627" s="128" t="n"/>
      <c r="K627" s="130" t="n"/>
      <c r="L627" s="130" t="n"/>
      <c r="M627" s="128" t="n"/>
      <c r="N627" s="129" t="n"/>
    </row>
    <row r="628" ht="15" customHeight="1" s="75">
      <c r="A628" s="124" t="n"/>
      <c r="B628" s="125" t="n"/>
      <c r="C628" s="126" t="n"/>
      <c r="D628" s="127" t="n"/>
      <c r="E628" s="127" t="n"/>
      <c r="F628" s="128" t="n"/>
      <c r="G628" s="128" t="n"/>
      <c r="H628" s="129" t="n"/>
      <c r="I628" s="129" t="n"/>
      <c r="J628" s="128" t="n"/>
      <c r="K628" s="130" t="n"/>
      <c r="L628" s="130" t="n"/>
      <c r="M628" s="128" t="n"/>
      <c r="N628" s="129" t="n"/>
    </row>
    <row r="629" ht="15" customHeight="1" s="75">
      <c r="A629" s="124" t="n"/>
      <c r="B629" s="125" t="n"/>
      <c r="C629" s="126" t="n"/>
      <c r="D629" s="127" t="n"/>
      <c r="E629" s="127" t="n"/>
      <c r="F629" s="128" t="n"/>
      <c r="G629" s="128" t="n"/>
      <c r="H629" s="129" t="n"/>
      <c r="I629" s="129" t="n"/>
      <c r="J629" s="128" t="n"/>
      <c r="K629" s="130" t="n"/>
      <c r="L629" s="130" t="n"/>
      <c r="M629" s="128" t="n"/>
      <c r="N629" s="129" t="n"/>
    </row>
    <row r="630" ht="15" customHeight="1" s="75">
      <c r="A630" s="124" t="n"/>
      <c r="B630" s="125" t="n"/>
      <c r="C630" s="126" t="n"/>
      <c r="D630" s="127" t="n"/>
      <c r="E630" s="127" t="n"/>
      <c r="F630" s="128" t="n"/>
      <c r="G630" s="128" t="n"/>
      <c r="H630" s="129" t="n"/>
      <c r="I630" s="129" t="n"/>
      <c r="J630" s="128" t="n"/>
      <c r="K630" s="130" t="n"/>
      <c r="L630" s="130" t="n"/>
      <c r="M630" s="128" t="n"/>
      <c r="N630" s="129" t="n"/>
    </row>
    <row r="631" ht="15" customHeight="1" s="75">
      <c r="A631" s="124" t="n"/>
      <c r="B631" s="125" t="n"/>
      <c r="C631" s="126" t="n"/>
      <c r="D631" s="127" t="n"/>
      <c r="E631" s="127" t="n"/>
      <c r="F631" s="128" t="n"/>
      <c r="G631" s="128" t="n"/>
      <c r="H631" s="129" t="n"/>
      <c r="I631" s="129" t="n"/>
      <c r="J631" s="128" t="n"/>
      <c r="K631" s="130" t="n"/>
      <c r="L631" s="130" t="n"/>
      <c r="M631" s="128" t="n"/>
      <c r="N631" s="129" t="n"/>
    </row>
    <row r="632" ht="15" customHeight="1" s="75">
      <c r="A632" s="124" t="n"/>
      <c r="B632" s="125" t="n"/>
      <c r="C632" s="126" t="n"/>
      <c r="D632" s="127" t="n"/>
      <c r="E632" s="127" t="n"/>
      <c r="F632" s="128" t="n"/>
      <c r="G632" s="128" t="n"/>
      <c r="H632" s="129" t="n"/>
      <c r="I632" s="129" t="n"/>
      <c r="J632" s="128" t="n"/>
      <c r="K632" s="130" t="n"/>
      <c r="L632" s="130" t="n"/>
      <c r="M632" s="128" t="n"/>
      <c r="N632" s="129" t="n"/>
    </row>
    <row r="633" ht="15" customHeight="1" s="75">
      <c r="A633" s="124" t="n"/>
      <c r="B633" s="125" t="n"/>
      <c r="C633" s="126" t="n"/>
      <c r="D633" s="127" t="n"/>
      <c r="E633" s="127" t="n"/>
      <c r="F633" s="128" t="n"/>
      <c r="G633" s="128" t="n"/>
      <c r="H633" s="129" t="n"/>
      <c r="I633" s="129" t="n"/>
      <c r="J633" s="128" t="n"/>
      <c r="K633" s="130" t="n"/>
      <c r="L633" s="130" t="n"/>
      <c r="M633" s="128" t="n"/>
      <c r="N633" s="129" t="n"/>
    </row>
    <row r="634" ht="15" customHeight="1" s="75">
      <c r="A634" s="124" t="n"/>
      <c r="B634" s="125" t="n"/>
      <c r="C634" s="126" t="n"/>
      <c r="D634" s="127" t="n"/>
      <c r="E634" s="127" t="n"/>
      <c r="F634" s="128" t="n"/>
      <c r="G634" s="128" t="n"/>
      <c r="H634" s="129" t="n"/>
      <c r="I634" s="129" t="n"/>
      <c r="J634" s="128" t="n"/>
      <c r="K634" s="130" t="n"/>
      <c r="L634" s="130" t="n"/>
      <c r="M634" s="128" t="n"/>
      <c r="N634" s="129" t="n"/>
    </row>
    <row r="635" ht="15" customHeight="1" s="75">
      <c r="A635" s="124" t="n"/>
      <c r="B635" s="125" t="n"/>
      <c r="C635" s="126" t="n"/>
      <c r="D635" s="127" t="n"/>
      <c r="E635" s="127" t="n"/>
      <c r="F635" s="128" t="n"/>
      <c r="G635" s="128" t="n"/>
      <c r="H635" s="129" t="n"/>
      <c r="I635" s="129" t="n"/>
      <c r="J635" s="128" t="n"/>
      <c r="K635" s="130" t="n"/>
      <c r="L635" s="130" t="n"/>
      <c r="M635" s="128" t="n"/>
      <c r="N635" s="129" t="n"/>
    </row>
    <row r="636" ht="15" customHeight="1" s="75">
      <c r="A636" s="124" t="n"/>
      <c r="B636" s="125" t="n"/>
      <c r="C636" s="126" t="n"/>
      <c r="D636" s="127" t="n"/>
      <c r="E636" s="127" t="n"/>
      <c r="F636" s="128" t="n"/>
      <c r="G636" s="128" t="n"/>
      <c r="H636" s="129" t="n"/>
      <c r="I636" s="129" t="n"/>
      <c r="J636" s="128" t="n"/>
      <c r="K636" s="130" t="n"/>
      <c r="L636" s="130" t="n"/>
      <c r="M636" s="128" t="n"/>
      <c r="N636" s="129" t="n"/>
    </row>
    <row r="637" ht="15" customHeight="1" s="75">
      <c r="A637" s="124" t="n"/>
      <c r="B637" s="125" t="n"/>
      <c r="C637" s="126" t="n"/>
      <c r="D637" s="127" t="n"/>
      <c r="E637" s="127" t="n"/>
      <c r="F637" s="128" t="n"/>
      <c r="G637" s="128" t="n"/>
      <c r="H637" s="129" t="n"/>
      <c r="I637" s="129" t="n"/>
      <c r="J637" s="128" t="n"/>
      <c r="K637" s="130" t="n"/>
      <c r="L637" s="130" t="n"/>
      <c r="M637" s="128" t="n"/>
      <c r="N637" s="129" t="n"/>
    </row>
    <row r="638" ht="15" customHeight="1" s="75">
      <c r="A638" s="124" t="n"/>
      <c r="B638" s="125" t="n"/>
      <c r="C638" s="126" t="n"/>
      <c r="D638" s="127" t="n"/>
      <c r="E638" s="127" t="n"/>
      <c r="F638" s="128" t="n"/>
      <c r="G638" s="128" t="n"/>
      <c r="H638" s="129" t="n"/>
      <c r="I638" s="129" t="n"/>
      <c r="J638" s="128" t="n"/>
      <c r="K638" s="130" t="n"/>
      <c r="L638" s="130" t="n"/>
      <c r="M638" s="128" t="n"/>
      <c r="N638" s="129" t="n"/>
    </row>
    <row r="639" ht="15" customHeight="1" s="75">
      <c r="A639" s="124" t="n"/>
      <c r="B639" s="125" t="n"/>
      <c r="C639" s="126" t="n"/>
      <c r="D639" s="127" t="n"/>
      <c r="E639" s="127" t="n"/>
      <c r="F639" s="128" t="n"/>
      <c r="G639" s="128" t="n"/>
      <c r="H639" s="129" t="n"/>
      <c r="I639" s="129" t="n"/>
      <c r="J639" s="128" t="n"/>
      <c r="K639" s="130" t="n"/>
      <c r="L639" s="130" t="n"/>
      <c r="M639" s="128" t="n"/>
      <c r="N639" s="129" t="n"/>
    </row>
    <row r="640" ht="15" customHeight="1" s="75">
      <c r="A640" s="124" t="n"/>
      <c r="B640" s="125" t="n"/>
      <c r="C640" s="126" t="n"/>
      <c r="D640" s="127" t="n"/>
      <c r="E640" s="127" t="n"/>
      <c r="F640" s="128" t="n"/>
      <c r="G640" s="128" t="n"/>
      <c r="H640" s="129" t="n"/>
      <c r="I640" s="129" t="n"/>
      <c r="J640" s="128" t="n"/>
      <c r="K640" s="130" t="n"/>
      <c r="L640" s="130" t="n"/>
      <c r="M640" s="128" t="n"/>
      <c r="N640" s="129" t="n"/>
    </row>
    <row r="641" ht="15" customHeight="1" s="75">
      <c r="A641" s="124" t="n"/>
      <c r="B641" s="125" t="n"/>
      <c r="C641" s="126" t="n"/>
      <c r="D641" s="127" t="n"/>
      <c r="E641" s="127" t="n"/>
      <c r="F641" s="128" t="n"/>
      <c r="G641" s="128" t="n"/>
      <c r="H641" s="129" t="n"/>
      <c r="I641" s="129" t="n"/>
      <c r="J641" s="128" t="n"/>
      <c r="K641" s="130" t="n"/>
      <c r="L641" s="130" t="n"/>
      <c r="M641" s="128" t="n"/>
      <c r="N641" s="129" t="n"/>
    </row>
    <row r="642" ht="15" customHeight="1" s="75">
      <c r="A642" s="124" t="n"/>
      <c r="B642" s="125" t="n"/>
      <c r="C642" s="126" t="n"/>
      <c r="D642" s="127" t="n"/>
      <c r="E642" s="127" t="n"/>
      <c r="F642" s="128" t="n"/>
      <c r="G642" s="128" t="n"/>
      <c r="H642" s="129" t="n"/>
      <c r="I642" s="129" t="n"/>
      <c r="J642" s="128" t="n"/>
      <c r="K642" s="130" t="n"/>
      <c r="L642" s="130" t="n"/>
      <c r="M642" s="128" t="n"/>
      <c r="N642" s="129" t="n"/>
    </row>
    <row r="643" ht="15" customHeight="1" s="75">
      <c r="A643" s="124" t="n"/>
      <c r="B643" s="125" t="n"/>
      <c r="C643" s="126" t="n"/>
      <c r="D643" s="127" t="n"/>
      <c r="E643" s="127" t="n"/>
      <c r="F643" s="128" t="n"/>
      <c r="G643" s="128" t="n"/>
      <c r="H643" s="129" t="n"/>
      <c r="I643" s="129" t="n"/>
      <c r="J643" s="128" t="n"/>
      <c r="K643" s="130" t="n"/>
      <c r="L643" s="130" t="n"/>
      <c r="M643" s="128" t="n"/>
      <c r="N643" s="129" t="n"/>
    </row>
    <row r="644" ht="15" customHeight="1" s="75">
      <c r="A644" s="124" t="n"/>
      <c r="B644" s="125" t="n"/>
      <c r="C644" s="126" t="n"/>
      <c r="D644" s="127" t="n"/>
      <c r="E644" s="127" t="n"/>
      <c r="F644" s="128" t="n"/>
      <c r="G644" s="128" t="n"/>
      <c r="H644" s="129" t="n"/>
      <c r="I644" s="129" t="n"/>
      <c r="J644" s="128" t="n"/>
      <c r="K644" s="130" t="n"/>
      <c r="L644" s="130" t="n"/>
      <c r="M644" s="128" t="n"/>
      <c r="N644" s="129" t="n"/>
    </row>
    <row r="645" ht="15" customHeight="1" s="75">
      <c r="A645" s="124" t="n"/>
      <c r="B645" s="125" t="n"/>
      <c r="C645" s="126" t="n"/>
      <c r="D645" s="127" t="n"/>
      <c r="E645" s="127" t="n"/>
      <c r="F645" s="128" t="n"/>
      <c r="G645" s="128" t="n"/>
      <c r="H645" s="129" t="n"/>
      <c r="I645" s="129" t="n"/>
      <c r="J645" s="128" t="n"/>
      <c r="K645" s="130" t="n"/>
      <c r="L645" s="130" t="n"/>
      <c r="M645" s="128" t="n"/>
      <c r="N645" s="129" t="n"/>
    </row>
    <row r="646" ht="15" customHeight="1" s="75">
      <c r="A646" s="124" t="n"/>
      <c r="B646" s="125" t="n"/>
      <c r="C646" s="126" t="n"/>
      <c r="D646" s="127" t="n"/>
      <c r="E646" s="127" t="n"/>
      <c r="F646" s="128" t="n"/>
      <c r="G646" s="128" t="n"/>
      <c r="H646" s="129" t="n"/>
      <c r="I646" s="129" t="n"/>
      <c r="J646" s="128" t="n"/>
      <c r="K646" s="130" t="n"/>
      <c r="L646" s="130" t="n"/>
      <c r="M646" s="128" t="n"/>
      <c r="N646" s="129" t="n"/>
    </row>
    <row r="647" ht="15" customHeight="1" s="75">
      <c r="A647" s="124" t="n"/>
      <c r="B647" s="125" t="n"/>
      <c r="C647" s="126" t="n"/>
      <c r="D647" s="127" t="n"/>
      <c r="E647" s="127" t="n"/>
      <c r="F647" s="128" t="n"/>
      <c r="G647" s="128" t="n"/>
      <c r="H647" s="129" t="n"/>
      <c r="I647" s="129" t="n"/>
      <c r="J647" s="128" t="n"/>
      <c r="K647" s="130" t="n"/>
      <c r="L647" s="130" t="n"/>
      <c r="M647" s="128" t="n"/>
      <c r="N647" s="129" t="n"/>
    </row>
    <row r="648" ht="15" customHeight="1" s="75">
      <c r="A648" s="124" t="n"/>
      <c r="B648" s="125" t="n"/>
      <c r="C648" s="126" t="n"/>
      <c r="D648" s="127" t="n"/>
      <c r="E648" s="127" t="n"/>
      <c r="F648" s="128" t="n"/>
      <c r="G648" s="128" t="n"/>
      <c r="H648" s="129" t="n"/>
      <c r="I648" s="129" t="n"/>
      <c r="J648" s="128" t="n"/>
      <c r="K648" s="130" t="n"/>
      <c r="L648" s="130" t="n"/>
      <c r="M648" s="128" t="n"/>
      <c r="N648" s="129" t="n"/>
    </row>
    <row r="649" ht="15" customHeight="1" s="75">
      <c r="A649" s="124" t="n"/>
      <c r="B649" s="125" t="n"/>
      <c r="C649" s="126" t="n"/>
      <c r="D649" s="127" t="n"/>
      <c r="E649" s="127" t="n"/>
      <c r="F649" s="128" t="n"/>
      <c r="G649" s="128" t="n"/>
      <c r="H649" s="129" t="n"/>
      <c r="I649" s="129" t="n"/>
      <c r="J649" s="128" t="n"/>
      <c r="K649" s="130" t="n"/>
      <c r="L649" s="130" t="n"/>
      <c r="M649" s="128" t="n"/>
      <c r="N649" s="129" t="n"/>
    </row>
    <row r="650" ht="15" customHeight="1" s="75">
      <c r="A650" s="124" t="n"/>
      <c r="B650" s="125" t="n"/>
      <c r="C650" s="126" t="n"/>
      <c r="D650" s="127" t="n"/>
      <c r="E650" s="127" t="n"/>
      <c r="F650" s="128" t="n"/>
      <c r="G650" s="128" t="n"/>
      <c r="H650" s="129" t="n"/>
      <c r="I650" s="129" t="n"/>
      <c r="J650" s="128" t="n"/>
      <c r="K650" s="130" t="n"/>
      <c r="L650" s="130" t="n"/>
      <c r="M650" s="128" t="n"/>
      <c r="N650" s="129" t="n"/>
    </row>
    <row r="651" ht="15" customHeight="1" s="75">
      <c r="A651" s="124" t="n"/>
      <c r="B651" s="125" t="n"/>
      <c r="C651" s="126" t="n"/>
      <c r="D651" s="127" t="n"/>
      <c r="E651" s="127" t="n"/>
      <c r="F651" s="128" t="n"/>
      <c r="G651" s="128" t="n"/>
      <c r="H651" s="129" t="n"/>
      <c r="I651" s="129" t="n"/>
      <c r="J651" s="128" t="n"/>
      <c r="K651" s="130" t="n"/>
      <c r="L651" s="130" t="n"/>
      <c r="M651" s="128" t="n"/>
      <c r="N651" s="129" t="n"/>
    </row>
    <row r="652" ht="15" customHeight="1" s="75">
      <c r="A652" s="124" t="n"/>
      <c r="B652" s="125" t="n"/>
      <c r="C652" s="126" t="n"/>
      <c r="D652" s="127" t="n"/>
      <c r="E652" s="127" t="n"/>
      <c r="F652" s="128" t="n"/>
      <c r="G652" s="128" t="n"/>
      <c r="H652" s="129" t="n"/>
      <c r="I652" s="129" t="n"/>
      <c r="J652" s="128" t="n"/>
      <c r="K652" s="130" t="n"/>
      <c r="L652" s="130" t="n"/>
      <c r="M652" s="128" t="n"/>
      <c r="N652" s="129" t="n"/>
    </row>
    <row r="653" ht="15" customHeight="1" s="75">
      <c r="A653" s="124" t="n"/>
      <c r="B653" s="125" t="n"/>
      <c r="C653" s="126" t="n"/>
      <c r="D653" s="127" t="n"/>
      <c r="E653" s="127" t="n"/>
      <c r="F653" s="128" t="n"/>
      <c r="G653" s="128" t="n"/>
      <c r="H653" s="129" t="n"/>
      <c r="I653" s="129" t="n"/>
      <c r="J653" s="128" t="n"/>
      <c r="K653" s="130" t="n"/>
      <c r="L653" s="130" t="n"/>
      <c r="M653" s="128" t="n"/>
      <c r="N653" s="129" t="n"/>
    </row>
    <row r="654" ht="15" customHeight="1" s="75">
      <c r="A654" s="124" t="n"/>
      <c r="B654" s="125" t="n"/>
      <c r="C654" s="126" t="n"/>
      <c r="D654" s="127" t="n"/>
      <c r="E654" s="127" t="n"/>
      <c r="F654" s="128" t="n"/>
      <c r="G654" s="128" t="n"/>
      <c r="H654" s="129" t="n"/>
      <c r="I654" s="129" t="n"/>
      <c r="J654" s="128" t="n"/>
      <c r="K654" s="130" t="n"/>
      <c r="L654" s="130" t="n"/>
      <c r="M654" s="128" t="n"/>
      <c r="N654" s="129" t="n"/>
    </row>
    <row r="655" ht="15" customHeight="1" s="75">
      <c r="A655" s="124" t="n"/>
      <c r="B655" s="125" t="n"/>
      <c r="C655" s="126" t="n"/>
      <c r="D655" s="127" t="n"/>
      <c r="E655" s="127" t="n"/>
      <c r="F655" s="128" t="n"/>
      <c r="G655" s="128" t="n"/>
      <c r="H655" s="129" t="n"/>
      <c r="I655" s="129" t="n"/>
      <c r="J655" s="128" t="n"/>
      <c r="K655" s="130" t="n"/>
      <c r="L655" s="130" t="n"/>
      <c r="M655" s="128" t="n"/>
      <c r="N655" s="129" t="n"/>
    </row>
    <row r="656" ht="15" customHeight="1" s="75">
      <c r="A656" s="124" t="n"/>
      <c r="B656" s="125" t="n"/>
      <c r="C656" s="126" t="n"/>
      <c r="D656" s="127" t="n"/>
      <c r="E656" s="127" t="n"/>
      <c r="F656" s="128" t="n"/>
      <c r="G656" s="128" t="n"/>
      <c r="H656" s="129" t="n"/>
      <c r="I656" s="129" t="n"/>
      <c r="J656" s="128" t="n"/>
      <c r="K656" s="130" t="n"/>
      <c r="L656" s="130" t="n"/>
      <c r="M656" s="128" t="n"/>
      <c r="N656" s="129" t="n"/>
    </row>
    <row r="657" ht="15" customHeight="1" s="75">
      <c r="A657" s="124" t="n"/>
      <c r="B657" s="125" t="n"/>
      <c r="C657" s="126" t="n"/>
      <c r="D657" s="127" t="n"/>
      <c r="E657" s="127" t="n"/>
      <c r="F657" s="128" t="n"/>
      <c r="G657" s="128" t="n"/>
      <c r="H657" s="129" t="n"/>
      <c r="I657" s="129" t="n"/>
      <c r="J657" s="128" t="n"/>
      <c r="K657" s="130" t="n"/>
      <c r="L657" s="130" t="n"/>
      <c r="M657" s="128" t="n"/>
      <c r="N657" s="129" t="n"/>
    </row>
    <row r="658" ht="15" customHeight="1" s="75">
      <c r="A658" s="124" t="n"/>
      <c r="B658" s="125" t="n"/>
      <c r="C658" s="126" t="n"/>
      <c r="D658" s="127" t="n"/>
      <c r="E658" s="127" t="n"/>
      <c r="F658" s="128" t="n"/>
      <c r="G658" s="128" t="n"/>
      <c r="H658" s="129" t="n"/>
      <c r="I658" s="129" t="n"/>
      <c r="J658" s="128" t="n"/>
      <c r="K658" s="130" t="n"/>
      <c r="L658" s="130" t="n"/>
      <c r="M658" s="128" t="n"/>
      <c r="N658" s="129" t="n"/>
    </row>
    <row r="659" ht="15" customHeight="1" s="75">
      <c r="A659" s="124" t="n"/>
      <c r="B659" s="125" t="n"/>
      <c r="C659" s="126" t="n"/>
      <c r="D659" s="127" t="n"/>
      <c r="E659" s="127" t="n"/>
      <c r="F659" s="128" t="n"/>
      <c r="G659" s="128" t="n"/>
      <c r="H659" s="129" t="n"/>
      <c r="I659" s="129" t="n"/>
      <c r="J659" s="128" t="n"/>
      <c r="K659" s="130" t="n"/>
      <c r="L659" s="130" t="n"/>
      <c r="M659" s="128" t="n"/>
      <c r="N659" s="129" t="n"/>
    </row>
    <row r="660" ht="15" customHeight="1" s="75">
      <c r="A660" s="124" t="n"/>
      <c r="B660" s="125" t="n"/>
      <c r="C660" s="126" t="n"/>
      <c r="D660" s="127" t="n"/>
      <c r="E660" s="127" t="n"/>
      <c r="F660" s="128" t="n"/>
      <c r="G660" s="128" t="n"/>
      <c r="H660" s="129" t="n"/>
      <c r="I660" s="129" t="n"/>
      <c r="J660" s="128" t="n"/>
      <c r="K660" s="130" t="n"/>
      <c r="L660" s="130" t="n"/>
      <c r="M660" s="128" t="n"/>
      <c r="N660" s="129" t="n"/>
    </row>
    <row r="661" ht="15" customHeight="1" s="75">
      <c r="A661" s="124" t="n"/>
      <c r="B661" s="125" t="n"/>
      <c r="C661" s="126" t="n"/>
      <c r="D661" s="127" t="n"/>
      <c r="E661" s="127" t="n"/>
      <c r="F661" s="128" t="n"/>
      <c r="G661" s="128" t="n"/>
      <c r="H661" s="129" t="n"/>
      <c r="I661" s="129" t="n"/>
      <c r="J661" s="128" t="n"/>
      <c r="K661" s="130" t="n"/>
      <c r="L661" s="130" t="n"/>
      <c r="M661" s="128" t="n"/>
      <c r="N661" s="129" t="n"/>
    </row>
    <row r="662" ht="15" customHeight="1" s="75">
      <c r="A662" s="124" t="n"/>
      <c r="B662" s="125" t="n"/>
      <c r="C662" s="126" t="n"/>
      <c r="D662" s="127" t="n"/>
      <c r="E662" s="127" t="n"/>
      <c r="F662" s="128" t="n"/>
      <c r="G662" s="128" t="n"/>
      <c r="H662" s="129" t="n"/>
      <c r="I662" s="129" t="n"/>
      <c r="J662" s="128" t="n"/>
      <c r="K662" s="130" t="n"/>
      <c r="L662" s="130" t="n"/>
      <c r="M662" s="128" t="n"/>
      <c r="N662" s="129" t="n"/>
    </row>
    <row r="663" ht="15" customHeight="1" s="75">
      <c r="A663" s="124" t="n"/>
      <c r="B663" s="125" t="n"/>
      <c r="C663" s="126" t="n"/>
      <c r="D663" s="127" t="n"/>
      <c r="E663" s="127" t="n"/>
      <c r="F663" s="128" t="n"/>
      <c r="G663" s="128" t="n"/>
      <c r="H663" s="129" t="n"/>
      <c r="I663" s="129" t="n"/>
      <c r="J663" s="128" t="n"/>
      <c r="K663" s="130" t="n"/>
      <c r="L663" s="130" t="n"/>
      <c r="M663" s="128" t="n"/>
      <c r="N663" s="129" t="n"/>
    </row>
    <row r="664" ht="15" customHeight="1" s="75">
      <c r="A664" s="124" t="n"/>
      <c r="B664" s="125" t="n"/>
      <c r="C664" s="126" t="n"/>
      <c r="D664" s="127" t="n"/>
      <c r="E664" s="127" t="n"/>
      <c r="F664" s="128" t="n"/>
      <c r="G664" s="128" t="n"/>
      <c r="H664" s="129" t="n"/>
      <c r="I664" s="129" t="n"/>
      <c r="J664" s="128" t="n"/>
      <c r="K664" s="130" t="n"/>
      <c r="L664" s="130" t="n"/>
      <c r="M664" s="128" t="n"/>
      <c r="N664" s="129" t="n"/>
    </row>
    <row r="665" ht="15" customHeight="1" s="75">
      <c r="A665" s="124" t="n"/>
      <c r="B665" s="125" t="n"/>
      <c r="C665" s="126" t="n"/>
      <c r="D665" s="127" t="n"/>
      <c r="E665" s="127" t="n"/>
      <c r="F665" s="128" t="n"/>
      <c r="G665" s="128" t="n"/>
      <c r="H665" s="129" t="n"/>
      <c r="I665" s="129" t="n"/>
      <c r="J665" s="128" t="n"/>
      <c r="K665" s="130" t="n"/>
      <c r="L665" s="130" t="n"/>
      <c r="M665" s="128" t="n"/>
      <c r="N665" s="129" t="n"/>
    </row>
    <row r="666" ht="15" customHeight="1" s="75">
      <c r="A666" s="124" t="n"/>
      <c r="B666" s="125" t="n"/>
      <c r="C666" s="126" t="n"/>
      <c r="D666" s="127" t="n"/>
      <c r="E666" s="127" t="n"/>
      <c r="F666" s="128" t="n"/>
      <c r="G666" s="128" t="n"/>
      <c r="H666" s="129" t="n"/>
      <c r="I666" s="129" t="n"/>
      <c r="J666" s="128" t="n"/>
      <c r="K666" s="130" t="n"/>
      <c r="L666" s="130" t="n"/>
      <c r="M666" s="128" t="n"/>
      <c r="N666" s="129" t="n"/>
    </row>
    <row r="667" ht="15" customHeight="1" s="75">
      <c r="A667" s="124" t="n"/>
      <c r="B667" s="125" t="n"/>
      <c r="C667" s="126" t="n"/>
      <c r="D667" s="127" t="n"/>
      <c r="E667" s="127" t="n"/>
      <c r="F667" s="128" t="n"/>
      <c r="G667" s="128" t="n"/>
      <c r="H667" s="129" t="n"/>
      <c r="I667" s="129" t="n"/>
      <c r="J667" s="128" t="n"/>
      <c r="K667" s="130" t="n"/>
      <c r="L667" s="130" t="n"/>
      <c r="M667" s="128" t="n"/>
      <c r="N667" s="129" t="n"/>
    </row>
    <row r="668" ht="15" customHeight="1" s="75">
      <c r="A668" s="124" t="n"/>
      <c r="B668" s="125" t="n"/>
      <c r="C668" s="126" t="n"/>
      <c r="D668" s="127" t="n"/>
      <c r="E668" s="127" t="n"/>
      <c r="F668" s="128" t="n"/>
      <c r="G668" s="128" t="n"/>
      <c r="H668" s="129" t="n"/>
      <c r="I668" s="129" t="n"/>
      <c r="J668" s="128" t="n"/>
      <c r="K668" s="130" t="n"/>
      <c r="L668" s="130" t="n"/>
      <c r="M668" s="128" t="n"/>
      <c r="N668" s="129" t="n"/>
    </row>
    <row r="669" ht="15" customHeight="1" s="75">
      <c r="A669" s="124" t="n"/>
      <c r="B669" s="125" t="n"/>
      <c r="C669" s="126" t="n"/>
      <c r="D669" s="127" t="n"/>
      <c r="E669" s="127" t="n"/>
      <c r="F669" s="128" t="n"/>
      <c r="G669" s="128" t="n"/>
      <c r="H669" s="129" t="n"/>
      <c r="I669" s="129" t="n"/>
      <c r="J669" s="128" t="n"/>
      <c r="K669" s="130" t="n"/>
      <c r="L669" s="130" t="n"/>
      <c r="M669" s="128" t="n"/>
      <c r="N669" s="129" t="n"/>
    </row>
    <row r="670" ht="15" customHeight="1" s="75">
      <c r="A670" s="124" t="n"/>
      <c r="B670" s="125" t="n"/>
      <c r="C670" s="126" t="n"/>
      <c r="D670" s="127" t="n"/>
      <c r="E670" s="127" t="n"/>
      <c r="F670" s="128" t="n"/>
      <c r="G670" s="128" t="n"/>
      <c r="H670" s="129" t="n"/>
      <c r="I670" s="129" t="n"/>
      <c r="J670" s="128" t="n"/>
      <c r="K670" s="130" t="n"/>
      <c r="L670" s="130" t="n"/>
      <c r="M670" s="128" t="n"/>
      <c r="N670" s="129" t="n"/>
    </row>
    <row r="671" ht="15" customHeight="1" s="75">
      <c r="A671" s="124" t="n"/>
      <c r="B671" s="125" t="n"/>
      <c r="C671" s="126" t="n"/>
      <c r="D671" s="127" t="n"/>
      <c r="E671" s="127" t="n"/>
      <c r="F671" s="128" t="n"/>
      <c r="G671" s="128" t="n"/>
      <c r="H671" s="129" t="n"/>
      <c r="I671" s="129" t="n"/>
      <c r="J671" s="128" t="n"/>
      <c r="K671" s="130" t="n"/>
      <c r="L671" s="130" t="n"/>
      <c r="M671" s="128" t="n"/>
      <c r="N671" s="129" t="n"/>
    </row>
    <row r="672" ht="15" customHeight="1" s="75">
      <c r="A672" s="124" t="n"/>
      <c r="B672" s="125" t="n"/>
      <c r="C672" s="126" t="n"/>
      <c r="D672" s="127" t="n"/>
      <c r="E672" s="127" t="n"/>
      <c r="F672" s="128" t="n"/>
      <c r="G672" s="128" t="n"/>
      <c r="H672" s="129" t="n"/>
      <c r="I672" s="129" t="n"/>
      <c r="J672" s="128" t="n"/>
      <c r="K672" s="130" t="n"/>
      <c r="L672" s="130" t="n"/>
      <c r="M672" s="128" t="n"/>
      <c r="N672" s="129" t="n"/>
    </row>
    <row r="673" ht="15" customHeight="1" s="75">
      <c r="A673" s="124" t="n"/>
      <c r="B673" s="125" t="n"/>
      <c r="C673" s="126" t="n"/>
      <c r="D673" s="127" t="n"/>
      <c r="E673" s="127" t="n"/>
      <c r="F673" s="128" t="n"/>
      <c r="G673" s="128" t="n"/>
      <c r="H673" s="129" t="n"/>
      <c r="I673" s="129" t="n"/>
      <c r="J673" s="128" t="n"/>
      <c r="K673" s="130" t="n"/>
      <c r="L673" s="130" t="n"/>
      <c r="M673" s="128" t="n"/>
      <c r="N673" s="129" t="n"/>
    </row>
    <row r="674" ht="15" customHeight="1" s="75">
      <c r="A674" s="124" t="n"/>
      <c r="B674" s="125" t="n"/>
      <c r="C674" s="126" t="n"/>
      <c r="D674" s="127" t="n"/>
      <c r="E674" s="127" t="n"/>
      <c r="F674" s="128" t="n"/>
      <c r="G674" s="128" t="n"/>
      <c r="H674" s="129" t="n"/>
      <c r="I674" s="129" t="n"/>
      <c r="J674" s="128" t="n"/>
      <c r="K674" s="130" t="n"/>
      <c r="L674" s="130" t="n"/>
      <c r="M674" s="128" t="n"/>
      <c r="N674" s="129" t="n"/>
    </row>
    <row r="675" ht="15" customHeight="1" s="75">
      <c r="A675" s="124" t="n"/>
      <c r="B675" s="125" t="n"/>
      <c r="C675" s="126" t="n"/>
      <c r="D675" s="127" t="n"/>
      <c r="E675" s="127" t="n"/>
      <c r="F675" s="128" t="n"/>
      <c r="G675" s="128" t="n"/>
      <c r="H675" s="129" t="n"/>
      <c r="I675" s="129" t="n"/>
      <c r="J675" s="128" t="n"/>
      <c r="K675" s="130" t="n"/>
      <c r="L675" s="130" t="n"/>
      <c r="M675" s="128" t="n"/>
      <c r="N675" s="129" t="n"/>
    </row>
    <row r="676" ht="15" customHeight="1" s="75">
      <c r="A676" s="124" t="n"/>
      <c r="B676" s="125" t="n"/>
      <c r="C676" s="126" t="n"/>
      <c r="D676" s="127" t="n"/>
      <c r="E676" s="127" t="n"/>
      <c r="F676" s="128" t="n"/>
      <c r="G676" s="128" t="n"/>
      <c r="H676" s="129" t="n"/>
      <c r="I676" s="129" t="n"/>
      <c r="J676" s="128" t="n"/>
      <c r="K676" s="130" t="n"/>
      <c r="L676" s="130" t="n"/>
      <c r="M676" s="128" t="n"/>
      <c r="N676" s="129" t="n"/>
    </row>
    <row r="677" ht="15" customHeight="1" s="75">
      <c r="A677" s="124" t="n"/>
      <c r="B677" s="125" t="n"/>
      <c r="C677" s="126" t="n"/>
      <c r="D677" s="127" t="n"/>
      <c r="E677" s="127" t="n"/>
      <c r="F677" s="128" t="n"/>
      <c r="G677" s="128" t="n"/>
      <c r="H677" s="129" t="n"/>
      <c r="I677" s="129" t="n"/>
      <c r="J677" s="128" t="n"/>
      <c r="K677" s="130" t="n"/>
      <c r="L677" s="130" t="n"/>
      <c r="M677" s="128" t="n"/>
      <c r="N677" s="129" t="n"/>
    </row>
    <row r="678" ht="15" customHeight="1" s="75">
      <c r="A678" s="124" t="n"/>
      <c r="B678" s="125" t="n"/>
      <c r="C678" s="126" t="n"/>
      <c r="D678" s="127" t="n"/>
      <c r="E678" s="127" t="n"/>
      <c r="F678" s="128" t="n"/>
      <c r="G678" s="128" t="n"/>
      <c r="H678" s="129" t="n"/>
      <c r="I678" s="129" t="n"/>
      <c r="J678" s="128" t="n"/>
      <c r="K678" s="130" t="n"/>
      <c r="L678" s="130" t="n"/>
      <c r="M678" s="128" t="n"/>
      <c r="N678" s="129" t="n"/>
    </row>
    <row r="679" ht="15" customHeight="1" s="75">
      <c r="A679" s="124" t="n"/>
      <c r="B679" s="125" t="n"/>
      <c r="C679" s="126" t="n"/>
      <c r="D679" s="127" t="n"/>
      <c r="E679" s="127" t="n"/>
      <c r="F679" s="128" t="n"/>
      <c r="G679" s="128" t="n"/>
      <c r="H679" s="129" t="n"/>
      <c r="I679" s="129" t="n"/>
      <c r="J679" s="128" t="n"/>
      <c r="K679" s="130" t="n"/>
      <c r="L679" s="130" t="n"/>
      <c r="M679" s="128" t="n"/>
      <c r="N679" s="129" t="n"/>
    </row>
    <row r="680" ht="15" customHeight="1" s="75">
      <c r="A680" s="124" t="n"/>
      <c r="B680" s="125" t="n"/>
      <c r="C680" s="126" t="n"/>
      <c r="D680" s="127" t="n"/>
      <c r="E680" s="127" t="n"/>
      <c r="F680" s="128" t="n"/>
      <c r="G680" s="128" t="n"/>
      <c r="H680" s="129" t="n"/>
      <c r="I680" s="129" t="n"/>
      <c r="J680" s="128" t="n"/>
      <c r="K680" s="130" t="n"/>
      <c r="L680" s="130" t="n"/>
      <c r="M680" s="128" t="n"/>
      <c r="N680" s="129" t="n"/>
    </row>
    <row r="681" ht="15" customHeight="1" s="75">
      <c r="A681" s="124" t="n"/>
      <c r="B681" s="125" t="n"/>
      <c r="C681" s="126" t="n"/>
      <c r="D681" s="127" t="n"/>
      <c r="E681" s="127" t="n"/>
      <c r="F681" s="128" t="n"/>
      <c r="G681" s="128" t="n"/>
      <c r="H681" s="129" t="n"/>
      <c r="I681" s="129" t="n"/>
      <c r="J681" s="128" t="n"/>
      <c r="K681" s="130" t="n"/>
      <c r="L681" s="130" t="n"/>
      <c r="M681" s="128" t="n"/>
      <c r="N681" s="129" t="n"/>
    </row>
    <row r="682" ht="15" customHeight="1" s="75">
      <c r="A682" s="124" t="n"/>
      <c r="B682" s="125" t="n"/>
      <c r="C682" s="126" t="n"/>
      <c r="D682" s="127" t="n"/>
      <c r="E682" s="127" t="n"/>
      <c r="F682" s="128" t="n"/>
      <c r="G682" s="128" t="n"/>
      <c r="H682" s="129" t="n"/>
      <c r="I682" s="129" t="n"/>
      <c r="J682" s="128" t="n"/>
      <c r="K682" s="130" t="n"/>
      <c r="L682" s="130" t="n"/>
      <c r="M682" s="128" t="n"/>
      <c r="N682" s="129" t="n"/>
    </row>
    <row r="683" ht="15" customHeight="1" s="75">
      <c r="A683" s="124" t="n"/>
      <c r="B683" s="125" t="n"/>
      <c r="C683" s="126" t="n"/>
      <c r="D683" s="127" t="n"/>
      <c r="E683" s="127" t="n"/>
      <c r="F683" s="128" t="n"/>
      <c r="G683" s="128" t="n"/>
      <c r="H683" s="129" t="n"/>
      <c r="I683" s="129" t="n"/>
      <c r="J683" s="128" t="n"/>
      <c r="K683" s="130" t="n"/>
      <c r="L683" s="130" t="n"/>
      <c r="M683" s="128" t="n"/>
      <c r="N683" s="129" t="n"/>
    </row>
    <row r="684" ht="15" customHeight="1" s="75">
      <c r="A684" s="124" t="n"/>
      <c r="B684" s="125" t="n"/>
      <c r="C684" s="126" t="n"/>
      <c r="D684" s="127" t="n"/>
      <c r="E684" s="127" t="n"/>
      <c r="F684" s="128" t="n"/>
      <c r="G684" s="128" t="n"/>
      <c r="H684" s="129" t="n"/>
      <c r="I684" s="129" t="n"/>
      <c r="J684" s="128" t="n"/>
      <c r="K684" s="130" t="n"/>
      <c r="L684" s="130" t="n"/>
      <c r="M684" s="128" t="n"/>
      <c r="N684" s="129" t="n"/>
    </row>
    <row r="685" ht="15" customHeight="1" s="75">
      <c r="A685" s="124" t="n"/>
      <c r="B685" s="125" t="n"/>
      <c r="C685" s="126" t="n"/>
      <c r="D685" s="127" t="n"/>
      <c r="E685" s="127" t="n"/>
      <c r="F685" s="128" t="n"/>
      <c r="G685" s="128" t="n"/>
      <c r="H685" s="129" t="n"/>
      <c r="I685" s="129" t="n"/>
      <c r="J685" s="128" t="n"/>
      <c r="K685" s="130" t="n"/>
      <c r="L685" s="130" t="n"/>
      <c r="M685" s="128" t="n"/>
      <c r="N685" s="129" t="n"/>
    </row>
    <row r="686" ht="15" customHeight="1" s="75">
      <c r="A686" s="124" t="n"/>
      <c r="B686" s="125" t="n"/>
      <c r="C686" s="126" t="n"/>
      <c r="D686" s="127" t="n"/>
      <c r="E686" s="127" t="n"/>
      <c r="F686" s="128" t="n"/>
      <c r="G686" s="128" t="n"/>
      <c r="H686" s="129" t="n"/>
      <c r="I686" s="129" t="n"/>
      <c r="J686" s="128" t="n"/>
      <c r="K686" s="130" t="n"/>
      <c r="L686" s="130" t="n"/>
      <c r="M686" s="128" t="n"/>
      <c r="N686" s="129" t="n"/>
    </row>
    <row r="687" ht="15" customHeight="1" s="75">
      <c r="A687" s="124" t="n"/>
      <c r="B687" s="125" t="n"/>
      <c r="C687" s="126" t="n"/>
      <c r="D687" s="127" t="n"/>
      <c r="E687" s="127" t="n"/>
      <c r="F687" s="128" t="n"/>
      <c r="G687" s="128" t="n"/>
      <c r="H687" s="129" t="n"/>
      <c r="I687" s="129" t="n"/>
      <c r="J687" s="128" t="n"/>
      <c r="K687" s="130" t="n"/>
      <c r="L687" s="130" t="n"/>
      <c r="M687" s="128" t="n"/>
      <c r="N687" s="129" t="n"/>
    </row>
    <row r="688" ht="15" customHeight="1" s="75">
      <c r="A688" s="124" t="n"/>
      <c r="B688" s="125" t="n"/>
      <c r="C688" s="126" t="n"/>
      <c r="D688" s="127" t="n"/>
      <c r="E688" s="127" t="n"/>
      <c r="F688" s="128" t="n"/>
      <c r="G688" s="128" t="n"/>
      <c r="H688" s="129" t="n"/>
      <c r="I688" s="129" t="n"/>
      <c r="J688" s="128" t="n"/>
      <c r="K688" s="130" t="n"/>
      <c r="L688" s="130" t="n"/>
      <c r="M688" s="128" t="n"/>
      <c r="N688" s="129" t="n"/>
    </row>
    <row r="689" ht="15" customHeight="1" s="75">
      <c r="A689" s="124" t="n"/>
      <c r="B689" s="125" t="n"/>
      <c r="C689" s="126" t="n"/>
      <c r="D689" s="127" t="n"/>
      <c r="E689" s="127" t="n"/>
      <c r="F689" s="128" t="n"/>
      <c r="G689" s="128" t="n"/>
      <c r="H689" s="129" t="n"/>
      <c r="I689" s="129" t="n"/>
      <c r="J689" s="128" t="n"/>
      <c r="K689" s="130" t="n"/>
      <c r="L689" s="130" t="n"/>
      <c r="M689" s="128" t="n"/>
      <c r="N689" s="129" t="n"/>
    </row>
    <row r="690" ht="15" customHeight="1" s="75">
      <c r="A690" s="124" t="n"/>
      <c r="B690" s="125" t="n"/>
      <c r="C690" s="126" t="n"/>
      <c r="D690" s="127" t="n"/>
      <c r="E690" s="127" t="n"/>
      <c r="F690" s="128" t="n"/>
      <c r="G690" s="128" t="n"/>
      <c r="H690" s="129" t="n"/>
      <c r="I690" s="129" t="n"/>
      <c r="J690" s="128" t="n"/>
      <c r="K690" s="130" t="n"/>
      <c r="L690" s="130" t="n"/>
      <c r="M690" s="128" t="n"/>
      <c r="N690" s="129" t="n"/>
    </row>
    <row r="691" ht="15" customHeight="1" s="75">
      <c r="A691" s="124" t="n"/>
      <c r="B691" s="125" t="n"/>
      <c r="C691" s="126" t="n"/>
      <c r="D691" s="127" t="n"/>
      <c r="E691" s="127" t="n"/>
      <c r="F691" s="128" t="n"/>
      <c r="G691" s="128" t="n"/>
      <c r="H691" s="129" t="n"/>
      <c r="I691" s="129" t="n"/>
      <c r="J691" s="128" t="n"/>
      <c r="K691" s="130" t="n"/>
      <c r="L691" s="130" t="n"/>
      <c r="M691" s="128" t="n"/>
      <c r="N691" s="129" t="n"/>
    </row>
    <row r="692" ht="15" customHeight="1" s="75">
      <c r="A692" s="124" t="n"/>
      <c r="B692" s="125" t="n"/>
      <c r="C692" s="126" t="n"/>
      <c r="D692" s="127" t="n"/>
      <c r="E692" s="127" t="n"/>
      <c r="F692" s="128" t="n"/>
      <c r="G692" s="128" t="n"/>
      <c r="H692" s="129" t="n"/>
      <c r="I692" s="129" t="n"/>
      <c r="J692" s="128" t="n"/>
      <c r="K692" s="130" t="n"/>
      <c r="L692" s="130" t="n"/>
      <c r="M692" s="128" t="n"/>
      <c r="N692" s="129" t="n"/>
    </row>
    <row r="693" ht="15" customHeight="1" s="75">
      <c r="A693" s="124" t="n"/>
      <c r="B693" s="125" t="n"/>
      <c r="C693" s="126" t="n"/>
      <c r="D693" s="127" t="n"/>
      <c r="E693" s="127" t="n"/>
      <c r="F693" s="128" t="n"/>
      <c r="G693" s="128" t="n"/>
      <c r="H693" s="129" t="n"/>
      <c r="I693" s="129" t="n"/>
      <c r="J693" s="128" t="n"/>
      <c r="K693" s="130" t="n"/>
      <c r="L693" s="130" t="n"/>
      <c r="M693" s="128" t="n"/>
      <c r="N693" s="129" t="n"/>
    </row>
    <row r="694" ht="15" customHeight="1" s="75">
      <c r="A694" s="124" t="n"/>
      <c r="B694" s="125" t="n"/>
      <c r="C694" s="126" t="n"/>
      <c r="D694" s="127" t="n"/>
      <c r="E694" s="127" t="n"/>
      <c r="F694" s="128" t="n"/>
      <c r="G694" s="128" t="n"/>
      <c r="H694" s="129" t="n"/>
      <c r="I694" s="129" t="n"/>
      <c r="J694" s="128" t="n"/>
      <c r="K694" s="130" t="n"/>
      <c r="L694" s="130" t="n"/>
      <c r="M694" s="128" t="n"/>
      <c r="N694" s="129" t="n"/>
    </row>
    <row r="695" ht="15" customHeight="1" s="75">
      <c r="A695" s="124" t="n"/>
      <c r="B695" s="125" t="n"/>
      <c r="C695" s="126" t="n"/>
      <c r="D695" s="127" t="n"/>
      <c r="E695" s="127" t="n"/>
      <c r="F695" s="128" t="n"/>
      <c r="G695" s="128" t="n"/>
      <c r="H695" s="129" t="n"/>
      <c r="I695" s="129" t="n"/>
      <c r="J695" s="128" t="n"/>
      <c r="K695" s="130" t="n"/>
      <c r="L695" s="130" t="n"/>
      <c r="M695" s="128" t="n"/>
      <c r="N695" s="129" t="n"/>
    </row>
    <row r="696" ht="15" customHeight="1" s="75">
      <c r="A696" s="124" t="n"/>
      <c r="B696" s="125" t="n"/>
      <c r="C696" s="126" t="n"/>
      <c r="D696" s="127" t="n"/>
      <c r="E696" s="127" t="n"/>
      <c r="F696" s="128" t="n"/>
      <c r="G696" s="128" t="n"/>
      <c r="H696" s="129" t="n"/>
      <c r="I696" s="129" t="n"/>
      <c r="J696" s="128" t="n"/>
      <c r="K696" s="130" t="n"/>
      <c r="L696" s="130" t="n"/>
      <c r="M696" s="128" t="n"/>
      <c r="N696" s="129" t="n"/>
    </row>
    <row r="697" ht="15" customHeight="1" s="75">
      <c r="A697" s="124" t="n"/>
      <c r="B697" s="125" t="n"/>
      <c r="C697" s="126" t="n"/>
      <c r="D697" s="127" t="n"/>
      <c r="E697" s="127" t="n"/>
      <c r="F697" s="128" t="n"/>
      <c r="G697" s="128" t="n"/>
      <c r="H697" s="129" t="n"/>
      <c r="I697" s="129" t="n"/>
      <c r="J697" s="128" t="n"/>
      <c r="K697" s="130" t="n"/>
      <c r="L697" s="130" t="n"/>
      <c r="M697" s="128" t="n"/>
      <c r="N697" s="129" t="n"/>
    </row>
    <row r="698" ht="15" customHeight="1" s="75">
      <c r="A698" s="124" t="n"/>
      <c r="B698" s="125" t="n"/>
      <c r="C698" s="126" t="n"/>
      <c r="D698" s="127" t="n"/>
      <c r="E698" s="127" t="n"/>
      <c r="F698" s="128" t="n"/>
      <c r="G698" s="128" t="n"/>
      <c r="H698" s="129" t="n"/>
      <c r="I698" s="129" t="n"/>
      <c r="J698" s="128" t="n"/>
      <c r="K698" s="130" t="n"/>
      <c r="L698" s="130" t="n"/>
      <c r="M698" s="128" t="n"/>
      <c r="N698" s="129" t="n"/>
    </row>
    <row r="699" ht="15" customHeight="1" s="75">
      <c r="A699" s="124" t="n"/>
      <c r="B699" s="125" t="n"/>
      <c r="C699" s="126" t="n"/>
      <c r="D699" s="127" t="n"/>
      <c r="E699" s="127" t="n"/>
      <c r="F699" s="128" t="n"/>
      <c r="G699" s="128" t="n"/>
      <c r="H699" s="129" t="n"/>
      <c r="I699" s="129" t="n"/>
      <c r="J699" s="128" t="n"/>
      <c r="K699" s="130" t="n"/>
      <c r="L699" s="130" t="n"/>
      <c r="M699" s="128" t="n"/>
      <c r="N699" s="129" t="n"/>
    </row>
    <row r="700" ht="15" customHeight="1" s="75">
      <c r="A700" s="124" t="n"/>
      <c r="B700" s="125" t="n"/>
      <c r="C700" s="126" t="n"/>
      <c r="D700" s="127" t="n"/>
      <c r="E700" s="127" t="n"/>
      <c r="F700" s="128" t="n"/>
      <c r="G700" s="128" t="n"/>
      <c r="H700" s="129" t="n"/>
      <c r="I700" s="129" t="n"/>
      <c r="J700" s="128" t="n"/>
      <c r="K700" s="130" t="n"/>
      <c r="L700" s="130" t="n"/>
      <c r="M700" s="128" t="n"/>
      <c r="N700" s="129" t="n"/>
    </row>
    <row r="701" ht="15" customHeight="1" s="75">
      <c r="A701" s="124" t="n"/>
      <c r="B701" s="125" t="n"/>
      <c r="C701" s="126" t="n"/>
      <c r="D701" s="127" t="n"/>
      <c r="E701" s="127" t="n"/>
      <c r="F701" s="128" t="n"/>
      <c r="G701" s="128" t="n"/>
      <c r="H701" s="129" t="n"/>
      <c r="I701" s="129" t="n"/>
      <c r="J701" s="128" t="n"/>
      <c r="K701" s="130" t="n"/>
      <c r="L701" s="130" t="n"/>
      <c r="M701" s="128" t="n"/>
      <c r="N701" s="129" t="n"/>
    </row>
    <row r="702" ht="15" customHeight="1" s="75">
      <c r="A702" s="124" t="n"/>
      <c r="B702" s="125" t="n"/>
      <c r="C702" s="126" t="n"/>
      <c r="D702" s="127" t="n"/>
      <c r="E702" s="127" t="n"/>
      <c r="F702" s="128" t="n"/>
      <c r="G702" s="128" t="n"/>
      <c r="H702" s="129" t="n"/>
      <c r="I702" s="129" t="n"/>
      <c r="J702" s="128" t="n"/>
      <c r="K702" s="130" t="n"/>
      <c r="L702" s="130" t="n"/>
      <c r="M702" s="128" t="n"/>
      <c r="N702" s="129" t="n"/>
    </row>
    <row r="703" ht="15" customHeight="1" s="75">
      <c r="A703" s="124" t="n"/>
      <c r="B703" s="125" t="n"/>
      <c r="C703" s="126" t="n"/>
      <c r="D703" s="127" t="n"/>
      <c r="E703" s="127" t="n"/>
      <c r="F703" s="128" t="n"/>
      <c r="G703" s="128" t="n"/>
      <c r="H703" s="129" t="n"/>
      <c r="I703" s="129" t="n"/>
      <c r="J703" s="128" t="n"/>
      <c r="K703" s="130" t="n"/>
      <c r="L703" s="130" t="n"/>
      <c r="M703" s="128" t="n"/>
      <c r="N703" s="129" t="n"/>
    </row>
    <row r="704" ht="15" customHeight="1" s="75">
      <c r="A704" s="124" t="n"/>
      <c r="B704" s="125" t="n"/>
      <c r="C704" s="126" t="n"/>
      <c r="D704" s="127" t="n"/>
      <c r="E704" s="127" t="n"/>
      <c r="F704" s="128" t="n"/>
      <c r="G704" s="128" t="n"/>
      <c r="H704" s="129" t="n"/>
      <c r="I704" s="129" t="n"/>
      <c r="J704" s="128" t="n"/>
      <c r="K704" s="130" t="n"/>
      <c r="L704" s="130" t="n"/>
      <c r="M704" s="128" t="n"/>
      <c r="N704" s="129" t="n"/>
    </row>
    <row r="705" ht="15" customHeight="1" s="75">
      <c r="A705" s="124" t="n"/>
      <c r="B705" s="125" t="n"/>
      <c r="C705" s="126" t="n"/>
      <c r="D705" s="127" t="n"/>
      <c r="E705" s="127" t="n"/>
      <c r="F705" s="128" t="n"/>
      <c r="G705" s="128" t="n"/>
      <c r="H705" s="129" t="n"/>
      <c r="I705" s="129" t="n"/>
      <c r="J705" s="128" t="n"/>
      <c r="K705" s="130" t="n"/>
      <c r="L705" s="130" t="n"/>
      <c r="M705" s="128" t="n"/>
      <c r="N705" s="129" t="n"/>
    </row>
    <row r="706" ht="15" customHeight="1" s="75">
      <c r="A706" s="124" t="n"/>
      <c r="B706" s="125" t="n"/>
      <c r="C706" s="126" t="n"/>
      <c r="D706" s="127" t="n"/>
      <c r="E706" s="127" t="n"/>
      <c r="F706" s="128" t="n"/>
      <c r="G706" s="128" t="n"/>
      <c r="H706" s="129" t="n"/>
      <c r="I706" s="129" t="n"/>
      <c r="J706" s="128" t="n"/>
      <c r="K706" s="130" t="n"/>
      <c r="L706" s="130" t="n"/>
      <c r="M706" s="128" t="n"/>
      <c r="N706" s="129" t="n"/>
    </row>
    <row r="707" ht="15" customHeight="1" s="75">
      <c r="A707" s="124" t="n"/>
      <c r="B707" s="125" t="n"/>
      <c r="C707" s="126" t="n"/>
      <c r="D707" s="127" t="n"/>
      <c r="E707" s="127" t="n"/>
      <c r="F707" s="128" t="n"/>
      <c r="G707" s="128" t="n"/>
      <c r="H707" s="129" t="n"/>
      <c r="I707" s="129" t="n"/>
      <c r="J707" s="128" t="n"/>
      <c r="K707" s="130" t="n"/>
      <c r="L707" s="130" t="n"/>
      <c r="M707" s="128" t="n"/>
      <c r="N707" s="129" t="n"/>
    </row>
    <row r="708" ht="15" customHeight="1" s="75">
      <c r="A708" s="124" t="n"/>
      <c r="B708" s="125" t="n"/>
      <c r="C708" s="126" t="n"/>
      <c r="D708" s="127" t="n"/>
      <c r="E708" s="127" t="n"/>
      <c r="F708" s="128" t="n"/>
      <c r="G708" s="128" t="n"/>
      <c r="H708" s="129" t="n"/>
      <c r="I708" s="129" t="n"/>
      <c r="J708" s="128" t="n"/>
      <c r="K708" s="130" t="n"/>
      <c r="L708" s="130" t="n"/>
      <c r="M708" s="128" t="n"/>
      <c r="N708" s="129" t="n"/>
    </row>
    <row r="709" ht="15" customHeight="1" s="75">
      <c r="A709" s="124" t="n"/>
      <c r="B709" s="125" t="n"/>
      <c r="C709" s="126" t="n"/>
      <c r="D709" s="127" t="n"/>
      <c r="E709" s="127" t="n"/>
      <c r="F709" s="128" t="n"/>
      <c r="G709" s="128" t="n"/>
      <c r="H709" s="129" t="n"/>
      <c r="I709" s="129" t="n"/>
      <c r="J709" s="128" t="n"/>
      <c r="K709" s="130" t="n"/>
      <c r="L709" s="130" t="n"/>
      <c r="M709" s="128" t="n"/>
      <c r="N709" s="129" t="n"/>
    </row>
    <row r="710" ht="15" customHeight="1" s="75">
      <c r="A710" s="124" t="n"/>
      <c r="B710" s="125" t="n"/>
      <c r="C710" s="126" t="n"/>
      <c r="D710" s="127" t="n"/>
      <c r="E710" s="127" t="n"/>
      <c r="F710" s="128" t="n"/>
      <c r="G710" s="128" t="n"/>
      <c r="H710" s="129" t="n"/>
      <c r="I710" s="129" t="n"/>
      <c r="J710" s="128" t="n"/>
      <c r="K710" s="130" t="n"/>
      <c r="L710" s="130" t="n"/>
      <c r="M710" s="128" t="n"/>
      <c r="N710" s="129" t="n"/>
    </row>
    <row r="711" ht="15" customHeight="1" s="75">
      <c r="A711" s="124" t="n"/>
      <c r="B711" s="125" t="n"/>
      <c r="C711" s="126" t="n"/>
      <c r="D711" s="127" t="n"/>
      <c r="E711" s="127" t="n"/>
      <c r="F711" s="128" t="n"/>
      <c r="G711" s="128" t="n"/>
      <c r="H711" s="129" t="n"/>
      <c r="I711" s="129" t="n"/>
      <c r="J711" s="128" t="n"/>
      <c r="K711" s="130" t="n"/>
      <c r="L711" s="130" t="n"/>
      <c r="M711" s="128" t="n"/>
      <c r="N711" s="129" t="n"/>
    </row>
    <row r="712" ht="15" customHeight="1" s="75">
      <c r="A712" s="124" t="n"/>
      <c r="B712" s="125" t="n"/>
      <c r="C712" s="126" t="n"/>
      <c r="D712" s="127" t="n"/>
      <c r="E712" s="127" t="n"/>
      <c r="F712" s="128" t="n"/>
      <c r="G712" s="128" t="n"/>
      <c r="H712" s="129" t="n"/>
      <c r="I712" s="129" t="n"/>
      <c r="J712" s="128" t="n"/>
      <c r="K712" s="130" t="n"/>
      <c r="L712" s="130" t="n"/>
      <c r="M712" s="128" t="n"/>
      <c r="N712" s="129" t="n"/>
    </row>
    <row r="713" ht="15" customHeight="1" s="75">
      <c r="A713" s="124" t="n"/>
      <c r="B713" s="125" t="n"/>
      <c r="C713" s="126" t="n"/>
      <c r="D713" s="127" t="n"/>
      <c r="E713" s="127" t="n"/>
      <c r="F713" s="128" t="n"/>
      <c r="G713" s="128" t="n"/>
      <c r="H713" s="129" t="n"/>
      <c r="I713" s="129" t="n"/>
      <c r="J713" s="128" t="n"/>
      <c r="K713" s="130" t="n"/>
      <c r="L713" s="130" t="n"/>
      <c r="M713" s="128" t="n"/>
      <c r="N713" s="129" t="n"/>
    </row>
    <row r="714" ht="15" customHeight="1" s="75">
      <c r="A714" s="124" t="n"/>
      <c r="B714" s="125" t="n"/>
      <c r="C714" s="126" t="n"/>
      <c r="D714" s="127" t="n"/>
      <c r="E714" s="127" t="n"/>
      <c r="F714" s="128" t="n"/>
      <c r="G714" s="128" t="n"/>
      <c r="H714" s="129" t="n"/>
      <c r="I714" s="129" t="n"/>
      <c r="J714" s="128" t="n"/>
      <c r="K714" s="130" t="n"/>
      <c r="L714" s="130" t="n"/>
      <c r="M714" s="128" t="n"/>
      <c r="N714" s="129" t="n"/>
    </row>
    <row r="715" ht="15" customHeight="1" s="75">
      <c r="A715" s="124" t="n"/>
      <c r="B715" s="125" t="n"/>
      <c r="C715" s="126" t="n"/>
      <c r="D715" s="127" t="n"/>
      <c r="E715" s="127" t="n"/>
      <c r="F715" s="128" t="n"/>
      <c r="G715" s="128" t="n"/>
      <c r="H715" s="129" t="n"/>
      <c r="I715" s="129" t="n"/>
      <c r="J715" s="128" t="n"/>
      <c r="K715" s="130" t="n"/>
      <c r="L715" s="130" t="n"/>
      <c r="M715" s="128" t="n"/>
      <c r="N715" s="129" t="n"/>
    </row>
    <row r="716" ht="15" customHeight="1" s="75">
      <c r="A716" s="124" t="n"/>
      <c r="B716" s="125" t="n"/>
      <c r="C716" s="126" t="n"/>
      <c r="D716" s="127" t="n"/>
      <c r="E716" s="127" t="n"/>
      <c r="F716" s="128" t="n"/>
      <c r="G716" s="128" t="n"/>
      <c r="H716" s="129" t="n"/>
      <c r="I716" s="129" t="n"/>
      <c r="J716" s="128" t="n"/>
      <c r="K716" s="130" t="n"/>
      <c r="L716" s="130" t="n"/>
      <c r="M716" s="128" t="n"/>
      <c r="N716" s="129" t="n"/>
    </row>
    <row r="717" ht="15" customHeight="1" s="75">
      <c r="A717" s="124" t="n"/>
      <c r="B717" s="125" t="n"/>
      <c r="C717" s="126" t="n"/>
      <c r="D717" s="127" t="n"/>
      <c r="E717" s="127" t="n"/>
      <c r="F717" s="128" t="n"/>
      <c r="G717" s="128" t="n"/>
      <c r="H717" s="129" t="n"/>
      <c r="I717" s="129" t="n"/>
      <c r="J717" s="128" t="n"/>
      <c r="K717" s="130" t="n"/>
      <c r="L717" s="130" t="n"/>
      <c r="M717" s="128" t="n"/>
      <c r="N717" s="129" t="n"/>
    </row>
    <row r="718" ht="15" customHeight="1" s="75">
      <c r="A718" s="124" t="n"/>
      <c r="B718" s="125" t="n"/>
      <c r="C718" s="126" t="n"/>
      <c r="D718" s="127" t="n"/>
      <c r="E718" s="127" t="n"/>
      <c r="F718" s="128" t="n"/>
      <c r="G718" s="128" t="n"/>
      <c r="H718" s="129" t="n"/>
      <c r="I718" s="129" t="n"/>
      <c r="J718" s="128" t="n"/>
      <c r="K718" s="130" t="n"/>
      <c r="L718" s="130" t="n"/>
      <c r="M718" s="128" t="n"/>
      <c r="N718" s="129" t="n"/>
    </row>
    <row r="719" ht="15" customHeight="1" s="75">
      <c r="A719" s="124" t="n"/>
      <c r="B719" s="125" t="n"/>
      <c r="C719" s="126" t="n"/>
      <c r="D719" s="127" t="n"/>
      <c r="E719" s="127" t="n"/>
      <c r="F719" s="128" t="n"/>
      <c r="G719" s="128" t="n"/>
      <c r="H719" s="129" t="n"/>
      <c r="I719" s="129" t="n"/>
      <c r="J719" s="128" t="n"/>
      <c r="K719" s="130" t="n"/>
      <c r="L719" s="130" t="n"/>
      <c r="M719" s="128" t="n"/>
      <c r="N719" s="129" t="n"/>
    </row>
    <row r="720" ht="15" customHeight="1" s="75">
      <c r="A720" s="124" t="n"/>
      <c r="B720" s="125" t="n"/>
      <c r="C720" s="126" t="n"/>
      <c r="D720" s="127" t="n"/>
      <c r="E720" s="127" t="n"/>
      <c r="F720" s="128" t="n"/>
      <c r="G720" s="128" t="n"/>
      <c r="H720" s="129" t="n"/>
      <c r="I720" s="129" t="n"/>
      <c r="J720" s="128" t="n"/>
      <c r="K720" s="130" t="n"/>
      <c r="L720" s="130" t="n"/>
      <c r="M720" s="128" t="n"/>
      <c r="N720" s="129" t="n"/>
    </row>
    <row r="721" ht="15" customHeight="1" s="75">
      <c r="A721" s="124" t="n"/>
      <c r="B721" s="125" t="n"/>
      <c r="C721" s="126" t="n"/>
      <c r="D721" s="127" t="n"/>
      <c r="E721" s="127" t="n"/>
      <c r="F721" s="128" t="n"/>
      <c r="G721" s="128" t="n"/>
      <c r="H721" s="129" t="n"/>
      <c r="I721" s="129" t="n"/>
      <c r="J721" s="128" t="n"/>
      <c r="K721" s="130" t="n"/>
      <c r="L721" s="130" t="n"/>
      <c r="M721" s="128" t="n"/>
      <c r="N721" s="129" t="n"/>
    </row>
    <row r="722" ht="15" customHeight="1" s="75">
      <c r="A722" s="124" t="n"/>
      <c r="B722" s="125" t="n"/>
      <c r="C722" s="126" t="n"/>
      <c r="D722" s="127" t="n"/>
      <c r="E722" s="127" t="n"/>
      <c r="F722" s="128" t="n"/>
      <c r="G722" s="128" t="n"/>
      <c r="H722" s="129" t="n"/>
      <c r="I722" s="129" t="n"/>
      <c r="J722" s="128" t="n"/>
      <c r="K722" s="130" t="n"/>
      <c r="L722" s="130" t="n"/>
      <c r="M722" s="128" t="n"/>
      <c r="N722" s="129" t="n"/>
    </row>
    <row r="723" ht="15" customHeight="1" s="75">
      <c r="A723" s="124" t="n"/>
      <c r="B723" s="125" t="n"/>
      <c r="C723" s="126" t="n"/>
      <c r="D723" s="127" t="n"/>
      <c r="E723" s="127" t="n"/>
      <c r="F723" s="128" t="n"/>
      <c r="G723" s="128" t="n"/>
      <c r="H723" s="129" t="n"/>
      <c r="I723" s="129" t="n"/>
      <c r="J723" s="128" t="n"/>
      <c r="K723" s="130" t="n"/>
      <c r="L723" s="130" t="n"/>
      <c r="M723" s="128" t="n"/>
      <c r="N723" s="129" t="n"/>
    </row>
    <row r="724" ht="15" customHeight="1" s="75">
      <c r="A724" s="124" t="n"/>
      <c r="B724" s="125" t="n"/>
      <c r="C724" s="126" t="n"/>
      <c r="D724" s="127" t="n"/>
      <c r="E724" s="127" t="n"/>
      <c r="F724" s="128" t="n"/>
      <c r="G724" s="128" t="n"/>
      <c r="H724" s="129" t="n"/>
      <c r="I724" s="129" t="n"/>
      <c r="J724" s="128" t="n"/>
      <c r="K724" s="130" t="n"/>
      <c r="L724" s="130" t="n"/>
      <c r="M724" s="128" t="n"/>
      <c r="N724" s="129" t="n"/>
    </row>
    <row r="725" ht="15" customHeight="1" s="75">
      <c r="A725" s="124" t="n"/>
      <c r="B725" s="125" t="n"/>
      <c r="C725" s="126" t="n"/>
      <c r="D725" s="127" t="n"/>
      <c r="E725" s="127" t="n"/>
      <c r="F725" s="128" t="n"/>
      <c r="G725" s="128" t="n"/>
      <c r="H725" s="129" t="n"/>
      <c r="I725" s="129" t="n"/>
      <c r="J725" s="128" t="n"/>
      <c r="K725" s="130" t="n"/>
      <c r="L725" s="130" t="n"/>
      <c r="M725" s="128" t="n"/>
      <c r="N725" s="129" t="n"/>
    </row>
    <row r="726" ht="15" customHeight="1" s="75">
      <c r="A726" s="124" t="n"/>
      <c r="B726" s="125" t="n"/>
      <c r="C726" s="126" t="n"/>
      <c r="D726" s="127" t="n"/>
      <c r="E726" s="127" t="n"/>
      <c r="F726" s="128" t="n"/>
      <c r="G726" s="128" t="n"/>
      <c r="H726" s="129" t="n"/>
      <c r="I726" s="129" t="n"/>
      <c r="J726" s="128" t="n"/>
      <c r="K726" s="130" t="n"/>
      <c r="L726" s="130" t="n"/>
      <c r="M726" s="128" t="n"/>
      <c r="N726" s="129" t="n"/>
    </row>
    <row r="727" ht="15" customHeight="1" s="75">
      <c r="A727" s="124" t="n"/>
      <c r="B727" s="125" t="n"/>
      <c r="C727" s="126" t="n"/>
      <c r="D727" s="127" t="n"/>
      <c r="E727" s="127" t="n"/>
      <c r="F727" s="128" t="n"/>
      <c r="G727" s="128" t="n"/>
      <c r="H727" s="129" t="n"/>
      <c r="I727" s="129" t="n"/>
      <c r="J727" s="128" t="n"/>
      <c r="K727" s="130" t="n"/>
      <c r="L727" s="130" t="n"/>
      <c r="M727" s="128" t="n"/>
      <c r="N727" s="129" t="n"/>
    </row>
    <row r="728" ht="15" customHeight="1" s="75">
      <c r="A728" s="124" t="n"/>
      <c r="B728" s="125" t="n"/>
      <c r="C728" s="126" t="n"/>
      <c r="D728" s="127" t="n"/>
      <c r="E728" s="127" t="n"/>
      <c r="F728" s="128" t="n"/>
      <c r="G728" s="128" t="n"/>
      <c r="H728" s="129" t="n"/>
      <c r="I728" s="129" t="n"/>
      <c r="J728" s="128" t="n"/>
      <c r="K728" s="130" t="n"/>
      <c r="L728" s="130" t="n"/>
      <c r="M728" s="128" t="n"/>
      <c r="N728" s="129" t="n"/>
    </row>
    <row r="729" ht="15" customHeight="1" s="75">
      <c r="A729" s="124" t="n"/>
      <c r="B729" s="125" t="n"/>
      <c r="C729" s="126" t="n"/>
      <c r="D729" s="127" t="n"/>
      <c r="E729" s="127" t="n"/>
      <c r="F729" s="128" t="n"/>
      <c r="G729" s="128" t="n"/>
      <c r="H729" s="129" t="n"/>
      <c r="I729" s="129" t="n"/>
      <c r="J729" s="128" t="n"/>
      <c r="K729" s="130" t="n"/>
      <c r="L729" s="130" t="n"/>
      <c r="M729" s="128" t="n"/>
      <c r="N729" s="129" t="n"/>
    </row>
    <row r="730" ht="15" customHeight="1" s="75">
      <c r="A730" s="124" t="n"/>
      <c r="B730" s="125" t="n"/>
      <c r="C730" s="126" t="n"/>
      <c r="D730" s="127" t="n"/>
      <c r="E730" s="127" t="n"/>
      <c r="F730" s="128" t="n"/>
      <c r="G730" s="128" t="n"/>
      <c r="H730" s="129" t="n"/>
      <c r="I730" s="129" t="n"/>
      <c r="J730" s="128" t="n"/>
      <c r="K730" s="130" t="n"/>
      <c r="L730" s="130" t="n"/>
      <c r="M730" s="128" t="n"/>
      <c r="N730" s="129" t="n"/>
    </row>
    <row r="731" ht="15" customHeight="1" s="75">
      <c r="A731" s="124" t="n"/>
      <c r="B731" s="125" t="n"/>
      <c r="C731" s="126" t="n"/>
      <c r="D731" s="127" t="n"/>
      <c r="E731" s="127" t="n"/>
      <c r="F731" s="128" t="n"/>
      <c r="G731" s="128" t="n"/>
      <c r="H731" s="129" t="n"/>
      <c r="I731" s="129" t="n"/>
      <c r="J731" s="128" t="n"/>
      <c r="K731" s="130" t="n"/>
      <c r="L731" s="130" t="n"/>
      <c r="M731" s="128" t="n"/>
      <c r="N731" s="129" t="n"/>
    </row>
    <row r="732" ht="15" customHeight="1" s="75">
      <c r="A732" s="124" t="n"/>
      <c r="B732" s="125" t="n"/>
      <c r="C732" s="126" t="n"/>
      <c r="D732" s="127" t="n"/>
      <c r="E732" s="127" t="n"/>
      <c r="F732" s="128" t="n"/>
      <c r="G732" s="128" t="n"/>
      <c r="H732" s="129" t="n"/>
      <c r="I732" s="129" t="n"/>
      <c r="J732" s="128" t="n"/>
      <c r="K732" s="130" t="n"/>
      <c r="L732" s="130" t="n"/>
      <c r="M732" s="128" t="n"/>
      <c r="N732" s="129" t="n"/>
    </row>
    <row r="733" ht="15" customHeight="1" s="75">
      <c r="A733" s="124" t="n"/>
      <c r="B733" s="125" t="n"/>
      <c r="C733" s="126" t="n"/>
      <c r="D733" s="127" t="n"/>
      <c r="E733" s="127" t="n"/>
      <c r="F733" s="128" t="n"/>
      <c r="G733" s="128" t="n"/>
      <c r="H733" s="129" t="n"/>
      <c r="I733" s="129" t="n"/>
      <c r="J733" s="128" t="n"/>
      <c r="K733" s="130" t="n"/>
      <c r="L733" s="130" t="n"/>
      <c r="M733" s="128" t="n"/>
      <c r="N733" s="129" t="n"/>
    </row>
    <row r="734" ht="15" customHeight="1" s="75">
      <c r="A734" s="124" t="n"/>
      <c r="B734" s="125" t="n"/>
      <c r="C734" s="126" t="n"/>
      <c r="D734" s="127" t="n"/>
      <c r="E734" s="127" t="n"/>
      <c r="F734" s="128" t="n"/>
      <c r="G734" s="128" t="n"/>
      <c r="H734" s="129" t="n"/>
      <c r="I734" s="129" t="n"/>
      <c r="J734" s="128" t="n"/>
      <c r="K734" s="130" t="n"/>
      <c r="L734" s="130" t="n"/>
      <c r="M734" s="128" t="n"/>
      <c r="N734" s="129" t="n"/>
    </row>
    <row r="735" ht="15" customHeight="1" s="75">
      <c r="A735" s="124" t="n"/>
      <c r="B735" s="125" t="n"/>
      <c r="C735" s="126" t="n"/>
      <c r="D735" s="127" t="n"/>
      <c r="E735" s="127" t="n"/>
      <c r="F735" s="128" t="n"/>
      <c r="G735" s="128" t="n"/>
      <c r="H735" s="129" t="n"/>
      <c r="I735" s="129" t="n"/>
      <c r="J735" s="128" t="n"/>
      <c r="K735" s="130" t="n"/>
      <c r="L735" s="130" t="n"/>
      <c r="M735" s="128" t="n"/>
      <c r="N735" s="129" t="n"/>
    </row>
    <row r="736" ht="15" customHeight="1" s="75">
      <c r="A736" s="124" t="n"/>
      <c r="B736" s="125" t="n"/>
      <c r="C736" s="126" t="n"/>
      <c r="D736" s="127" t="n"/>
      <c r="E736" s="127" t="n"/>
      <c r="F736" s="128" t="n"/>
      <c r="G736" s="128" t="n"/>
      <c r="H736" s="129" t="n"/>
      <c r="I736" s="129" t="n"/>
      <c r="J736" s="128" t="n"/>
      <c r="K736" s="130" t="n"/>
      <c r="L736" s="130" t="n"/>
      <c r="M736" s="128" t="n"/>
      <c r="N736" s="129" t="n"/>
    </row>
    <row r="737" ht="15" customHeight="1" s="75">
      <c r="A737" s="124" t="n"/>
      <c r="B737" s="125" t="n"/>
      <c r="C737" s="126" t="n"/>
      <c r="D737" s="127" t="n"/>
      <c r="E737" s="127" t="n"/>
      <c r="F737" s="128" t="n"/>
      <c r="G737" s="128" t="n"/>
      <c r="H737" s="129" t="n"/>
      <c r="I737" s="129" t="n"/>
      <c r="J737" s="128" t="n"/>
      <c r="K737" s="130" t="n"/>
      <c r="L737" s="130" t="n"/>
      <c r="M737" s="128" t="n"/>
      <c r="N737" s="129" t="n"/>
    </row>
    <row r="738" ht="15" customHeight="1" s="75">
      <c r="A738" s="124" t="n"/>
      <c r="B738" s="125" t="n"/>
      <c r="C738" s="126" t="n"/>
      <c r="D738" s="127" t="n"/>
      <c r="E738" s="127" t="n"/>
      <c r="F738" s="128" t="n"/>
      <c r="G738" s="128" t="n"/>
      <c r="H738" s="129" t="n"/>
      <c r="I738" s="129" t="n"/>
      <c r="J738" s="128" t="n"/>
      <c r="K738" s="130" t="n"/>
      <c r="L738" s="130" t="n"/>
      <c r="M738" s="128" t="n"/>
      <c r="N738" s="129" t="n"/>
    </row>
    <row r="739" ht="15" customHeight="1" s="75">
      <c r="A739" s="124" t="n"/>
      <c r="B739" s="125" t="n"/>
      <c r="C739" s="126" t="n"/>
      <c r="D739" s="127" t="n"/>
      <c r="E739" s="127" t="n"/>
      <c r="F739" s="128" t="n"/>
      <c r="G739" s="128" t="n"/>
      <c r="H739" s="129" t="n"/>
      <c r="I739" s="129" t="n"/>
      <c r="J739" s="128" t="n"/>
      <c r="K739" s="130" t="n"/>
      <c r="L739" s="130" t="n"/>
      <c r="M739" s="128" t="n"/>
      <c r="N739" s="129" t="n"/>
    </row>
    <row r="740" ht="15" customHeight="1" s="75">
      <c r="A740" s="124" t="n"/>
      <c r="B740" s="125" t="n"/>
      <c r="C740" s="126" t="n"/>
      <c r="D740" s="127" t="n"/>
      <c r="E740" s="127" t="n"/>
      <c r="F740" s="128" t="n"/>
      <c r="G740" s="128" t="n"/>
      <c r="H740" s="129" t="n"/>
      <c r="I740" s="129" t="n"/>
      <c r="J740" s="128" t="n"/>
      <c r="K740" s="130" t="n"/>
      <c r="L740" s="130" t="n"/>
      <c r="M740" s="128" t="n"/>
      <c r="N740" s="129" t="n"/>
    </row>
    <row r="741" ht="15" customHeight="1" s="75">
      <c r="A741" s="124" t="n"/>
      <c r="B741" s="125" t="n"/>
      <c r="C741" s="126" t="n"/>
      <c r="D741" s="127" t="n"/>
      <c r="E741" s="127" t="n"/>
      <c r="F741" s="128" t="n"/>
      <c r="G741" s="128" t="n"/>
      <c r="H741" s="129" t="n"/>
      <c r="I741" s="129" t="n"/>
      <c r="J741" s="128" t="n"/>
      <c r="K741" s="130" t="n"/>
      <c r="L741" s="130" t="n"/>
      <c r="M741" s="128" t="n"/>
      <c r="N741" s="129" t="n"/>
    </row>
    <row r="742" ht="15" customHeight="1" s="75">
      <c r="A742" s="124" t="n"/>
      <c r="B742" s="125" t="n"/>
      <c r="C742" s="126" t="n"/>
      <c r="D742" s="127" t="n"/>
      <c r="E742" s="127" t="n"/>
      <c r="F742" s="128" t="n"/>
      <c r="G742" s="128" t="n"/>
      <c r="H742" s="129" t="n"/>
      <c r="I742" s="129" t="n"/>
      <c r="J742" s="128" t="n"/>
      <c r="K742" s="130" t="n"/>
      <c r="L742" s="130" t="n"/>
      <c r="M742" s="128" t="n"/>
      <c r="N742" s="129" t="n"/>
    </row>
    <row r="743" ht="15" customHeight="1" s="75">
      <c r="A743" s="124" t="n"/>
      <c r="B743" s="125" t="n"/>
      <c r="C743" s="126" t="n"/>
      <c r="D743" s="127" t="n"/>
      <c r="E743" s="127" t="n"/>
      <c r="F743" s="128" t="n"/>
      <c r="G743" s="128" t="n"/>
      <c r="H743" s="129" t="n"/>
      <c r="I743" s="129" t="n"/>
      <c r="J743" s="128" t="n"/>
      <c r="K743" s="130" t="n"/>
      <c r="L743" s="130" t="n"/>
      <c r="M743" s="128" t="n"/>
      <c r="N743" s="129" t="n"/>
    </row>
    <row r="744" ht="15" customHeight="1" s="75">
      <c r="A744" s="124" t="n"/>
      <c r="B744" s="125" t="n"/>
      <c r="C744" s="126" t="n"/>
      <c r="D744" s="127" t="n"/>
      <c r="E744" s="127" t="n"/>
      <c r="F744" s="128" t="n"/>
      <c r="G744" s="128" t="n"/>
      <c r="H744" s="129" t="n"/>
      <c r="I744" s="129" t="n"/>
      <c r="J744" s="128" t="n"/>
      <c r="K744" s="130" t="n"/>
      <c r="L744" s="130" t="n"/>
      <c r="M744" s="128" t="n"/>
      <c r="N744" s="129" t="n"/>
    </row>
    <row r="745" ht="15" customHeight="1" s="75">
      <c r="A745" s="124" t="n"/>
      <c r="B745" s="125" t="n"/>
      <c r="C745" s="126" t="n"/>
      <c r="D745" s="127" t="n"/>
      <c r="E745" s="127" t="n"/>
      <c r="F745" s="128" t="n"/>
      <c r="G745" s="128" t="n"/>
      <c r="H745" s="129" t="n"/>
      <c r="I745" s="129" t="n"/>
      <c r="J745" s="128" t="n"/>
      <c r="K745" s="130" t="n"/>
      <c r="L745" s="130" t="n"/>
      <c r="M745" s="128" t="n"/>
      <c r="N745" s="129" t="n"/>
    </row>
    <row r="746" ht="15" customHeight="1" s="75">
      <c r="A746" s="124" t="n"/>
      <c r="B746" s="125" t="n"/>
      <c r="C746" s="126" t="n"/>
      <c r="D746" s="127" t="n"/>
      <c r="E746" s="127" t="n"/>
      <c r="F746" s="128" t="n"/>
      <c r="G746" s="128" t="n"/>
      <c r="H746" s="129" t="n"/>
      <c r="I746" s="129" t="n"/>
      <c r="J746" s="128" t="n"/>
      <c r="K746" s="130" t="n"/>
      <c r="L746" s="130" t="n"/>
      <c r="M746" s="128" t="n"/>
      <c r="N746" s="129" t="n"/>
    </row>
    <row r="747" ht="15" customHeight="1" s="75">
      <c r="A747" s="124" t="n"/>
      <c r="B747" s="125" t="n"/>
      <c r="C747" s="126" t="n"/>
      <c r="D747" s="127" t="n"/>
      <c r="E747" s="127" t="n"/>
      <c r="F747" s="128" t="n"/>
      <c r="G747" s="128" t="n"/>
      <c r="H747" s="129" t="n"/>
      <c r="I747" s="129" t="n"/>
      <c r="J747" s="128" t="n"/>
      <c r="K747" s="130" t="n"/>
      <c r="L747" s="130" t="n"/>
      <c r="M747" s="128" t="n"/>
      <c r="N747" s="129" t="n"/>
    </row>
    <row r="748" ht="15" customHeight="1" s="75">
      <c r="A748" s="124" t="n"/>
      <c r="B748" s="125" t="n"/>
      <c r="C748" s="126" t="n"/>
      <c r="D748" s="127" t="n"/>
      <c r="E748" s="127" t="n"/>
      <c r="F748" s="128" t="n"/>
      <c r="G748" s="128" t="n"/>
      <c r="H748" s="129" t="n"/>
      <c r="I748" s="129" t="n"/>
      <c r="J748" s="128" t="n"/>
      <c r="K748" s="130" t="n"/>
      <c r="L748" s="130" t="n"/>
      <c r="M748" s="128" t="n"/>
      <c r="N748" s="129" t="n"/>
    </row>
    <row r="749" ht="15" customHeight="1" s="75">
      <c r="A749" s="124" t="n"/>
      <c r="B749" s="125" t="n"/>
      <c r="C749" s="126" t="n"/>
      <c r="D749" s="127" t="n"/>
      <c r="E749" s="127" t="n"/>
      <c r="F749" s="128" t="n"/>
      <c r="G749" s="128" t="n"/>
      <c r="H749" s="129" t="n"/>
      <c r="I749" s="129" t="n"/>
      <c r="J749" s="128" t="n"/>
      <c r="K749" s="130" t="n"/>
      <c r="L749" s="130" t="n"/>
      <c r="M749" s="128" t="n"/>
      <c r="N749" s="129" t="n"/>
    </row>
    <row r="750" ht="15" customHeight="1" s="75">
      <c r="A750" s="124" t="n"/>
      <c r="B750" s="125" t="n"/>
      <c r="C750" s="126" t="n"/>
      <c r="D750" s="127" t="n"/>
      <c r="E750" s="127" t="n"/>
      <c r="F750" s="128" t="n"/>
      <c r="G750" s="128" t="n"/>
      <c r="H750" s="129" t="n"/>
      <c r="I750" s="129" t="n"/>
      <c r="J750" s="128" t="n"/>
      <c r="K750" s="130" t="n"/>
      <c r="L750" s="130" t="n"/>
      <c r="M750" s="128" t="n"/>
      <c r="N750" s="129" t="n"/>
    </row>
    <row r="751" ht="15" customHeight="1" s="75">
      <c r="A751" s="124" t="n"/>
      <c r="B751" s="125" t="n"/>
      <c r="C751" s="126" t="n"/>
      <c r="D751" s="127" t="n"/>
      <c r="E751" s="127" t="n"/>
      <c r="F751" s="128" t="n"/>
      <c r="G751" s="128" t="n"/>
      <c r="H751" s="129" t="n"/>
      <c r="I751" s="129" t="n"/>
      <c r="J751" s="128" t="n"/>
      <c r="K751" s="130" t="n"/>
      <c r="L751" s="130" t="n"/>
      <c r="M751" s="128" t="n"/>
      <c r="N751" s="129" t="n"/>
    </row>
    <row r="752" ht="15" customHeight="1" s="75">
      <c r="A752" s="124" t="n"/>
      <c r="B752" s="125" t="n"/>
      <c r="C752" s="126" t="n"/>
      <c r="D752" s="127" t="n"/>
      <c r="E752" s="127" t="n"/>
      <c r="F752" s="128" t="n"/>
      <c r="G752" s="128" t="n"/>
      <c r="H752" s="129" t="n"/>
      <c r="I752" s="129" t="n"/>
      <c r="J752" s="128" t="n"/>
      <c r="K752" s="130" t="n"/>
      <c r="L752" s="130" t="n"/>
      <c r="M752" s="128" t="n"/>
      <c r="N752" s="129" t="n"/>
    </row>
    <row r="753" ht="15" customHeight="1" s="75">
      <c r="A753" s="124" t="n"/>
      <c r="B753" s="125" t="n"/>
      <c r="C753" s="126" t="n"/>
      <c r="D753" s="127" t="n"/>
      <c r="E753" s="127" t="n"/>
      <c r="F753" s="128" t="n"/>
      <c r="G753" s="128" t="n"/>
      <c r="H753" s="129" t="n"/>
      <c r="I753" s="129" t="n"/>
      <c r="J753" s="128" t="n"/>
      <c r="K753" s="130" t="n"/>
      <c r="L753" s="130" t="n"/>
      <c r="M753" s="128" t="n"/>
      <c r="N753" s="129" t="n"/>
    </row>
    <row r="754" ht="15" customHeight="1" s="75">
      <c r="A754" s="124" t="n"/>
      <c r="B754" s="125" t="n"/>
      <c r="C754" s="126" t="n"/>
      <c r="D754" s="127" t="n"/>
      <c r="E754" s="127" t="n"/>
      <c r="F754" s="128" t="n"/>
      <c r="G754" s="128" t="n"/>
      <c r="H754" s="129" t="n"/>
      <c r="I754" s="129" t="n"/>
      <c r="J754" s="128" t="n"/>
      <c r="K754" s="130" t="n"/>
      <c r="L754" s="130" t="n"/>
      <c r="M754" s="128" t="n"/>
      <c r="N754" s="129" t="n"/>
    </row>
    <row r="755" ht="15" customHeight="1" s="75">
      <c r="A755" s="124" t="n"/>
      <c r="B755" s="125" t="n"/>
      <c r="C755" s="126" t="n"/>
      <c r="D755" s="127" t="n"/>
      <c r="E755" s="127" t="n"/>
      <c r="F755" s="128" t="n"/>
      <c r="G755" s="128" t="n"/>
      <c r="H755" s="129" t="n"/>
      <c r="I755" s="129" t="n"/>
      <c r="J755" s="128" t="n"/>
      <c r="K755" s="130" t="n"/>
      <c r="L755" s="130" t="n"/>
      <c r="M755" s="128" t="n"/>
      <c r="N755" s="129" t="n"/>
    </row>
    <row r="756" ht="15" customHeight="1" s="75">
      <c r="A756" s="124" t="n"/>
      <c r="B756" s="125" t="n"/>
      <c r="C756" s="126" t="n"/>
      <c r="D756" s="127" t="n"/>
      <c r="E756" s="127" t="n"/>
      <c r="F756" s="128" t="n"/>
      <c r="G756" s="128" t="n"/>
      <c r="H756" s="129" t="n"/>
      <c r="I756" s="129" t="n"/>
      <c r="J756" s="128" t="n"/>
      <c r="K756" s="130" t="n"/>
      <c r="L756" s="130" t="n"/>
      <c r="M756" s="128" t="n"/>
      <c r="N756" s="129" t="n"/>
    </row>
    <row r="757" ht="15" customHeight="1" s="75">
      <c r="A757" s="124" t="n"/>
      <c r="B757" s="125" t="n"/>
      <c r="C757" s="126" t="n"/>
      <c r="D757" s="127" t="n"/>
      <c r="E757" s="127" t="n"/>
      <c r="F757" s="128" t="n"/>
      <c r="G757" s="128" t="n"/>
      <c r="H757" s="129" t="n"/>
      <c r="I757" s="129" t="n"/>
      <c r="J757" s="128" t="n"/>
      <c r="K757" s="130" t="n"/>
      <c r="L757" s="130" t="n"/>
      <c r="M757" s="128" t="n"/>
      <c r="N757" s="129" t="n"/>
    </row>
    <row r="758" ht="15" customHeight="1" s="75">
      <c r="A758" s="124" t="n"/>
      <c r="B758" s="125" t="n"/>
      <c r="C758" s="126" t="n"/>
      <c r="D758" s="127" t="n"/>
      <c r="E758" s="127" t="n"/>
      <c r="F758" s="128" t="n"/>
      <c r="G758" s="128" t="n"/>
      <c r="H758" s="129" t="n"/>
      <c r="I758" s="129" t="n"/>
      <c r="J758" s="128" t="n"/>
      <c r="K758" s="130" t="n"/>
      <c r="L758" s="130" t="n"/>
      <c r="M758" s="128" t="n"/>
      <c r="N758" s="129" t="n"/>
    </row>
    <row r="759" ht="15" customHeight="1" s="75">
      <c r="A759" s="124" t="n"/>
      <c r="B759" s="125" t="n"/>
      <c r="C759" s="126" t="n"/>
      <c r="D759" s="127" t="n"/>
      <c r="E759" s="127" t="n"/>
      <c r="F759" s="128" t="n"/>
      <c r="G759" s="128" t="n"/>
      <c r="H759" s="129" t="n"/>
      <c r="I759" s="129" t="n"/>
      <c r="J759" s="128" t="n"/>
      <c r="K759" s="130" t="n"/>
      <c r="L759" s="130" t="n"/>
      <c r="M759" s="128" t="n"/>
      <c r="N759" s="129" t="n"/>
    </row>
    <row r="760" ht="15" customHeight="1" s="75">
      <c r="A760" s="124" t="n"/>
      <c r="B760" s="125" t="n"/>
      <c r="C760" s="126" t="n"/>
      <c r="D760" s="127" t="n"/>
      <c r="E760" s="127" t="n"/>
      <c r="F760" s="128" t="n"/>
      <c r="G760" s="128" t="n"/>
      <c r="H760" s="129" t="n"/>
      <c r="I760" s="129" t="n"/>
      <c r="J760" s="128" t="n"/>
      <c r="K760" s="130" t="n"/>
      <c r="L760" s="130" t="n"/>
      <c r="M760" s="128" t="n"/>
      <c r="N760" s="129" t="n"/>
    </row>
    <row r="761" ht="15" customHeight="1" s="75">
      <c r="A761" s="124" t="n"/>
      <c r="B761" s="125" t="n"/>
      <c r="C761" s="126" t="n"/>
      <c r="D761" s="127" t="n"/>
      <c r="E761" s="127" t="n"/>
      <c r="F761" s="128" t="n"/>
      <c r="G761" s="128" t="n"/>
      <c r="H761" s="129" t="n"/>
      <c r="I761" s="129" t="n"/>
      <c r="J761" s="128" t="n"/>
      <c r="K761" s="130" t="n"/>
      <c r="L761" s="130" t="n"/>
      <c r="M761" s="128" t="n"/>
      <c r="N761" s="129" t="n"/>
    </row>
    <row r="762" ht="15" customHeight="1" s="75">
      <c r="A762" s="124" t="n"/>
      <c r="B762" s="125" t="n"/>
      <c r="C762" s="126" t="n"/>
      <c r="D762" s="127" t="n"/>
      <c r="E762" s="127" t="n"/>
      <c r="F762" s="128" t="n"/>
      <c r="G762" s="128" t="n"/>
      <c r="H762" s="129" t="n"/>
      <c r="I762" s="129" t="n"/>
      <c r="J762" s="128" t="n"/>
      <c r="K762" s="130" t="n"/>
      <c r="L762" s="130" t="n"/>
      <c r="M762" s="128" t="n"/>
      <c r="N762" s="129" t="n"/>
    </row>
    <row r="763" ht="15" customHeight="1" s="75">
      <c r="A763" s="124" t="n"/>
      <c r="B763" s="125" t="n"/>
      <c r="C763" s="126" t="n"/>
      <c r="D763" s="127" t="n"/>
      <c r="E763" s="127" t="n"/>
      <c r="F763" s="128" t="n"/>
      <c r="G763" s="128" t="n"/>
      <c r="H763" s="129" t="n"/>
      <c r="I763" s="129" t="n"/>
      <c r="J763" s="128" t="n"/>
      <c r="K763" s="130" t="n"/>
      <c r="L763" s="130" t="n"/>
      <c r="M763" s="128" t="n"/>
      <c r="N763" s="129" t="n"/>
    </row>
    <row r="764" ht="15" customHeight="1" s="75">
      <c r="A764" s="124" t="n"/>
      <c r="B764" s="125" t="n"/>
      <c r="C764" s="126" t="n"/>
      <c r="D764" s="127" t="n"/>
      <c r="E764" s="127" t="n"/>
      <c r="F764" s="128" t="n"/>
      <c r="G764" s="128" t="n"/>
      <c r="H764" s="129" t="n"/>
      <c r="I764" s="129" t="n"/>
      <c r="J764" s="128" t="n"/>
      <c r="K764" s="130" t="n"/>
      <c r="L764" s="130" t="n"/>
      <c r="M764" s="128" t="n"/>
      <c r="N764" s="129" t="n"/>
    </row>
    <row r="765" ht="15" customHeight="1" s="75">
      <c r="A765" s="124" t="n"/>
      <c r="B765" s="125" t="n"/>
      <c r="C765" s="126" t="n"/>
      <c r="D765" s="127" t="n"/>
      <c r="E765" s="127" t="n"/>
      <c r="F765" s="128" t="n"/>
      <c r="G765" s="128" t="n"/>
      <c r="H765" s="129" t="n"/>
      <c r="I765" s="129" t="n"/>
      <c r="J765" s="128" t="n"/>
      <c r="K765" s="130" t="n"/>
      <c r="L765" s="130" t="n"/>
      <c r="M765" s="128" t="n"/>
      <c r="N765" s="129" t="n"/>
    </row>
    <row r="766" ht="15" customHeight="1" s="75">
      <c r="A766" s="124" t="n"/>
      <c r="B766" s="125" t="n"/>
      <c r="C766" s="126" t="n"/>
      <c r="D766" s="127" t="n"/>
      <c r="E766" s="127" t="n"/>
      <c r="F766" s="128" t="n"/>
      <c r="G766" s="128" t="n"/>
      <c r="H766" s="129" t="n"/>
      <c r="I766" s="129" t="n"/>
      <c r="J766" s="128" t="n"/>
      <c r="K766" s="130" t="n"/>
      <c r="L766" s="130" t="n"/>
      <c r="M766" s="128" t="n"/>
      <c r="N766" s="129" t="n"/>
    </row>
    <row r="767" ht="15" customHeight="1" s="75">
      <c r="A767" s="124" t="n"/>
      <c r="B767" s="125" t="n"/>
      <c r="C767" s="126" t="n"/>
      <c r="D767" s="127" t="n"/>
      <c r="E767" s="127" t="n"/>
      <c r="F767" s="128" t="n"/>
      <c r="G767" s="128" t="n"/>
      <c r="H767" s="129" t="n"/>
      <c r="I767" s="129" t="n"/>
      <c r="J767" s="128" t="n"/>
      <c r="K767" s="130" t="n"/>
      <c r="L767" s="130" t="n"/>
      <c r="M767" s="128" t="n"/>
      <c r="N767" s="129" t="n"/>
    </row>
    <row r="768" ht="15" customHeight="1" s="75">
      <c r="A768" s="124" t="n"/>
      <c r="B768" s="125" t="n"/>
      <c r="C768" s="126" t="n"/>
      <c r="D768" s="127" t="n"/>
      <c r="E768" s="127" t="n"/>
      <c r="F768" s="128" t="n"/>
      <c r="G768" s="128" t="n"/>
      <c r="H768" s="129" t="n"/>
      <c r="I768" s="129" t="n"/>
      <c r="J768" s="128" t="n"/>
      <c r="K768" s="130" t="n"/>
      <c r="L768" s="130" t="n"/>
      <c r="M768" s="128" t="n"/>
      <c r="N768" s="129" t="n"/>
    </row>
    <row r="769" ht="15" customHeight="1" s="75">
      <c r="A769" s="124" t="n"/>
      <c r="B769" s="125" t="n"/>
      <c r="C769" s="126" t="n"/>
      <c r="D769" s="127" t="n"/>
      <c r="E769" s="127" t="n"/>
      <c r="F769" s="128" t="n"/>
      <c r="G769" s="128" t="n"/>
      <c r="H769" s="129" t="n"/>
      <c r="I769" s="129" t="n"/>
      <c r="J769" s="128" t="n"/>
      <c r="K769" s="130" t="n"/>
      <c r="L769" s="130" t="n"/>
      <c r="M769" s="128" t="n"/>
      <c r="N769" s="129" t="n"/>
    </row>
    <row r="770" ht="15" customHeight="1" s="75">
      <c r="A770" s="124" t="n"/>
      <c r="B770" s="125" t="n"/>
      <c r="C770" s="126" t="n"/>
      <c r="D770" s="127" t="n"/>
      <c r="E770" s="127" t="n"/>
      <c r="F770" s="128" t="n"/>
      <c r="G770" s="128" t="n"/>
      <c r="H770" s="129" t="n"/>
      <c r="I770" s="129" t="n"/>
      <c r="J770" s="128" t="n"/>
      <c r="K770" s="130" t="n"/>
      <c r="L770" s="130" t="n"/>
      <c r="M770" s="128" t="n"/>
      <c r="N770" s="129" t="n"/>
    </row>
    <row r="771" ht="15" customHeight="1" s="75">
      <c r="A771" s="124" t="n"/>
      <c r="B771" s="125" t="n"/>
      <c r="C771" s="126" t="n"/>
      <c r="D771" s="127" t="n"/>
      <c r="E771" s="127" t="n"/>
      <c r="F771" s="128" t="n"/>
      <c r="G771" s="128" t="n"/>
      <c r="H771" s="129" t="n"/>
      <c r="I771" s="129" t="n"/>
      <c r="J771" s="128" t="n"/>
      <c r="K771" s="130" t="n"/>
      <c r="L771" s="130" t="n"/>
      <c r="M771" s="128" t="n"/>
      <c r="N771" s="129" t="n"/>
    </row>
    <row r="772" ht="15" customHeight="1" s="75">
      <c r="A772" s="124" t="n"/>
      <c r="B772" s="125" t="n"/>
      <c r="C772" s="126" t="n"/>
      <c r="D772" s="127" t="n"/>
      <c r="E772" s="127" t="n"/>
      <c r="F772" s="128" t="n"/>
      <c r="G772" s="128" t="n"/>
      <c r="H772" s="129" t="n"/>
      <c r="I772" s="129" t="n"/>
      <c r="J772" s="128" t="n"/>
      <c r="K772" s="130" t="n"/>
      <c r="L772" s="130" t="n"/>
      <c r="M772" s="128" t="n"/>
      <c r="N772" s="129" t="n"/>
    </row>
    <row r="773" ht="15" customHeight="1" s="75">
      <c r="A773" s="124" t="n"/>
      <c r="B773" s="125" t="n"/>
      <c r="C773" s="126" t="n"/>
      <c r="D773" s="127" t="n"/>
      <c r="E773" s="127" t="n"/>
      <c r="F773" s="128" t="n"/>
      <c r="G773" s="128" t="n"/>
      <c r="H773" s="129" t="n"/>
      <c r="I773" s="129" t="n"/>
      <c r="J773" s="128" t="n"/>
      <c r="K773" s="130" t="n"/>
      <c r="L773" s="130" t="n"/>
      <c r="M773" s="128" t="n"/>
      <c r="N773" s="129" t="n"/>
    </row>
    <row r="774" ht="15" customHeight="1" s="75">
      <c r="A774" s="124" t="n"/>
      <c r="B774" s="125" t="n"/>
      <c r="C774" s="126" t="n"/>
      <c r="D774" s="127" t="n"/>
      <c r="E774" s="127" t="n"/>
      <c r="F774" s="128" t="n"/>
      <c r="G774" s="128" t="n"/>
      <c r="H774" s="129" t="n"/>
      <c r="I774" s="129" t="n"/>
      <c r="J774" s="128" t="n"/>
      <c r="K774" s="130" t="n"/>
      <c r="L774" s="130" t="n"/>
      <c r="M774" s="128" t="n"/>
      <c r="N774" s="129" t="n"/>
    </row>
    <row r="775" ht="15" customHeight="1" s="75">
      <c r="A775" s="124" t="n"/>
      <c r="B775" s="125" t="n"/>
      <c r="C775" s="126" t="n"/>
      <c r="D775" s="127" t="n"/>
      <c r="E775" s="127" t="n"/>
      <c r="F775" s="128" t="n"/>
      <c r="G775" s="128" t="n"/>
      <c r="H775" s="129" t="n"/>
      <c r="I775" s="129" t="n"/>
      <c r="J775" s="128" t="n"/>
      <c r="K775" s="130" t="n"/>
      <c r="L775" s="130" t="n"/>
      <c r="M775" s="128" t="n"/>
      <c r="N775" s="129" t="n"/>
    </row>
    <row r="776" ht="15" customHeight="1" s="75">
      <c r="A776" s="124" t="n"/>
      <c r="B776" s="125" t="n"/>
      <c r="C776" s="126" t="n"/>
      <c r="D776" s="127" t="n"/>
      <c r="E776" s="127" t="n"/>
      <c r="F776" s="128" t="n"/>
      <c r="G776" s="128" t="n"/>
      <c r="H776" s="129" t="n"/>
      <c r="I776" s="129" t="n"/>
      <c r="J776" s="128" t="n"/>
      <c r="K776" s="130" t="n"/>
      <c r="L776" s="130" t="n"/>
      <c r="M776" s="128" t="n"/>
      <c r="N776" s="129" t="n"/>
    </row>
    <row r="777" ht="15" customHeight="1" s="75">
      <c r="A777" s="124" t="n"/>
      <c r="B777" s="125" t="n"/>
      <c r="C777" s="126" t="n"/>
      <c r="D777" s="127" t="n"/>
      <c r="E777" s="127" t="n"/>
      <c r="F777" s="128" t="n"/>
      <c r="G777" s="128" t="n"/>
      <c r="H777" s="129" t="n"/>
      <c r="I777" s="129" t="n"/>
      <c r="J777" s="128" t="n"/>
      <c r="K777" s="130" t="n"/>
      <c r="L777" s="130" t="n"/>
      <c r="M777" s="128" t="n"/>
      <c r="N777" s="129" t="n"/>
    </row>
    <row r="778" ht="15" customHeight="1" s="75">
      <c r="A778" s="124" t="n"/>
      <c r="B778" s="125" t="n"/>
      <c r="C778" s="126" t="n"/>
      <c r="D778" s="127" t="n"/>
      <c r="E778" s="127" t="n"/>
      <c r="F778" s="128" t="n"/>
      <c r="G778" s="128" t="n"/>
      <c r="H778" s="129" t="n"/>
      <c r="I778" s="129" t="n"/>
      <c r="J778" s="128" t="n"/>
      <c r="K778" s="130" t="n"/>
      <c r="L778" s="130" t="n"/>
      <c r="M778" s="128" t="n"/>
      <c r="N778" s="129" t="n"/>
    </row>
    <row r="779" ht="15" customHeight="1" s="75">
      <c r="A779" s="124" t="n"/>
      <c r="B779" s="125" t="n"/>
      <c r="C779" s="126" t="n"/>
      <c r="D779" s="127" t="n"/>
      <c r="E779" s="127" t="n"/>
      <c r="F779" s="128" t="n"/>
      <c r="G779" s="128" t="n"/>
      <c r="H779" s="129" t="n"/>
      <c r="I779" s="129" t="n"/>
      <c r="J779" s="128" t="n"/>
      <c r="K779" s="130" t="n"/>
      <c r="L779" s="130" t="n"/>
      <c r="M779" s="128" t="n"/>
      <c r="N779" s="129" t="n"/>
    </row>
    <row r="780" ht="15" customHeight="1" s="75">
      <c r="A780" s="124" t="n"/>
      <c r="B780" s="125" t="n"/>
      <c r="C780" s="126" t="n"/>
      <c r="D780" s="127" t="n"/>
      <c r="E780" s="127" t="n"/>
      <c r="F780" s="128" t="n"/>
      <c r="G780" s="128" t="n"/>
      <c r="H780" s="129" t="n"/>
      <c r="I780" s="129" t="n"/>
      <c r="J780" s="128" t="n"/>
      <c r="K780" s="130" t="n"/>
      <c r="L780" s="130" t="n"/>
      <c r="M780" s="128" t="n"/>
      <c r="N780" s="129" t="n"/>
    </row>
    <row r="781" ht="15" customHeight="1" s="75">
      <c r="A781" s="124" t="n"/>
      <c r="B781" s="125" t="n"/>
      <c r="C781" s="126" t="n"/>
      <c r="D781" s="127" t="n"/>
      <c r="E781" s="127" t="n"/>
      <c r="F781" s="128" t="n"/>
      <c r="G781" s="128" t="n"/>
      <c r="H781" s="129" t="n"/>
      <c r="I781" s="129" t="n"/>
      <c r="J781" s="128" t="n"/>
      <c r="K781" s="130" t="n"/>
      <c r="L781" s="130" t="n"/>
      <c r="M781" s="128" t="n"/>
      <c r="N781" s="129" t="n"/>
    </row>
    <row r="782" ht="15" customHeight="1" s="75">
      <c r="A782" s="124" t="n"/>
      <c r="B782" s="125" t="n"/>
      <c r="C782" s="126" t="n"/>
      <c r="D782" s="127" t="n"/>
      <c r="E782" s="127" t="n"/>
      <c r="F782" s="128" t="n"/>
      <c r="G782" s="128" t="n"/>
      <c r="H782" s="129" t="n"/>
      <c r="I782" s="129" t="n"/>
      <c r="J782" s="128" t="n"/>
      <c r="K782" s="130" t="n"/>
      <c r="L782" s="130" t="n"/>
      <c r="M782" s="128" t="n"/>
      <c r="N782" s="129" t="n"/>
    </row>
    <row r="783" ht="15" customHeight="1" s="75">
      <c r="A783" s="124" t="n"/>
      <c r="B783" s="125" t="n"/>
      <c r="C783" s="126" t="n"/>
      <c r="D783" s="127" t="n"/>
      <c r="E783" s="127" t="n"/>
      <c r="F783" s="128" t="n"/>
      <c r="G783" s="128" t="n"/>
      <c r="H783" s="129" t="n"/>
      <c r="I783" s="129" t="n"/>
      <c r="J783" s="128" t="n"/>
      <c r="K783" s="130" t="n"/>
      <c r="L783" s="130" t="n"/>
      <c r="M783" s="128" t="n"/>
      <c r="N783" s="129" t="n"/>
    </row>
    <row r="784" ht="15" customHeight="1" s="75">
      <c r="A784" s="124" t="n"/>
      <c r="B784" s="125" t="n"/>
      <c r="C784" s="126" t="n"/>
      <c r="D784" s="127" t="n"/>
      <c r="E784" s="127" t="n"/>
      <c r="F784" s="128" t="n"/>
      <c r="G784" s="128" t="n"/>
      <c r="H784" s="129" t="n"/>
      <c r="I784" s="129" t="n"/>
      <c r="J784" s="128" t="n"/>
      <c r="K784" s="130" t="n"/>
      <c r="L784" s="130" t="n"/>
      <c r="M784" s="128" t="n"/>
      <c r="N784" s="129" t="n"/>
    </row>
    <row r="785" ht="15" customHeight="1" s="75">
      <c r="A785" s="124" t="n"/>
      <c r="B785" s="125" t="n"/>
      <c r="C785" s="126" t="n"/>
      <c r="D785" s="127" t="n"/>
      <c r="E785" s="127" t="n"/>
      <c r="F785" s="128" t="n"/>
      <c r="G785" s="128" t="n"/>
      <c r="H785" s="129" t="n"/>
      <c r="I785" s="129" t="n"/>
      <c r="J785" s="128" t="n"/>
      <c r="K785" s="130" t="n"/>
      <c r="L785" s="130" t="n"/>
      <c r="M785" s="128" t="n"/>
      <c r="N785" s="129" t="n"/>
    </row>
    <row r="786" ht="15" customHeight="1" s="75">
      <c r="A786" s="124" t="n"/>
      <c r="B786" s="125" t="n"/>
      <c r="C786" s="126" t="n"/>
      <c r="D786" s="127" t="n"/>
      <c r="E786" s="127" t="n"/>
      <c r="F786" s="128" t="n"/>
      <c r="G786" s="128" t="n"/>
      <c r="H786" s="129" t="n"/>
      <c r="I786" s="129" t="n"/>
      <c r="J786" s="128" t="n"/>
      <c r="K786" s="130" t="n"/>
      <c r="L786" s="130" t="n"/>
      <c r="M786" s="128" t="n"/>
      <c r="N786" s="129" t="n"/>
    </row>
    <row r="787" ht="15" customHeight="1" s="75">
      <c r="A787" s="124" t="n"/>
      <c r="B787" s="125" t="n"/>
      <c r="C787" s="126" t="n"/>
      <c r="D787" s="127" t="n"/>
      <c r="E787" s="127" t="n"/>
      <c r="F787" s="128" t="n"/>
      <c r="G787" s="128" t="n"/>
      <c r="H787" s="129" t="n"/>
      <c r="I787" s="129" t="n"/>
      <c r="J787" s="128" t="n"/>
      <c r="K787" s="130" t="n"/>
      <c r="L787" s="130" t="n"/>
      <c r="M787" s="128" t="n"/>
      <c r="N787" s="129" t="n"/>
    </row>
    <row r="788" ht="15" customHeight="1" s="75">
      <c r="A788" s="124" t="n"/>
      <c r="B788" s="125" t="n"/>
      <c r="C788" s="126" t="n"/>
      <c r="D788" s="127" t="n"/>
      <c r="E788" s="127" t="n"/>
      <c r="F788" s="128" t="n"/>
      <c r="G788" s="128" t="n"/>
      <c r="H788" s="129" t="n"/>
      <c r="I788" s="129" t="n"/>
      <c r="J788" s="128" t="n"/>
      <c r="K788" s="130" t="n"/>
      <c r="L788" s="130" t="n"/>
      <c r="M788" s="128" t="n"/>
      <c r="N788" s="129" t="n"/>
    </row>
    <row r="789" ht="15" customHeight="1" s="75">
      <c r="A789" s="124" t="n"/>
      <c r="B789" s="125" t="n"/>
      <c r="C789" s="126" t="n"/>
      <c r="D789" s="127" t="n"/>
      <c r="E789" s="127" t="n"/>
      <c r="F789" s="128" t="n"/>
      <c r="G789" s="128" t="n"/>
      <c r="H789" s="129" t="n"/>
      <c r="I789" s="129" t="n"/>
      <c r="J789" s="128" t="n"/>
      <c r="K789" s="130" t="n"/>
      <c r="L789" s="130" t="n"/>
      <c r="M789" s="128" t="n"/>
      <c r="N789" s="129" t="n"/>
    </row>
    <row r="790" ht="15" customHeight="1" s="75">
      <c r="A790" s="124" t="n"/>
      <c r="B790" s="125" t="n"/>
      <c r="C790" s="126" t="n"/>
      <c r="D790" s="127" t="n"/>
      <c r="E790" s="127" t="n"/>
      <c r="F790" s="128" t="n"/>
      <c r="G790" s="128" t="n"/>
      <c r="H790" s="129" t="n"/>
      <c r="I790" s="129" t="n"/>
      <c r="J790" s="128" t="n"/>
      <c r="K790" s="130" t="n"/>
      <c r="L790" s="130" t="n"/>
      <c r="M790" s="128" t="n"/>
      <c r="N790" s="129" t="n"/>
    </row>
    <row r="791" ht="15" customHeight="1" s="75">
      <c r="A791" s="124" t="n"/>
      <c r="B791" s="125" t="n"/>
      <c r="C791" s="126" t="n"/>
      <c r="D791" s="127" t="n"/>
      <c r="E791" s="127" t="n"/>
      <c r="F791" s="128" t="n"/>
      <c r="G791" s="128" t="n"/>
      <c r="H791" s="129" t="n"/>
      <c r="I791" s="129" t="n"/>
      <c r="J791" s="128" t="n"/>
      <c r="K791" s="130" t="n"/>
      <c r="L791" s="130" t="n"/>
      <c r="M791" s="128" t="n"/>
      <c r="N791" s="129" t="n"/>
    </row>
    <row r="792" ht="15" customHeight="1" s="75">
      <c r="A792" s="124" t="n"/>
      <c r="B792" s="125" t="n"/>
      <c r="C792" s="126" t="n"/>
      <c r="D792" s="127" t="n"/>
      <c r="E792" s="127" t="n"/>
      <c r="F792" s="128" t="n"/>
      <c r="G792" s="128" t="n"/>
      <c r="H792" s="129" t="n"/>
      <c r="I792" s="129" t="n"/>
      <c r="J792" s="128" t="n"/>
      <c r="K792" s="130" t="n"/>
      <c r="L792" s="130" t="n"/>
      <c r="M792" s="128" t="n"/>
      <c r="N792" s="129" t="n"/>
    </row>
    <row r="793" ht="15" customHeight="1" s="75">
      <c r="A793" s="124" t="n"/>
      <c r="B793" s="125" t="n"/>
      <c r="C793" s="126" t="n"/>
      <c r="D793" s="127" t="n"/>
      <c r="E793" s="127" t="n"/>
      <c r="F793" s="128" t="n"/>
      <c r="G793" s="128" t="n"/>
      <c r="H793" s="129" t="n"/>
      <c r="I793" s="129" t="n"/>
      <c r="J793" s="128" t="n"/>
      <c r="K793" s="130" t="n"/>
      <c r="L793" s="130" t="n"/>
      <c r="M793" s="128" t="n"/>
      <c r="N793" s="129" t="n"/>
    </row>
    <row r="794" ht="15" customHeight="1" s="75">
      <c r="A794" s="124" t="n"/>
      <c r="B794" s="125" t="n"/>
      <c r="C794" s="126" t="n"/>
      <c r="D794" s="127" t="n"/>
      <c r="E794" s="127" t="n"/>
      <c r="F794" s="128" t="n"/>
      <c r="G794" s="128" t="n"/>
      <c r="H794" s="129" t="n"/>
      <c r="I794" s="129" t="n"/>
      <c r="J794" s="128" t="n"/>
      <c r="K794" s="130" t="n"/>
      <c r="L794" s="130" t="n"/>
      <c r="M794" s="128" t="n"/>
      <c r="N794" s="129" t="n"/>
    </row>
    <row r="795" ht="15" customHeight="1" s="75">
      <c r="A795" s="124" t="n"/>
      <c r="B795" s="125" t="n"/>
      <c r="C795" s="126" t="n"/>
      <c r="D795" s="127" t="n"/>
      <c r="E795" s="127" t="n"/>
      <c r="F795" s="128" t="n"/>
      <c r="G795" s="128" t="n"/>
      <c r="H795" s="129" t="n"/>
      <c r="I795" s="129" t="n"/>
      <c r="J795" s="128" t="n"/>
      <c r="K795" s="130" t="n"/>
      <c r="L795" s="130" t="n"/>
      <c r="M795" s="128" t="n"/>
      <c r="N795" s="129" t="n"/>
    </row>
    <row r="796" ht="15" customHeight="1" s="75">
      <c r="A796" s="124" t="n"/>
      <c r="B796" s="125" t="n"/>
      <c r="C796" s="126" t="n"/>
      <c r="D796" s="127" t="n"/>
      <c r="E796" s="127" t="n"/>
      <c r="F796" s="128" t="n"/>
      <c r="G796" s="128" t="n"/>
      <c r="H796" s="129" t="n"/>
      <c r="I796" s="129" t="n"/>
      <c r="J796" s="128" t="n"/>
      <c r="K796" s="130" t="n"/>
      <c r="L796" s="130" t="n"/>
      <c r="M796" s="128" t="n"/>
      <c r="N796" s="129" t="n"/>
    </row>
    <row r="797" ht="15" customHeight="1" s="75">
      <c r="A797" s="124" t="n"/>
      <c r="B797" s="125" t="n"/>
      <c r="C797" s="126" t="n"/>
      <c r="D797" s="127" t="n"/>
      <c r="E797" s="127" t="n"/>
      <c r="F797" s="128" t="n"/>
      <c r="G797" s="128" t="n"/>
      <c r="H797" s="129" t="n"/>
      <c r="I797" s="129" t="n"/>
      <c r="J797" s="128" t="n"/>
      <c r="K797" s="130" t="n"/>
      <c r="L797" s="130" t="n"/>
      <c r="M797" s="128" t="n"/>
      <c r="N797" s="129" t="n"/>
    </row>
    <row r="798" ht="15" customHeight="1" s="75">
      <c r="A798" s="124" t="n"/>
      <c r="B798" s="125" t="n"/>
      <c r="C798" s="126" t="n"/>
      <c r="D798" s="127" t="n"/>
      <c r="E798" s="127" t="n"/>
      <c r="F798" s="128" t="n"/>
      <c r="G798" s="128" t="n"/>
      <c r="H798" s="129" t="n"/>
      <c r="I798" s="129" t="n"/>
      <c r="J798" s="128" t="n"/>
      <c r="K798" s="130" t="n"/>
      <c r="L798" s="130" t="n"/>
      <c r="M798" s="128" t="n"/>
      <c r="N798" s="129" t="n"/>
    </row>
    <row r="799" ht="15" customHeight="1" s="75">
      <c r="A799" s="124" t="n"/>
      <c r="B799" s="125" t="n"/>
      <c r="C799" s="126" t="n"/>
      <c r="D799" s="127" t="n"/>
      <c r="E799" s="127" t="n"/>
      <c r="F799" s="128" t="n"/>
      <c r="G799" s="128" t="n"/>
      <c r="H799" s="129" t="n"/>
      <c r="I799" s="129" t="n"/>
      <c r="J799" s="128" t="n"/>
      <c r="K799" s="130" t="n"/>
      <c r="L799" s="130" t="n"/>
      <c r="M799" s="128" t="n"/>
      <c r="N799" s="129" t="n"/>
    </row>
    <row r="800" ht="15" customHeight="1" s="75">
      <c r="A800" s="124" t="n"/>
      <c r="B800" s="125" t="n"/>
      <c r="C800" s="126" t="n"/>
      <c r="D800" s="127" t="n"/>
      <c r="E800" s="127" t="n"/>
      <c r="F800" s="128" t="n"/>
      <c r="G800" s="128" t="n"/>
      <c r="H800" s="129" t="n"/>
      <c r="I800" s="129" t="n"/>
      <c r="J800" s="128" t="n"/>
      <c r="K800" s="130" t="n"/>
      <c r="L800" s="130" t="n"/>
      <c r="M800" s="128" t="n"/>
      <c r="N800" s="129" t="n"/>
    </row>
    <row r="801" ht="15" customHeight="1" s="75">
      <c r="A801" s="124" t="n"/>
      <c r="B801" s="125" t="n"/>
      <c r="C801" s="126" t="n"/>
      <c r="D801" s="127" t="n"/>
      <c r="E801" s="127" t="n"/>
      <c r="F801" s="128" t="n"/>
      <c r="G801" s="128" t="n"/>
      <c r="H801" s="129" t="n"/>
      <c r="I801" s="129" t="n"/>
      <c r="J801" s="128" t="n"/>
      <c r="K801" s="130" t="n"/>
      <c r="L801" s="130" t="n"/>
      <c r="M801" s="128" t="n"/>
      <c r="N801" s="129" t="n"/>
    </row>
    <row r="802" ht="15" customHeight="1" s="75">
      <c r="A802" s="124" t="n"/>
      <c r="B802" s="125" t="n"/>
      <c r="C802" s="126" t="n"/>
      <c r="D802" s="127" t="n"/>
      <c r="E802" s="127" t="n"/>
      <c r="F802" s="128" t="n"/>
      <c r="G802" s="128" t="n"/>
      <c r="H802" s="129" t="n"/>
      <c r="I802" s="129" t="n"/>
      <c r="J802" s="128" t="n"/>
      <c r="K802" s="130" t="n"/>
      <c r="L802" s="130" t="n"/>
      <c r="M802" s="128" t="n"/>
      <c r="N802" s="129" t="n"/>
    </row>
    <row r="803" ht="15" customHeight="1" s="75">
      <c r="A803" s="124" t="n"/>
      <c r="B803" s="125" t="n"/>
      <c r="C803" s="126" t="n"/>
      <c r="D803" s="127" t="n"/>
      <c r="E803" s="127" t="n"/>
      <c r="F803" s="128" t="n"/>
      <c r="G803" s="128" t="n"/>
      <c r="H803" s="129" t="n"/>
      <c r="I803" s="129" t="n"/>
      <c r="J803" s="128" t="n"/>
      <c r="K803" s="130" t="n"/>
      <c r="L803" s="130" t="n"/>
      <c r="M803" s="128" t="n"/>
      <c r="N803" s="129" t="n"/>
    </row>
    <row r="804" ht="15" customHeight="1" s="75">
      <c r="A804" s="124" t="n"/>
      <c r="B804" s="125" t="n"/>
      <c r="C804" s="126" t="n"/>
      <c r="D804" s="127" t="n"/>
      <c r="E804" s="127" t="n"/>
      <c r="F804" s="128" t="n"/>
      <c r="G804" s="128" t="n"/>
      <c r="H804" s="129" t="n"/>
      <c r="I804" s="129" t="n"/>
      <c r="J804" s="128" t="n"/>
      <c r="K804" s="130" t="n"/>
      <c r="L804" s="130" t="n"/>
      <c r="M804" s="128" t="n"/>
      <c r="N804" s="129" t="n"/>
    </row>
    <row r="805" ht="15" customHeight="1" s="75">
      <c r="A805" s="124" t="n"/>
      <c r="B805" s="125" t="n"/>
      <c r="C805" s="126" t="n"/>
      <c r="D805" s="127" t="n"/>
      <c r="E805" s="127" t="n"/>
      <c r="F805" s="128" t="n"/>
      <c r="G805" s="128" t="n"/>
      <c r="H805" s="129" t="n"/>
      <c r="I805" s="129" t="n"/>
      <c r="J805" s="128" t="n"/>
      <c r="K805" s="130" t="n"/>
      <c r="L805" s="130" t="n"/>
      <c r="M805" s="128" t="n"/>
      <c r="N805" s="129" t="n"/>
    </row>
    <row r="806" ht="15" customHeight="1" s="75">
      <c r="A806" s="124" t="n"/>
      <c r="B806" s="125" t="n"/>
      <c r="C806" s="126" t="n"/>
      <c r="D806" s="127" t="n"/>
      <c r="E806" s="127" t="n"/>
      <c r="F806" s="128" t="n"/>
      <c r="G806" s="128" t="n"/>
      <c r="H806" s="129" t="n"/>
      <c r="I806" s="129" t="n"/>
      <c r="J806" s="128" t="n"/>
      <c r="K806" s="130" t="n"/>
      <c r="L806" s="130" t="n"/>
      <c r="M806" s="128" t="n"/>
      <c r="N806" s="129" t="n"/>
    </row>
    <row r="807" ht="15" customHeight="1" s="75">
      <c r="A807" s="124" t="n"/>
      <c r="B807" s="125" t="n"/>
      <c r="C807" s="126" t="n"/>
      <c r="D807" s="127" t="n"/>
      <c r="E807" s="127" t="n"/>
      <c r="F807" s="128" t="n"/>
      <c r="G807" s="128" t="n"/>
      <c r="H807" s="129" t="n"/>
      <c r="I807" s="129" t="n"/>
      <c r="J807" s="128" t="n"/>
      <c r="K807" s="130" t="n"/>
      <c r="L807" s="130" t="n"/>
      <c r="M807" s="128" t="n"/>
      <c r="N807" s="129" t="n"/>
    </row>
    <row r="808" ht="15" customHeight="1" s="75">
      <c r="A808" s="124" t="n"/>
      <c r="B808" s="125" t="n"/>
      <c r="C808" s="126" t="n"/>
      <c r="D808" s="127" t="n"/>
      <c r="E808" s="127" t="n"/>
      <c r="F808" s="128" t="n"/>
      <c r="G808" s="128" t="n"/>
      <c r="H808" s="129" t="n"/>
      <c r="I808" s="129" t="n"/>
      <c r="J808" s="128" t="n"/>
      <c r="K808" s="130" t="n"/>
      <c r="L808" s="130" t="n"/>
      <c r="M808" s="128" t="n"/>
      <c r="N808" s="129" t="n"/>
    </row>
    <row r="809" ht="15" customHeight="1" s="75">
      <c r="A809" s="124" t="n"/>
      <c r="B809" s="125" t="n"/>
      <c r="C809" s="126" t="n"/>
      <c r="D809" s="127" t="n"/>
      <c r="E809" s="127" t="n"/>
      <c r="F809" s="128" t="n"/>
      <c r="G809" s="128" t="n"/>
      <c r="H809" s="129" t="n"/>
      <c r="I809" s="129" t="n"/>
      <c r="J809" s="128" t="n"/>
      <c r="K809" s="130" t="n"/>
      <c r="L809" s="130" t="n"/>
      <c r="M809" s="128" t="n"/>
      <c r="N809" s="129" t="n"/>
    </row>
    <row r="810" ht="15" customHeight="1" s="75">
      <c r="A810" s="124" t="n"/>
      <c r="B810" s="125" t="n"/>
      <c r="C810" s="126" t="n"/>
      <c r="D810" s="127" t="n"/>
      <c r="E810" s="127" t="n"/>
      <c r="F810" s="128" t="n"/>
      <c r="G810" s="128" t="n"/>
      <c r="H810" s="129" t="n"/>
      <c r="I810" s="129" t="n"/>
      <c r="J810" s="128" t="n"/>
      <c r="K810" s="130" t="n"/>
      <c r="L810" s="130" t="n"/>
      <c r="M810" s="128" t="n"/>
      <c r="N810" s="129" t="n"/>
    </row>
    <row r="811" ht="15" customHeight="1" s="75">
      <c r="A811" s="124" t="n"/>
      <c r="B811" s="125" t="n"/>
      <c r="C811" s="126" t="n"/>
      <c r="D811" s="127" t="n"/>
      <c r="E811" s="127" t="n"/>
      <c r="F811" s="128" t="n"/>
      <c r="G811" s="128" t="n"/>
      <c r="H811" s="129" t="n"/>
      <c r="I811" s="129" t="n"/>
      <c r="J811" s="128" t="n"/>
      <c r="K811" s="130" t="n"/>
      <c r="L811" s="130" t="n"/>
      <c r="M811" s="128" t="n"/>
      <c r="N811" s="129" t="n"/>
    </row>
    <row r="812" ht="15" customHeight="1" s="75">
      <c r="A812" s="124" t="n"/>
      <c r="B812" s="125" t="n"/>
      <c r="C812" s="126" t="n"/>
      <c r="D812" s="127" t="n"/>
      <c r="E812" s="127" t="n"/>
      <c r="F812" s="128" t="n"/>
      <c r="G812" s="128" t="n"/>
      <c r="H812" s="129" t="n"/>
      <c r="I812" s="129" t="n"/>
      <c r="J812" s="128" t="n"/>
      <c r="K812" s="130" t="n"/>
      <c r="L812" s="130" t="n"/>
      <c r="M812" s="128" t="n"/>
      <c r="N812" s="129" t="n"/>
    </row>
    <row r="813" ht="15" customHeight="1" s="75">
      <c r="A813" s="124" t="n"/>
      <c r="B813" s="125" t="n"/>
      <c r="C813" s="126" t="n"/>
      <c r="D813" s="127" t="n"/>
      <c r="E813" s="127" t="n"/>
      <c r="F813" s="128" t="n"/>
      <c r="G813" s="128" t="n"/>
      <c r="H813" s="129" t="n"/>
      <c r="I813" s="129" t="n"/>
      <c r="J813" s="128" t="n"/>
      <c r="K813" s="130" t="n"/>
      <c r="L813" s="130" t="n"/>
      <c r="M813" s="128" t="n"/>
      <c r="N813" s="129" t="n"/>
    </row>
    <row r="814" ht="15" customHeight="1" s="75">
      <c r="A814" s="124" t="n"/>
      <c r="B814" s="125" t="n"/>
      <c r="C814" s="126" t="n"/>
      <c r="D814" s="127" t="n"/>
      <c r="E814" s="127" t="n"/>
      <c r="F814" s="128" t="n"/>
      <c r="G814" s="128" t="n"/>
      <c r="H814" s="129" t="n"/>
      <c r="I814" s="129" t="n"/>
      <c r="J814" s="128" t="n"/>
      <c r="K814" s="130" t="n"/>
      <c r="L814" s="130" t="n"/>
      <c r="M814" s="128" t="n"/>
      <c r="N814" s="129" t="n"/>
    </row>
    <row r="815" ht="15" customHeight="1" s="75">
      <c r="A815" s="124" t="n"/>
      <c r="B815" s="125" t="n"/>
      <c r="C815" s="126" t="n"/>
      <c r="D815" s="127" t="n"/>
      <c r="E815" s="127" t="n"/>
      <c r="F815" s="128" t="n"/>
      <c r="G815" s="128" t="n"/>
      <c r="H815" s="129" t="n"/>
      <c r="I815" s="129" t="n"/>
      <c r="J815" s="128" t="n"/>
      <c r="K815" s="130" t="n"/>
      <c r="L815" s="130" t="n"/>
      <c r="M815" s="128" t="n"/>
      <c r="N815" s="129" t="n"/>
    </row>
    <row r="816" ht="15" customHeight="1" s="75">
      <c r="A816" s="124" t="n"/>
      <c r="B816" s="125" t="n"/>
      <c r="C816" s="126" t="n"/>
      <c r="D816" s="127" t="n"/>
      <c r="E816" s="127" t="n"/>
      <c r="F816" s="128" t="n"/>
      <c r="G816" s="128" t="n"/>
      <c r="H816" s="129" t="n"/>
      <c r="I816" s="129" t="n"/>
      <c r="J816" s="128" t="n"/>
      <c r="K816" s="130" t="n"/>
      <c r="L816" s="130" t="n"/>
      <c r="M816" s="128" t="n"/>
      <c r="N816" s="129" t="n"/>
    </row>
    <row r="817" ht="15" customHeight="1" s="75">
      <c r="A817" s="124" t="n"/>
      <c r="B817" s="125" t="n"/>
      <c r="C817" s="126" t="n"/>
      <c r="D817" s="127" t="n"/>
      <c r="E817" s="127" t="n"/>
      <c r="F817" s="128" t="n"/>
      <c r="G817" s="128" t="n"/>
      <c r="H817" s="129" t="n"/>
      <c r="I817" s="129" t="n"/>
      <c r="J817" s="128" t="n"/>
      <c r="K817" s="130" t="n"/>
      <c r="L817" s="130" t="n"/>
      <c r="M817" s="128" t="n"/>
      <c r="N817" s="129" t="n"/>
    </row>
    <row r="818" ht="15" customHeight="1" s="75">
      <c r="A818" s="124" t="n"/>
      <c r="B818" s="125" t="n"/>
      <c r="C818" s="126" t="n"/>
      <c r="D818" s="127" t="n"/>
      <c r="E818" s="127" t="n"/>
      <c r="F818" s="128" t="n"/>
      <c r="G818" s="128" t="n"/>
      <c r="H818" s="129" t="n"/>
      <c r="I818" s="129" t="n"/>
      <c r="J818" s="128" t="n"/>
      <c r="K818" s="130" t="n"/>
      <c r="L818" s="130" t="n"/>
      <c r="M818" s="128" t="n"/>
      <c r="N818" s="129" t="n"/>
    </row>
    <row r="819" ht="15" customHeight="1" s="75">
      <c r="A819" s="124" t="n"/>
      <c r="B819" s="125" t="n"/>
      <c r="C819" s="126" t="n"/>
      <c r="D819" s="127" t="n"/>
      <c r="E819" s="127" t="n"/>
      <c r="F819" s="128" t="n"/>
      <c r="G819" s="128" t="n"/>
      <c r="H819" s="129" t="n"/>
      <c r="I819" s="129" t="n"/>
      <c r="J819" s="128" t="n"/>
      <c r="K819" s="130" t="n"/>
      <c r="L819" s="130" t="n"/>
      <c r="M819" s="128" t="n"/>
      <c r="N819" s="129" t="n"/>
    </row>
    <row r="820" ht="15" customHeight="1" s="75">
      <c r="A820" s="124" t="n"/>
      <c r="B820" s="125" t="n"/>
      <c r="C820" s="126" t="n"/>
      <c r="D820" s="127" t="n"/>
      <c r="E820" s="127" t="n"/>
      <c r="F820" s="128" t="n"/>
      <c r="G820" s="128" t="n"/>
      <c r="H820" s="129" t="n"/>
      <c r="I820" s="129" t="n"/>
      <c r="J820" s="128" t="n"/>
      <c r="K820" s="130" t="n"/>
      <c r="L820" s="130" t="n"/>
      <c r="M820" s="128" t="n"/>
      <c r="N820" s="129" t="n"/>
    </row>
    <row r="821" ht="15" customHeight="1" s="75">
      <c r="A821" s="124" t="n"/>
      <c r="B821" s="125" t="n"/>
      <c r="C821" s="126" t="n"/>
      <c r="D821" s="127" t="n"/>
      <c r="E821" s="127" t="n"/>
      <c r="F821" s="128" t="n"/>
      <c r="G821" s="128" t="n"/>
      <c r="H821" s="129" t="n"/>
      <c r="I821" s="129" t="n"/>
      <c r="J821" s="128" t="n"/>
      <c r="K821" s="130" t="n"/>
      <c r="L821" s="130" t="n"/>
      <c r="M821" s="128" t="n"/>
      <c r="N821" s="129" t="n"/>
    </row>
    <row r="822" ht="15" customHeight="1" s="75">
      <c r="A822" s="124" t="n"/>
      <c r="B822" s="125" t="n"/>
      <c r="C822" s="126" t="n"/>
      <c r="D822" s="127" t="n"/>
      <c r="E822" s="127" t="n"/>
      <c r="F822" s="128" t="n"/>
      <c r="G822" s="128" t="n"/>
      <c r="H822" s="129" t="n"/>
      <c r="I822" s="129" t="n"/>
      <c r="J822" s="128" t="n"/>
      <c r="K822" s="130" t="n"/>
      <c r="L822" s="130" t="n"/>
      <c r="M822" s="128" t="n"/>
      <c r="N822" s="129" t="n"/>
    </row>
    <row r="823" ht="15" customHeight="1" s="75">
      <c r="A823" s="124" t="n"/>
      <c r="B823" s="125" t="n"/>
      <c r="C823" s="126" t="n"/>
      <c r="D823" s="127" t="n"/>
      <c r="E823" s="127" t="n"/>
      <c r="F823" s="128" t="n"/>
      <c r="G823" s="128" t="n"/>
      <c r="H823" s="129" t="n"/>
      <c r="I823" s="129" t="n"/>
      <c r="J823" s="128" t="n"/>
      <c r="K823" s="130" t="n"/>
      <c r="L823" s="130" t="n"/>
      <c r="M823" s="128" t="n"/>
      <c r="N823" s="129" t="n"/>
    </row>
    <row r="824" ht="15" customHeight="1" s="75">
      <c r="A824" s="124" t="n"/>
      <c r="B824" s="125" t="n"/>
      <c r="C824" s="126" t="n"/>
      <c r="D824" s="127" t="n"/>
      <c r="E824" s="127" t="n"/>
      <c r="F824" s="128" t="n"/>
      <c r="G824" s="128" t="n"/>
      <c r="H824" s="129" t="n"/>
      <c r="I824" s="129" t="n"/>
      <c r="J824" s="128" t="n"/>
      <c r="K824" s="130" t="n"/>
      <c r="L824" s="130" t="n"/>
      <c r="M824" s="128" t="n"/>
      <c r="N824" s="129" t="n"/>
    </row>
    <row r="825" ht="15" customHeight="1" s="75">
      <c r="A825" s="124" t="n"/>
      <c r="B825" s="125" t="n"/>
      <c r="C825" s="126" t="n"/>
      <c r="D825" s="127" t="n"/>
      <c r="E825" s="127" t="n"/>
      <c r="F825" s="128" t="n"/>
      <c r="G825" s="128" t="n"/>
      <c r="H825" s="129" t="n"/>
      <c r="I825" s="129" t="n"/>
      <c r="J825" s="128" t="n"/>
      <c r="K825" s="130" t="n"/>
      <c r="L825" s="130" t="n"/>
      <c r="M825" s="128" t="n"/>
      <c r="N825" s="129" t="n"/>
    </row>
    <row r="826" ht="15" customHeight="1" s="75">
      <c r="A826" s="124" t="n"/>
      <c r="B826" s="125" t="n"/>
      <c r="C826" s="126" t="n"/>
      <c r="D826" s="127" t="n"/>
      <c r="E826" s="127" t="n"/>
      <c r="F826" s="128" t="n"/>
      <c r="G826" s="128" t="n"/>
      <c r="H826" s="129" t="n"/>
      <c r="I826" s="129" t="n"/>
      <c r="J826" s="128" t="n"/>
      <c r="K826" s="130" t="n"/>
      <c r="L826" s="130" t="n"/>
      <c r="M826" s="128" t="n"/>
      <c r="N826" s="129" t="n"/>
    </row>
    <row r="827" ht="15" customHeight="1" s="75">
      <c r="A827" s="124" t="n"/>
      <c r="B827" s="125" t="n"/>
      <c r="C827" s="126" t="n"/>
      <c r="D827" s="127" t="n"/>
      <c r="E827" s="127" t="n"/>
      <c r="F827" s="128" t="n"/>
      <c r="G827" s="128" t="n"/>
      <c r="H827" s="129" t="n"/>
      <c r="I827" s="129" t="n"/>
      <c r="J827" s="128" t="n"/>
      <c r="K827" s="130" t="n"/>
      <c r="L827" s="130" t="n"/>
      <c r="M827" s="128" t="n"/>
      <c r="N827" s="129" t="n"/>
    </row>
    <row r="828" ht="15" customHeight="1" s="75">
      <c r="A828" s="124" t="n"/>
      <c r="B828" s="125" t="n"/>
      <c r="C828" s="126" t="n"/>
      <c r="D828" s="127" t="n"/>
      <c r="E828" s="127" t="n"/>
      <c r="F828" s="128" t="n"/>
      <c r="G828" s="128" t="n"/>
      <c r="H828" s="129" t="n"/>
      <c r="I828" s="129" t="n"/>
      <c r="J828" s="128" t="n"/>
      <c r="K828" s="130" t="n"/>
      <c r="L828" s="130" t="n"/>
      <c r="M828" s="128" t="n"/>
      <c r="N828" s="129" t="n"/>
    </row>
    <row r="829" ht="15" customHeight="1" s="75">
      <c r="A829" s="124" t="n"/>
      <c r="B829" s="125" t="n"/>
      <c r="C829" s="126" t="n"/>
      <c r="D829" s="127" t="n"/>
      <c r="E829" s="127" t="n"/>
      <c r="F829" s="128" t="n"/>
      <c r="G829" s="128" t="n"/>
      <c r="H829" s="129" t="n"/>
      <c r="I829" s="129" t="n"/>
      <c r="J829" s="128" t="n"/>
      <c r="K829" s="130" t="n"/>
      <c r="L829" s="130" t="n"/>
      <c r="M829" s="128" t="n"/>
      <c r="N829" s="129" t="n"/>
    </row>
    <row r="830" ht="15" customHeight="1" s="75">
      <c r="A830" s="124" t="n"/>
      <c r="B830" s="125" t="n"/>
      <c r="C830" s="126" t="n"/>
      <c r="D830" s="127" t="n"/>
      <c r="E830" s="127" t="n"/>
      <c r="F830" s="128" t="n"/>
      <c r="G830" s="128" t="n"/>
      <c r="H830" s="129" t="n"/>
      <c r="I830" s="129" t="n"/>
      <c r="J830" s="128" t="n"/>
      <c r="K830" s="130" t="n"/>
      <c r="L830" s="130" t="n"/>
      <c r="M830" s="128" t="n"/>
      <c r="N830" s="129" t="n"/>
    </row>
    <row r="831" ht="15" customHeight="1" s="75">
      <c r="A831" s="124" t="n"/>
      <c r="B831" s="125" t="n"/>
      <c r="C831" s="126" t="n"/>
      <c r="D831" s="127" t="n"/>
      <c r="E831" s="127" t="n"/>
      <c r="F831" s="128" t="n"/>
      <c r="G831" s="128" t="n"/>
      <c r="H831" s="129" t="n"/>
      <c r="I831" s="129" t="n"/>
      <c r="J831" s="128" t="n"/>
      <c r="K831" s="130" t="n"/>
      <c r="L831" s="130" t="n"/>
      <c r="M831" s="128" t="n"/>
      <c r="N831" s="129" t="n"/>
    </row>
    <row r="832" ht="15" customHeight="1" s="75">
      <c r="A832" s="124" t="n"/>
      <c r="B832" s="125" t="n"/>
      <c r="C832" s="126" t="n"/>
      <c r="D832" s="127" t="n"/>
      <c r="E832" s="127" t="n"/>
      <c r="F832" s="128" t="n"/>
      <c r="G832" s="128" t="n"/>
      <c r="H832" s="129" t="n"/>
      <c r="I832" s="129" t="n"/>
      <c r="J832" s="128" t="n"/>
      <c r="K832" s="130" t="n"/>
      <c r="L832" s="130" t="n"/>
      <c r="M832" s="128" t="n"/>
      <c r="N832" s="129" t="n"/>
    </row>
    <row r="833" ht="15" customHeight="1" s="75">
      <c r="A833" s="124" t="n"/>
      <c r="B833" s="125" t="n"/>
      <c r="C833" s="126" t="n"/>
      <c r="D833" s="127" t="n"/>
      <c r="E833" s="127" t="n"/>
      <c r="F833" s="128" t="n"/>
      <c r="G833" s="128" t="n"/>
      <c r="H833" s="129" t="n"/>
      <c r="I833" s="129" t="n"/>
      <c r="J833" s="128" t="n"/>
      <c r="K833" s="130" t="n"/>
      <c r="L833" s="130" t="n"/>
      <c r="M833" s="128" t="n"/>
      <c r="N833" s="129" t="n"/>
    </row>
    <row r="834" ht="15" customHeight="1" s="75">
      <c r="A834" s="124" t="n"/>
      <c r="B834" s="125" t="n"/>
      <c r="C834" s="126" t="n"/>
      <c r="D834" s="127" t="n"/>
      <c r="E834" s="127" t="n"/>
      <c r="F834" s="128" t="n"/>
      <c r="G834" s="128" t="n"/>
      <c r="H834" s="129" t="n"/>
      <c r="I834" s="129" t="n"/>
      <c r="J834" s="128" t="n"/>
      <c r="K834" s="130" t="n"/>
      <c r="L834" s="130" t="n"/>
      <c r="M834" s="128" t="n"/>
      <c r="N834" s="129" t="n"/>
    </row>
    <row r="835" ht="15" customHeight="1" s="75">
      <c r="A835" s="124" t="n"/>
      <c r="B835" s="125" t="n"/>
      <c r="C835" s="126" t="n"/>
      <c r="D835" s="127" t="n"/>
      <c r="E835" s="127" t="n"/>
      <c r="F835" s="128" t="n"/>
      <c r="G835" s="128" t="n"/>
      <c r="H835" s="129" t="n"/>
      <c r="I835" s="129" t="n"/>
      <c r="J835" s="128" t="n"/>
      <c r="K835" s="130" t="n"/>
      <c r="L835" s="130" t="n"/>
      <c r="M835" s="128" t="n"/>
      <c r="N835" s="129" t="n"/>
    </row>
    <row r="836" ht="15" customHeight="1" s="75">
      <c r="A836" s="124" t="n"/>
      <c r="B836" s="125" t="n"/>
      <c r="C836" s="126" t="n"/>
      <c r="D836" s="127" t="n"/>
      <c r="E836" s="127" t="n"/>
      <c r="F836" s="128" t="n"/>
      <c r="G836" s="128" t="n"/>
      <c r="H836" s="129" t="n"/>
      <c r="I836" s="129" t="n"/>
      <c r="J836" s="128" t="n"/>
      <c r="K836" s="130" t="n"/>
      <c r="L836" s="130" t="n"/>
      <c r="M836" s="128" t="n"/>
      <c r="N836" s="129" t="n"/>
    </row>
    <row r="837" ht="15" customHeight="1" s="75">
      <c r="A837" s="124" t="n"/>
      <c r="B837" s="125" t="n"/>
      <c r="C837" s="126" t="n"/>
      <c r="D837" s="127" t="n"/>
      <c r="E837" s="127" t="n"/>
      <c r="F837" s="128" t="n"/>
      <c r="G837" s="128" t="n"/>
      <c r="H837" s="129" t="n"/>
      <c r="I837" s="129" t="n"/>
      <c r="J837" s="128" t="n"/>
      <c r="K837" s="130" t="n"/>
      <c r="L837" s="130" t="n"/>
      <c r="M837" s="128" t="n"/>
      <c r="N837" s="129" t="n"/>
    </row>
    <row r="838" ht="15" customHeight="1" s="75">
      <c r="A838" s="124" t="n"/>
      <c r="B838" s="125" t="n"/>
      <c r="C838" s="126" t="n"/>
      <c r="D838" s="127" t="n"/>
      <c r="E838" s="127" t="n"/>
      <c r="F838" s="128" t="n"/>
      <c r="G838" s="128" t="n"/>
      <c r="H838" s="129" t="n"/>
      <c r="I838" s="129" t="n"/>
      <c r="J838" s="128" t="n"/>
      <c r="K838" s="130" t="n"/>
      <c r="L838" s="130" t="n"/>
      <c r="M838" s="128" t="n"/>
      <c r="N838" s="129" t="n"/>
    </row>
    <row r="839" ht="15" customHeight="1" s="75">
      <c r="A839" s="124" t="n"/>
      <c r="B839" s="125" t="n"/>
      <c r="C839" s="126" t="n"/>
      <c r="D839" s="127" t="n"/>
      <c r="E839" s="127" t="n"/>
      <c r="F839" s="128" t="n"/>
      <c r="G839" s="128" t="n"/>
      <c r="H839" s="129" t="n"/>
      <c r="I839" s="129" t="n"/>
      <c r="J839" s="128" t="n"/>
      <c r="K839" s="130" t="n"/>
      <c r="L839" s="130" t="n"/>
      <c r="M839" s="128" t="n"/>
      <c r="N839" s="129" t="n"/>
    </row>
    <row r="840" ht="15" customHeight="1" s="75">
      <c r="A840" s="124" t="n"/>
      <c r="B840" s="125" t="n"/>
      <c r="C840" s="126" t="n"/>
      <c r="D840" s="127" t="n"/>
      <c r="E840" s="127" t="n"/>
      <c r="F840" s="128" t="n"/>
      <c r="G840" s="128" t="n"/>
      <c r="H840" s="129" t="n"/>
      <c r="I840" s="129" t="n"/>
      <c r="J840" s="128" t="n"/>
      <c r="K840" s="130" t="n"/>
      <c r="L840" s="130" t="n"/>
      <c r="M840" s="128" t="n"/>
      <c r="N840" s="129" t="n"/>
    </row>
    <row r="841" ht="15" customHeight="1" s="75">
      <c r="A841" s="124" t="n"/>
      <c r="B841" s="125" t="n"/>
      <c r="C841" s="126" t="n"/>
      <c r="D841" s="127" t="n"/>
      <c r="E841" s="127" t="n"/>
      <c r="F841" s="128" t="n"/>
      <c r="G841" s="128" t="n"/>
      <c r="H841" s="129" t="n"/>
      <c r="I841" s="129" t="n"/>
      <c r="J841" s="128" t="n"/>
      <c r="K841" s="130" t="n"/>
      <c r="L841" s="130" t="n"/>
      <c r="M841" s="128" t="n"/>
      <c r="N841" s="129" t="n"/>
    </row>
    <row r="842" ht="15" customHeight="1" s="75">
      <c r="A842" s="124" t="n"/>
      <c r="B842" s="125" t="n"/>
      <c r="C842" s="126" t="n"/>
      <c r="D842" s="127" t="n"/>
      <c r="E842" s="127" t="n"/>
      <c r="F842" s="128" t="n"/>
      <c r="G842" s="128" t="n"/>
      <c r="H842" s="129" t="n"/>
      <c r="I842" s="129" t="n"/>
      <c r="J842" s="128" t="n"/>
      <c r="K842" s="130" t="n"/>
      <c r="L842" s="130" t="n"/>
      <c r="M842" s="128" t="n"/>
      <c r="N842" s="129" t="n"/>
    </row>
    <row r="843" ht="15" customHeight="1" s="75">
      <c r="A843" s="124" t="n"/>
      <c r="B843" s="125" t="n"/>
      <c r="C843" s="126" t="n"/>
      <c r="D843" s="127" t="n"/>
      <c r="E843" s="127" t="n"/>
      <c r="F843" s="128" t="n"/>
      <c r="G843" s="128" t="n"/>
      <c r="H843" s="129" t="n"/>
      <c r="I843" s="129" t="n"/>
      <c r="J843" s="128" t="n"/>
      <c r="K843" s="130" t="n"/>
      <c r="L843" s="130" t="n"/>
      <c r="M843" s="128" t="n"/>
      <c r="N843" s="129" t="n"/>
    </row>
    <row r="844" ht="15" customHeight="1" s="75">
      <c r="A844" s="124" t="n"/>
      <c r="B844" s="125" t="n"/>
      <c r="C844" s="126" t="n"/>
      <c r="D844" s="127" t="n"/>
      <c r="E844" s="127" t="n"/>
      <c r="F844" s="128" t="n"/>
      <c r="G844" s="128" t="n"/>
      <c r="H844" s="129" t="n"/>
      <c r="I844" s="129" t="n"/>
      <c r="J844" s="128" t="n"/>
      <c r="K844" s="130" t="n"/>
      <c r="L844" s="130" t="n"/>
      <c r="M844" s="128" t="n"/>
      <c r="N844" s="129" t="n"/>
    </row>
    <row r="845" ht="15" customHeight="1" s="75">
      <c r="A845" s="124" t="n"/>
      <c r="B845" s="125" t="n"/>
      <c r="C845" s="126" t="n"/>
      <c r="D845" s="127" t="n"/>
      <c r="E845" s="127" t="n"/>
      <c r="F845" s="128" t="n"/>
      <c r="G845" s="128" t="n"/>
      <c r="H845" s="129" t="n"/>
      <c r="I845" s="129" t="n"/>
      <c r="J845" s="128" t="n"/>
      <c r="K845" s="130" t="n"/>
      <c r="L845" s="130" t="n"/>
      <c r="M845" s="128" t="n"/>
      <c r="N845" s="129" t="n"/>
    </row>
    <row r="846" ht="15" customHeight="1" s="75">
      <c r="A846" s="124" t="n"/>
      <c r="B846" s="125" t="n"/>
      <c r="C846" s="126" t="n"/>
      <c r="D846" s="127" t="n"/>
      <c r="E846" s="127" t="n"/>
      <c r="F846" s="128" t="n"/>
      <c r="G846" s="128" t="n"/>
      <c r="H846" s="129" t="n"/>
      <c r="I846" s="129" t="n"/>
      <c r="J846" s="128" t="n"/>
      <c r="K846" s="130" t="n"/>
      <c r="L846" s="130" t="n"/>
      <c r="M846" s="128" t="n"/>
      <c r="N846" s="129" t="n"/>
    </row>
    <row r="847" ht="15" customHeight="1" s="75">
      <c r="A847" s="124" t="n"/>
      <c r="B847" s="125" t="n"/>
      <c r="C847" s="126" t="n"/>
      <c r="D847" s="127" t="n"/>
      <c r="E847" s="127" t="n"/>
      <c r="F847" s="128" t="n"/>
      <c r="G847" s="128" t="n"/>
      <c r="H847" s="129" t="n"/>
      <c r="I847" s="129" t="n"/>
      <c r="J847" s="128" t="n"/>
      <c r="K847" s="130" t="n"/>
      <c r="L847" s="130" t="n"/>
      <c r="M847" s="128" t="n"/>
      <c r="N847" s="129" t="n"/>
    </row>
    <row r="848" ht="15" customHeight="1" s="75">
      <c r="A848" s="124" t="n"/>
      <c r="B848" s="125" t="n"/>
      <c r="C848" s="126" t="n"/>
      <c r="D848" s="127" t="n"/>
      <c r="E848" s="127" t="n"/>
      <c r="F848" s="128" t="n"/>
      <c r="G848" s="128" t="n"/>
      <c r="H848" s="129" t="n"/>
      <c r="I848" s="129" t="n"/>
      <c r="J848" s="128" t="n"/>
      <c r="K848" s="130" t="n"/>
      <c r="L848" s="130" t="n"/>
      <c r="M848" s="128" t="n"/>
      <c r="N848" s="129" t="n"/>
    </row>
    <row r="849" ht="15" customHeight="1" s="75">
      <c r="A849" s="124" t="n"/>
      <c r="B849" s="125" t="n"/>
      <c r="C849" s="126" t="n"/>
      <c r="D849" s="127" t="n"/>
      <c r="E849" s="127" t="n"/>
      <c r="F849" s="128" t="n"/>
      <c r="G849" s="128" t="n"/>
      <c r="H849" s="129" t="n"/>
      <c r="I849" s="129" t="n"/>
      <c r="J849" s="128" t="n"/>
      <c r="K849" s="130" t="n"/>
      <c r="L849" s="130" t="n"/>
      <c r="M849" s="128" t="n"/>
      <c r="N849" s="129" t="n"/>
    </row>
    <row r="850" ht="15" customHeight="1" s="75">
      <c r="A850" s="124" t="n"/>
      <c r="B850" s="125" t="n"/>
      <c r="C850" s="126" t="n"/>
      <c r="D850" s="127" t="n"/>
      <c r="E850" s="127" t="n"/>
      <c r="F850" s="128" t="n"/>
      <c r="G850" s="128" t="n"/>
      <c r="H850" s="129" t="n"/>
      <c r="I850" s="129" t="n"/>
      <c r="J850" s="128" t="n"/>
      <c r="K850" s="130" t="n"/>
      <c r="L850" s="130" t="n"/>
      <c r="M850" s="128" t="n"/>
      <c r="N850" s="129" t="n"/>
    </row>
    <row r="851" ht="15" customHeight="1" s="75">
      <c r="A851" s="124" t="n"/>
      <c r="B851" s="125" t="n"/>
      <c r="C851" s="126" t="n"/>
      <c r="D851" s="127" t="n"/>
      <c r="E851" s="127" t="n"/>
      <c r="F851" s="128" t="n"/>
      <c r="G851" s="128" t="n"/>
      <c r="H851" s="129" t="n"/>
      <c r="I851" s="129" t="n"/>
      <c r="J851" s="128" t="n"/>
      <c r="K851" s="130" t="n"/>
      <c r="L851" s="130" t="n"/>
      <c r="M851" s="128" t="n"/>
      <c r="N851" s="129" t="n"/>
    </row>
    <row r="852" ht="15" customHeight="1" s="75">
      <c r="A852" s="124" t="n"/>
      <c r="B852" s="125" t="n"/>
      <c r="C852" s="126" t="n"/>
      <c r="D852" s="127" t="n"/>
      <c r="E852" s="127" t="n"/>
      <c r="F852" s="128" t="n"/>
      <c r="G852" s="128" t="n"/>
      <c r="H852" s="129" t="n"/>
      <c r="I852" s="129" t="n"/>
      <c r="J852" s="128" t="n"/>
      <c r="K852" s="130" t="n"/>
      <c r="L852" s="130" t="n"/>
      <c r="M852" s="128" t="n"/>
      <c r="N852" s="129" t="n"/>
    </row>
    <row r="853" ht="15" customHeight="1" s="75">
      <c r="A853" s="124" t="n"/>
      <c r="B853" s="125" t="n"/>
      <c r="C853" s="126" t="n"/>
      <c r="D853" s="127" t="n"/>
      <c r="E853" s="127" t="n"/>
      <c r="F853" s="128" t="n"/>
      <c r="G853" s="128" t="n"/>
      <c r="H853" s="129" t="n"/>
      <c r="I853" s="129" t="n"/>
      <c r="J853" s="128" t="n"/>
      <c r="K853" s="130" t="n"/>
      <c r="L853" s="130" t="n"/>
      <c r="M853" s="128" t="n"/>
      <c r="N853" s="129" t="n"/>
    </row>
    <row r="854" ht="15" customHeight="1" s="75">
      <c r="A854" s="124" t="n"/>
      <c r="B854" s="125" t="n"/>
      <c r="C854" s="126" t="n"/>
      <c r="D854" s="127" t="n"/>
      <c r="E854" s="127" t="n"/>
      <c r="F854" s="128" t="n"/>
      <c r="G854" s="128" t="n"/>
      <c r="H854" s="129" t="n"/>
      <c r="I854" s="129" t="n"/>
      <c r="J854" s="128" t="n"/>
      <c r="K854" s="130" t="n"/>
      <c r="L854" s="130" t="n"/>
      <c r="M854" s="128" t="n"/>
      <c r="N854" s="129" t="n"/>
    </row>
    <row r="855" ht="15" customHeight="1" s="75">
      <c r="A855" s="124" t="n"/>
      <c r="B855" s="125" t="n"/>
      <c r="C855" s="126" t="n"/>
      <c r="D855" s="127" t="n"/>
      <c r="E855" s="127" t="n"/>
      <c r="F855" s="128" t="n"/>
      <c r="G855" s="128" t="n"/>
      <c r="H855" s="129" t="n"/>
      <c r="I855" s="129" t="n"/>
      <c r="J855" s="128" t="n"/>
      <c r="K855" s="130" t="n"/>
      <c r="L855" s="130" t="n"/>
      <c r="M855" s="128" t="n"/>
      <c r="N855" s="129" t="n"/>
    </row>
    <row r="856" ht="15" customHeight="1" s="75">
      <c r="A856" s="124" t="n"/>
      <c r="B856" s="125" t="n"/>
      <c r="C856" s="126" t="n"/>
      <c r="D856" s="127" t="n"/>
      <c r="E856" s="127" t="n"/>
      <c r="F856" s="128" t="n"/>
      <c r="G856" s="128" t="n"/>
      <c r="H856" s="129" t="n"/>
      <c r="I856" s="129" t="n"/>
      <c r="J856" s="128" t="n"/>
      <c r="K856" s="130" t="n"/>
      <c r="L856" s="130" t="n"/>
      <c r="M856" s="128" t="n"/>
      <c r="N856" s="129" t="n"/>
    </row>
    <row r="857" ht="15" customHeight="1" s="75">
      <c r="A857" s="124" t="n"/>
      <c r="B857" s="125" t="n"/>
      <c r="C857" s="126" t="n"/>
      <c r="D857" s="127" t="n"/>
      <c r="E857" s="127" t="n"/>
      <c r="F857" s="128" t="n"/>
      <c r="G857" s="128" t="n"/>
      <c r="H857" s="129" t="n"/>
      <c r="I857" s="129" t="n"/>
      <c r="J857" s="128" t="n"/>
      <c r="K857" s="130" t="n"/>
      <c r="L857" s="130" t="n"/>
      <c r="M857" s="128" t="n"/>
      <c r="N857" s="129" t="n"/>
    </row>
    <row r="858" ht="15" customHeight="1" s="75">
      <c r="A858" s="124" t="n"/>
      <c r="B858" s="125" t="n"/>
      <c r="C858" s="126" t="n"/>
      <c r="D858" s="127" t="n"/>
      <c r="E858" s="127" t="n"/>
      <c r="F858" s="128" t="n"/>
      <c r="G858" s="128" t="n"/>
      <c r="H858" s="129" t="n"/>
      <c r="I858" s="129" t="n"/>
      <c r="J858" s="128" t="n"/>
      <c r="K858" s="130" t="n"/>
      <c r="L858" s="130" t="n"/>
      <c r="M858" s="128" t="n"/>
      <c r="N858" s="129" t="n"/>
    </row>
    <row r="859" ht="15" customHeight="1" s="75">
      <c r="A859" s="124" t="n"/>
      <c r="B859" s="125" t="n"/>
      <c r="C859" s="126" t="n"/>
      <c r="D859" s="127" t="n"/>
      <c r="E859" s="127" t="n"/>
      <c r="F859" s="128" t="n"/>
      <c r="G859" s="128" t="n"/>
      <c r="H859" s="129" t="n"/>
      <c r="I859" s="129" t="n"/>
      <c r="J859" s="128" t="n"/>
      <c r="K859" s="130" t="n"/>
      <c r="L859" s="130" t="n"/>
      <c r="M859" s="128" t="n"/>
      <c r="N859" s="129" t="n"/>
    </row>
    <row r="860" ht="15" customHeight="1" s="75">
      <c r="A860" s="124" t="n"/>
      <c r="B860" s="125" t="n"/>
      <c r="C860" s="126" t="n"/>
      <c r="D860" s="127" t="n"/>
      <c r="E860" s="127" t="n"/>
      <c r="F860" s="128" t="n"/>
      <c r="G860" s="128" t="n"/>
      <c r="H860" s="129" t="n"/>
      <c r="I860" s="129" t="n"/>
      <c r="J860" s="128" t="n"/>
      <c r="K860" s="130" t="n"/>
      <c r="L860" s="130" t="n"/>
      <c r="M860" s="128" t="n"/>
      <c r="N860" s="129" t="n"/>
    </row>
    <row r="861" ht="15" customHeight="1" s="75">
      <c r="A861" s="124" t="n"/>
      <c r="B861" s="125" t="n"/>
      <c r="C861" s="126" t="n"/>
      <c r="D861" s="127" t="n"/>
      <c r="E861" s="127" t="n"/>
      <c r="F861" s="128" t="n"/>
      <c r="G861" s="128" t="n"/>
      <c r="H861" s="129" t="n"/>
      <c r="I861" s="129" t="n"/>
      <c r="J861" s="128" t="n"/>
      <c r="K861" s="130" t="n"/>
      <c r="L861" s="130" t="n"/>
      <c r="M861" s="128" t="n"/>
      <c r="N861" s="129" t="n"/>
    </row>
    <row r="862" ht="15" customHeight="1" s="75">
      <c r="A862" s="124" t="n"/>
      <c r="B862" s="125" t="n"/>
      <c r="C862" s="126" t="n"/>
      <c r="D862" s="127" t="n"/>
      <c r="E862" s="127" t="n"/>
      <c r="F862" s="128" t="n"/>
      <c r="G862" s="128" t="n"/>
      <c r="H862" s="129" t="n"/>
      <c r="I862" s="129" t="n"/>
      <c r="J862" s="128" t="n"/>
      <c r="K862" s="130" t="n"/>
      <c r="L862" s="130" t="n"/>
      <c r="M862" s="128" t="n"/>
      <c r="N862" s="129" t="n"/>
    </row>
    <row r="863" ht="15" customHeight="1" s="75">
      <c r="A863" s="124" t="n"/>
      <c r="B863" s="125" t="n"/>
      <c r="C863" s="126" t="n"/>
      <c r="D863" s="127" t="n"/>
      <c r="E863" s="127" t="n"/>
      <c r="F863" s="128" t="n"/>
      <c r="G863" s="128" t="n"/>
      <c r="H863" s="129" t="n"/>
      <c r="I863" s="129" t="n"/>
      <c r="J863" s="128" t="n"/>
      <c r="K863" s="130" t="n"/>
      <c r="L863" s="130" t="n"/>
      <c r="M863" s="128" t="n"/>
      <c r="N863" s="129" t="n"/>
    </row>
    <row r="864" ht="15" customHeight="1" s="75">
      <c r="A864" s="124" t="n"/>
      <c r="B864" s="125" t="n"/>
      <c r="C864" s="126" t="n"/>
      <c r="D864" s="127" t="n"/>
      <c r="E864" s="127" t="n"/>
      <c r="F864" s="128" t="n"/>
      <c r="G864" s="128" t="n"/>
      <c r="H864" s="129" t="n"/>
      <c r="I864" s="129" t="n"/>
      <c r="J864" s="128" t="n"/>
      <c r="K864" s="130" t="n"/>
      <c r="L864" s="130" t="n"/>
      <c r="M864" s="128" t="n"/>
      <c r="N864" s="129" t="n"/>
    </row>
    <row r="865" ht="15" customHeight="1" s="75">
      <c r="A865" s="124" t="n"/>
      <c r="B865" s="125" t="n"/>
      <c r="C865" s="126" t="n"/>
      <c r="D865" s="127" t="n"/>
      <c r="E865" s="127" t="n"/>
      <c r="F865" s="128" t="n"/>
      <c r="G865" s="128" t="n"/>
      <c r="H865" s="129" t="n"/>
      <c r="I865" s="129" t="n"/>
      <c r="J865" s="128" t="n"/>
      <c r="K865" s="130" t="n"/>
      <c r="L865" s="130" t="n"/>
      <c r="M865" s="128" t="n"/>
      <c r="N865" s="129" t="n"/>
    </row>
    <row r="866" ht="15" customHeight="1" s="75">
      <c r="A866" s="124" t="n"/>
      <c r="B866" s="125" t="n"/>
      <c r="C866" s="126" t="n"/>
      <c r="D866" s="127" t="n"/>
      <c r="E866" s="127" t="n"/>
      <c r="F866" s="128" t="n"/>
      <c r="G866" s="128" t="n"/>
      <c r="H866" s="129" t="n"/>
      <c r="I866" s="129" t="n"/>
      <c r="J866" s="128" t="n"/>
      <c r="K866" s="130" t="n"/>
      <c r="L866" s="130" t="n"/>
      <c r="M866" s="128" t="n"/>
      <c r="N866" s="129" t="n"/>
    </row>
    <row r="867" ht="15" customHeight="1" s="75">
      <c r="A867" s="124" t="n"/>
      <c r="B867" s="125" t="n"/>
      <c r="C867" s="126" t="n"/>
      <c r="D867" s="127" t="n"/>
      <c r="E867" s="127" t="n"/>
      <c r="F867" s="128" t="n"/>
      <c r="G867" s="128" t="n"/>
      <c r="H867" s="129" t="n"/>
      <c r="I867" s="129" t="n"/>
      <c r="J867" s="128" t="n"/>
      <c r="K867" s="130" t="n"/>
      <c r="L867" s="130" t="n"/>
      <c r="M867" s="128" t="n"/>
      <c r="N867" s="129" t="n"/>
    </row>
    <row r="868" ht="15" customHeight="1" s="75">
      <c r="A868" s="124" t="n"/>
      <c r="B868" s="125" t="n"/>
      <c r="C868" s="126" t="n"/>
      <c r="D868" s="127" t="n"/>
      <c r="E868" s="127" t="n"/>
      <c r="F868" s="128" t="n"/>
      <c r="G868" s="128" t="n"/>
      <c r="H868" s="129" t="n"/>
      <c r="I868" s="129" t="n"/>
      <c r="J868" s="128" t="n"/>
      <c r="K868" s="130" t="n"/>
      <c r="L868" s="130" t="n"/>
      <c r="M868" s="128" t="n"/>
      <c r="N868" s="129" t="n"/>
    </row>
    <row r="869" ht="15" customHeight="1" s="75">
      <c r="A869" s="124" t="n"/>
      <c r="B869" s="125" t="n"/>
      <c r="C869" s="126" t="n"/>
      <c r="D869" s="127" t="n"/>
      <c r="E869" s="127" t="n"/>
      <c r="F869" s="128" t="n"/>
      <c r="G869" s="128" t="n"/>
      <c r="H869" s="129" t="n"/>
      <c r="I869" s="129" t="n"/>
      <c r="J869" s="128" t="n"/>
      <c r="K869" s="130" t="n"/>
      <c r="L869" s="130" t="n"/>
      <c r="M869" s="128" t="n"/>
      <c r="N869" s="129" t="n"/>
    </row>
    <row r="870" ht="15" customHeight="1" s="75">
      <c r="A870" s="124" t="n"/>
      <c r="B870" s="125" t="n"/>
      <c r="C870" s="126" t="n"/>
      <c r="D870" s="127" t="n"/>
      <c r="E870" s="127" t="n"/>
      <c r="F870" s="128" t="n"/>
      <c r="G870" s="128" t="n"/>
      <c r="H870" s="129" t="n"/>
      <c r="I870" s="129" t="n"/>
      <c r="J870" s="128" t="n"/>
      <c r="K870" s="130" t="n"/>
      <c r="L870" s="130" t="n"/>
      <c r="M870" s="128" t="n"/>
      <c r="N870" s="129" t="n"/>
    </row>
    <row r="871" ht="15" customHeight="1" s="75">
      <c r="A871" s="124" t="n"/>
      <c r="B871" s="125" t="n"/>
      <c r="C871" s="126" t="n"/>
      <c r="D871" s="127" t="n"/>
      <c r="E871" s="127" t="n"/>
      <c r="F871" s="128" t="n"/>
      <c r="G871" s="128" t="n"/>
      <c r="H871" s="129" t="n"/>
      <c r="I871" s="129" t="n"/>
      <c r="J871" s="128" t="n"/>
      <c r="K871" s="130" t="n"/>
      <c r="L871" s="130" t="n"/>
      <c r="M871" s="128" t="n"/>
      <c r="N871" s="129" t="n"/>
    </row>
    <row r="872" ht="15" customHeight="1" s="75">
      <c r="A872" s="124" t="n"/>
      <c r="B872" s="125" t="n"/>
      <c r="C872" s="126" t="n"/>
      <c r="D872" s="127" t="n"/>
      <c r="E872" s="127" t="n"/>
      <c r="F872" s="128" t="n"/>
      <c r="G872" s="128" t="n"/>
      <c r="H872" s="129" t="n"/>
      <c r="I872" s="129" t="n"/>
      <c r="J872" s="128" t="n"/>
      <c r="K872" s="130" t="n"/>
      <c r="L872" s="130" t="n"/>
      <c r="M872" s="128" t="n"/>
      <c r="N872" s="129" t="n"/>
    </row>
    <row r="873" ht="15" customHeight="1" s="75">
      <c r="A873" s="124" t="n"/>
      <c r="B873" s="125" t="n"/>
      <c r="C873" s="126" t="n"/>
      <c r="D873" s="127" t="n"/>
      <c r="E873" s="127" t="n"/>
      <c r="F873" s="128" t="n"/>
      <c r="G873" s="128" t="n"/>
      <c r="H873" s="129" t="n"/>
      <c r="I873" s="129" t="n"/>
      <c r="J873" s="128" t="n"/>
      <c r="K873" s="130" t="n"/>
      <c r="L873" s="130" t="n"/>
      <c r="M873" s="128" t="n"/>
      <c r="N873" s="129" t="n"/>
    </row>
    <row r="874" ht="15" customHeight="1" s="75">
      <c r="A874" s="124" t="n"/>
      <c r="B874" s="125" t="n"/>
      <c r="C874" s="126" t="n"/>
      <c r="D874" s="127" t="n"/>
      <c r="E874" s="127" t="n"/>
      <c r="F874" s="128" t="n"/>
      <c r="G874" s="128" t="n"/>
      <c r="H874" s="129" t="n"/>
      <c r="I874" s="129" t="n"/>
      <c r="J874" s="128" t="n"/>
      <c r="K874" s="130" t="n"/>
      <c r="L874" s="130" t="n"/>
      <c r="M874" s="128" t="n"/>
      <c r="N874" s="129" t="n"/>
    </row>
    <row r="875" ht="15" customHeight="1" s="75">
      <c r="A875" s="124" t="n"/>
      <c r="B875" s="125" t="n"/>
      <c r="C875" s="126" t="n"/>
      <c r="D875" s="127" t="n"/>
      <c r="E875" s="127" t="n"/>
      <c r="F875" s="128" t="n"/>
      <c r="G875" s="128" t="n"/>
      <c r="H875" s="129" t="n"/>
      <c r="I875" s="129" t="n"/>
      <c r="J875" s="128" t="n"/>
      <c r="K875" s="130" t="n"/>
      <c r="L875" s="130" t="n"/>
      <c r="M875" s="128" t="n"/>
      <c r="N875" s="129" t="n"/>
    </row>
    <row r="876" ht="15" customHeight="1" s="75">
      <c r="A876" s="124" t="n"/>
      <c r="B876" s="125" t="n"/>
      <c r="C876" s="126" t="n"/>
      <c r="D876" s="127" t="n"/>
      <c r="E876" s="127" t="n"/>
      <c r="F876" s="128" t="n"/>
      <c r="G876" s="128" t="n"/>
      <c r="H876" s="129" t="n"/>
      <c r="I876" s="129" t="n"/>
      <c r="J876" s="128" t="n"/>
      <c r="K876" s="130" t="n"/>
      <c r="L876" s="130" t="n"/>
      <c r="M876" s="128" t="n"/>
      <c r="N876" s="129" t="n"/>
    </row>
    <row r="877" ht="15" customHeight="1" s="75">
      <c r="A877" s="124" t="n"/>
      <c r="B877" s="125" t="n"/>
      <c r="C877" s="126" t="n"/>
      <c r="D877" s="127" t="n"/>
      <c r="E877" s="127" t="n"/>
      <c r="F877" s="128" t="n"/>
      <c r="G877" s="128" t="n"/>
      <c r="H877" s="129" t="n"/>
      <c r="I877" s="129" t="n"/>
      <c r="J877" s="128" t="n"/>
      <c r="K877" s="130" t="n"/>
      <c r="L877" s="130" t="n"/>
      <c r="M877" s="128" t="n"/>
      <c r="N877" s="129" t="n"/>
    </row>
    <row r="878" ht="15" customHeight="1" s="75">
      <c r="A878" s="124" t="n"/>
      <c r="B878" s="125" t="n"/>
      <c r="C878" s="126" t="n"/>
      <c r="D878" s="127" t="n"/>
      <c r="E878" s="127" t="n"/>
      <c r="F878" s="128" t="n"/>
      <c r="G878" s="128" t="n"/>
      <c r="H878" s="129" t="n"/>
      <c r="I878" s="129" t="n"/>
      <c r="J878" s="128" t="n"/>
      <c r="K878" s="130" t="n"/>
      <c r="L878" s="130" t="n"/>
      <c r="M878" s="128" t="n"/>
      <c r="N878" s="129" t="n"/>
    </row>
    <row r="879" ht="15" customHeight="1" s="75">
      <c r="A879" s="124" t="n"/>
      <c r="B879" s="125" t="n"/>
      <c r="C879" s="126" t="n"/>
      <c r="D879" s="127" t="n"/>
      <c r="E879" s="127" t="n"/>
      <c r="F879" s="128" t="n"/>
      <c r="G879" s="128" t="n"/>
      <c r="H879" s="129" t="n"/>
      <c r="I879" s="129" t="n"/>
      <c r="J879" s="128" t="n"/>
      <c r="K879" s="130" t="n"/>
      <c r="L879" s="130" t="n"/>
      <c r="M879" s="128" t="n"/>
      <c r="N879" s="129" t="n"/>
    </row>
    <row r="880" ht="15" customHeight="1" s="75">
      <c r="A880" s="124" t="n"/>
      <c r="B880" s="125" t="n"/>
      <c r="C880" s="126" t="n"/>
      <c r="D880" s="127" t="n"/>
      <c r="E880" s="127" t="n"/>
      <c r="F880" s="128" t="n"/>
      <c r="G880" s="128" t="n"/>
      <c r="H880" s="129" t="n"/>
      <c r="I880" s="129" t="n"/>
      <c r="J880" s="128" t="n"/>
      <c r="K880" s="130" t="n"/>
      <c r="L880" s="130" t="n"/>
      <c r="M880" s="128" t="n"/>
      <c r="N880" s="129" t="n"/>
    </row>
    <row r="881" ht="15" customHeight="1" s="75">
      <c r="A881" s="124" t="n"/>
      <c r="B881" s="125" t="n"/>
      <c r="C881" s="126" t="n"/>
      <c r="D881" s="127" t="n"/>
      <c r="E881" s="127" t="n"/>
      <c r="F881" s="128" t="n"/>
      <c r="G881" s="128" t="n"/>
      <c r="H881" s="129" t="n"/>
      <c r="I881" s="129" t="n"/>
      <c r="J881" s="128" t="n"/>
      <c r="K881" s="130" t="n"/>
      <c r="L881" s="130" t="n"/>
      <c r="M881" s="128" t="n"/>
      <c r="N881" s="129" t="n"/>
    </row>
    <row r="882" ht="15" customHeight="1" s="75">
      <c r="A882" s="124" t="n"/>
      <c r="B882" s="125" t="n"/>
      <c r="C882" s="126" t="n"/>
      <c r="D882" s="127" t="n"/>
      <c r="E882" s="127" t="n"/>
      <c r="F882" s="128" t="n"/>
      <c r="G882" s="128" t="n"/>
      <c r="H882" s="129" t="n"/>
      <c r="I882" s="129" t="n"/>
      <c r="J882" s="128" t="n"/>
      <c r="K882" s="130" t="n"/>
      <c r="L882" s="130" t="n"/>
      <c r="M882" s="128" t="n"/>
      <c r="N882" s="129" t="n"/>
    </row>
    <row r="883" ht="15" customHeight="1" s="75">
      <c r="A883" s="124" t="n"/>
      <c r="B883" s="125" t="n"/>
      <c r="C883" s="126" t="n"/>
      <c r="D883" s="127" t="n"/>
      <c r="E883" s="127" t="n"/>
      <c r="F883" s="128" t="n"/>
      <c r="G883" s="128" t="n"/>
      <c r="H883" s="129" t="n"/>
      <c r="I883" s="129" t="n"/>
      <c r="J883" s="128" t="n"/>
      <c r="K883" s="130" t="n"/>
      <c r="L883" s="130" t="n"/>
      <c r="M883" s="128" t="n"/>
      <c r="N883" s="129" t="n"/>
    </row>
    <row r="884" ht="15" customHeight="1" s="75">
      <c r="A884" s="124" t="n"/>
      <c r="B884" s="125" t="n"/>
      <c r="C884" s="126" t="n"/>
      <c r="D884" s="127" t="n"/>
      <c r="E884" s="127" t="n"/>
      <c r="F884" s="128" t="n"/>
      <c r="G884" s="128" t="n"/>
      <c r="H884" s="129" t="n"/>
      <c r="I884" s="129" t="n"/>
      <c r="J884" s="128" t="n"/>
      <c r="K884" s="130" t="n"/>
      <c r="L884" s="130" t="n"/>
      <c r="M884" s="128" t="n"/>
      <c r="N884" s="129" t="n"/>
    </row>
    <row r="885" ht="15" customHeight="1" s="75">
      <c r="A885" s="124" t="n"/>
      <c r="B885" s="125" t="n"/>
      <c r="C885" s="126" t="n"/>
      <c r="D885" s="127" t="n"/>
      <c r="E885" s="127" t="n"/>
      <c r="F885" s="128" t="n"/>
      <c r="G885" s="128" t="n"/>
      <c r="H885" s="129" t="n"/>
      <c r="I885" s="129" t="n"/>
      <c r="J885" s="128" t="n"/>
      <c r="K885" s="130" t="n"/>
      <c r="L885" s="130" t="n"/>
      <c r="M885" s="128" t="n"/>
      <c r="N885" s="129" t="n"/>
    </row>
    <row r="886" ht="15" customHeight="1" s="75">
      <c r="A886" s="124" t="n"/>
      <c r="B886" s="125" t="n"/>
      <c r="C886" s="126" t="n"/>
      <c r="D886" s="127" t="n"/>
      <c r="E886" s="127" t="n"/>
      <c r="F886" s="128" t="n"/>
      <c r="G886" s="128" t="n"/>
      <c r="H886" s="129" t="n"/>
      <c r="I886" s="129" t="n"/>
      <c r="J886" s="128" t="n"/>
      <c r="K886" s="130" t="n"/>
      <c r="L886" s="130" t="n"/>
      <c r="M886" s="128" t="n"/>
      <c r="N886" s="129" t="n"/>
    </row>
    <row r="887" ht="15" customHeight="1" s="75">
      <c r="A887" s="124" t="n"/>
      <c r="B887" s="125" t="n"/>
      <c r="C887" s="126" t="n"/>
      <c r="D887" s="127" t="n"/>
      <c r="E887" s="127" t="n"/>
      <c r="F887" s="128" t="n"/>
      <c r="G887" s="128" t="n"/>
      <c r="H887" s="129" t="n"/>
      <c r="I887" s="129" t="n"/>
      <c r="J887" s="128" t="n"/>
      <c r="K887" s="130" t="n"/>
      <c r="L887" s="130" t="n"/>
      <c r="M887" s="128" t="n"/>
      <c r="N887" s="129" t="n"/>
    </row>
    <row r="888" ht="15" customHeight="1" s="75">
      <c r="A888" s="124" t="n"/>
      <c r="B888" s="125" t="n"/>
      <c r="C888" s="126" t="n"/>
      <c r="D888" s="127" t="n"/>
      <c r="E888" s="127" t="n"/>
      <c r="F888" s="128" t="n"/>
      <c r="G888" s="128" t="n"/>
      <c r="H888" s="129" t="n"/>
      <c r="I888" s="129" t="n"/>
      <c r="J888" s="128" t="n"/>
      <c r="K888" s="130" t="n"/>
      <c r="L888" s="130" t="n"/>
      <c r="M888" s="128" t="n"/>
      <c r="N888" s="129" t="n"/>
    </row>
    <row r="889" ht="15" customHeight="1" s="75">
      <c r="A889" s="124" t="n"/>
      <c r="B889" s="125" t="n"/>
      <c r="C889" s="126" t="n"/>
      <c r="D889" s="127" t="n"/>
      <c r="E889" s="127" t="n"/>
      <c r="F889" s="128" t="n"/>
      <c r="G889" s="128" t="n"/>
      <c r="H889" s="129" t="n"/>
      <c r="I889" s="129" t="n"/>
      <c r="J889" s="128" t="n"/>
      <c r="K889" s="130" t="n"/>
      <c r="L889" s="130" t="n"/>
      <c r="M889" s="128" t="n"/>
      <c r="N889" s="129" t="n"/>
    </row>
    <row r="890" ht="15" customHeight="1" s="75">
      <c r="A890" s="124" t="n"/>
      <c r="B890" s="125" t="n"/>
      <c r="C890" s="126" t="n"/>
      <c r="D890" s="127" t="n"/>
      <c r="E890" s="127" t="n"/>
      <c r="F890" s="128" t="n"/>
      <c r="G890" s="128" t="n"/>
      <c r="H890" s="129" t="n"/>
      <c r="I890" s="129" t="n"/>
      <c r="J890" s="128" t="n"/>
      <c r="K890" s="130" t="n"/>
      <c r="L890" s="130" t="n"/>
      <c r="M890" s="128" t="n"/>
      <c r="N890" s="129" t="n"/>
    </row>
    <row r="891" ht="15" customHeight="1" s="75">
      <c r="A891" s="124" t="n"/>
      <c r="B891" s="125" t="n"/>
      <c r="C891" s="126" t="n"/>
      <c r="D891" s="127" t="n"/>
      <c r="E891" s="127" t="n"/>
      <c r="F891" s="128" t="n"/>
      <c r="G891" s="128" t="n"/>
      <c r="H891" s="129" t="n"/>
      <c r="I891" s="129" t="n"/>
      <c r="J891" s="128" t="n"/>
      <c r="K891" s="130" t="n"/>
      <c r="L891" s="130" t="n"/>
      <c r="M891" s="128" t="n"/>
      <c r="N891" s="129" t="n"/>
    </row>
    <row r="892" ht="15" customHeight="1" s="75">
      <c r="A892" s="124" t="n"/>
      <c r="B892" s="125" t="n"/>
      <c r="C892" s="126" t="n"/>
      <c r="D892" s="127" t="n"/>
      <c r="E892" s="127" t="n"/>
      <c r="F892" s="128" t="n"/>
      <c r="G892" s="128" t="n"/>
      <c r="H892" s="129" t="n"/>
      <c r="I892" s="129" t="n"/>
      <c r="J892" s="128" t="n"/>
      <c r="K892" s="130" t="n"/>
      <c r="L892" s="130" t="n"/>
      <c r="M892" s="128" t="n"/>
      <c r="N892" s="129" t="n"/>
    </row>
    <row r="893" ht="15" customHeight="1" s="75">
      <c r="A893" s="124" t="n"/>
      <c r="B893" s="125" t="n"/>
      <c r="C893" s="126" t="n"/>
      <c r="D893" s="127" t="n"/>
      <c r="E893" s="127" t="n"/>
      <c r="F893" s="128" t="n"/>
      <c r="G893" s="128" t="n"/>
      <c r="H893" s="129" t="n"/>
      <c r="I893" s="129" t="n"/>
      <c r="J893" s="128" t="n"/>
      <c r="K893" s="130" t="n"/>
      <c r="L893" s="130" t="n"/>
      <c r="M893" s="128" t="n"/>
      <c r="N893" s="129" t="n"/>
    </row>
    <row r="894" ht="15" customHeight="1" s="75">
      <c r="A894" s="124" t="n"/>
      <c r="B894" s="125" t="n"/>
      <c r="C894" s="126" t="n"/>
      <c r="D894" s="127" t="n"/>
      <c r="E894" s="127" t="n"/>
      <c r="F894" s="128" t="n"/>
      <c r="G894" s="128" t="n"/>
      <c r="H894" s="129" t="n"/>
      <c r="I894" s="129" t="n"/>
      <c r="J894" s="128" t="n"/>
      <c r="K894" s="130" t="n"/>
      <c r="L894" s="130" t="n"/>
      <c r="M894" s="128" t="n"/>
      <c r="N894" s="129" t="n"/>
    </row>
    <row r="895" ht="15" customHeight="1" s="75">
      <c r="A895" s="124" t="n"/>
      <c r="B895" s="125" t="n"/>
      <c r="C895" s="126" t="n"/>
      <c r="D895" s="127" t="n"/>
      <c r="E895" s="127" t="n"/>
      <c r="F895" s="128" t="n"/>
      <c r="G895" s="128" t="n"/>
      <c r="H895" s="129" t="n"/>
      <c r="I895" s="129" t="n"/>
      <c r="J895" s="128" t="n"/>
      <c r="K895" s="130" t="n"/>
      <c r="L895" s="130" t="n"/>
      <c r="M895" s="128" t="n"/>
      <c r="N895" s="129" t="n"/>
    </row>
    <row r="896" ht="15" customHeight="1" s="75">
      <c r="A896" s="124" t="n"/>
      <c r="B896" s="125" t="n"/>
      <c r="C896" s="126" t="n"/>
      <c r="D896" s="127" t="n"/>
      <c r="E896" s="127" t="n"/>
      <c r="F896" s="128" t="n"/>
      <c r="G896" s="128" t="n"/>
      <c r="H896" s="129" t="n"/>
      <c r="I896" s="129" t="n"/>
      <c r="J896" s="128" t="n"/>
      <c r="K896" s="130" t="n"/>
      <c r="L896" s="130" t="n"/>
      <c r="M896" s="128" t="n"/>
      <c r="N896" s="129" t="n"/>
    </row>
    <row r="897" ht="15" customHeight="1" s="75">
      <c r="A897" s="124" t="n"/>
      <c r="B897" s="125" t="n"/>
      <c r="C897" s="126" t="n"/>
      <c r="D897" s="127" t="n"/>
      <c r="E897" s="127" t="n"/>
      <c r="F897" s="128" t="n"/>
      <c r="G897" s="128" t="n"/>
      <c r="H897" s="129" t="n"/>
      <c r="I897" s="129" t="n"/>
      <c r="J897" s="128" t="n"/>
      <c r="K897" s="130" t="n"/>
      <c r="L897" s="130" t="n"/>
      <c r="M897" s="128" t="n"/>
      <c r="N897" s="129" t="n"/>
    </row>
    <row r="898" ht="15" customHeight="1" s="75">
      <c r="A898" s="124" t="n"/>
      <c r="B898" s="125" t="n"/>
      <c r="C898" s="126" t="n"/>
      <c r="D898" s="127" t="n"/>
      <c r="E898" s="127" t="n"/>
      <c r="F898" s="128" t="n"/>
      <c r="G898" s="128" t="n"/>
      <c r="H898" s="129" t="n"/>
      <c r="I898" s="129" t="n"/>
      <c r="J898" s="128" t="n"/>
      <c r="K898" s="130" t="n"/>
      <c r="L898" s="130" t="n"/>
      <c r="M898" s="128" t="n"/>
      <c r="N898" s="129" t="n"/>
    </row>
    <row r="899" ht="15" customHeight="1" s="75">
      <c r="A899" s="124" t="n"/>
      <c r="B899" s="125" t="n"/>
      <c r="C899" s="126" t="n"/>
      <c r="D899" s="127" t="n"/>
      <c r="E899" s="127" t="n"/>
      <c r="F899" s="128" t="n"/>
      <c r="G899" s="128" t="n"/>
      <c r="H899" s="129" t="n"/>
      <c r="I899" s="129" t="n"/>
      <c r="J899" s="128" t="n"/>
      <c r="K899" s="130" t="n"/>
      <c r="L899" s="130" t="n"/>
      <c r="M899" s="128" t="n"/>
      <c r="N899" s="129" t="n"/>
    </row>
    <row r="900" ht="15" customHeight="1" s="75">
      <c r="A900" s="124" t="n"/>
      <c r="B900" s="125" t="n"/>
      <c r="C900" s="126" t="n"/>
      <c r="D900" s="127" t="n"/>
      <c r="E900" s="127" t="n"/>
      <c r="F900" s="128" t="n"/>
      <c r="G900" s="128" t="n"/>
      <c r="H900" s="129" t="n"/>
      <c r="I900" s="129" t="n"/>
      <c r="J900" s="128" t="n"/>
      <c r="K900" s="130" t="n"/>
      <c r="L900" s="130" t="n"/>
      <c r="M900" s="128" t="n"/>
      <c r="N900" s="129" t="n"/>
    </row>
    <row r="901" ht="15" customHeight="1" s="75">
      <c r="A901" s="124" t="n"/>
      <c r="B901" s="125" t="n"/>
      <c r="C901" s="126" t="n"/>
      <c r="D901" s="127" t="n"/>
      <c r="E901" s="127" t="n"/>
      <c r="F901" s="128" t="n"/>
      <c r="G901" s="128" t="n"/>
      <c r="H901" s="129" t="n"/>
      <c r="I901" s="129" t="n"/>
      <c r="J901" s="128" t="n"/>
      <c r="K901" s="130" t="n"/>
      <c r="L901" s="130" t="n"/>
      <c r="M901" s="128" t="n"/>
      <c r="N901" s="129" t="n"/>
    </row>
    <row r="902" ht="15" customHeight="1" s="75">
      <c r="A902" s="124" t="n"/>
      <c r="B902" s="125" t="n"/>
      <c r="C902" s="126" t="n"/>
      <c r="D902" s="127" t="n"/>
      <c r="E902" s="127" t="n"/>
      <c r="F902" s="128" t="n"/>
      <c r="G902" s="128" t="n"/>
      <c r="H902" s="129" t="n"/>
      <c r="I902" s="129" t="n"/>
      <c r="J902" s="128" t="n"/>
      <c r="K902" s="130" t="n"/>
      <c r="L902" s="130" t="n"/>
      <c r="M902" s="128" t="n"/>
      <c r="N902" s="129" t="n"/>
    </row>
    <row r="903" ht="15" customHeight="1" s="75">
      <c r="A903" s="124" t="n"/>
      <c r="B903" s="125" t="n"/>
      <c r="C903" s="126" t="n"/>
      <c r="D903" s="127" t="n"/>
      <c r="E903" s="127" t="n"/>
      <c r="F903" s="128" t="n"/>
      <c r="G903" s="128" t="n"/>
      <c r="H903" s="129" t="n"/>
      <c r="I903" s="129" t="n"/>
      <c r="J903" s="128" t="n"/>
      <c r="K903" s="130" t="n"/>
      <c r="L903" s="130" t="n"/>
      <c r="M903" s="128" t="n"/>
      <c r="N903" s="129" t="n"/>
    </row>
    <row r="904" ht="15" customHeight="1" s="75">
      <c r="A904" s="124" t="n"/>
      <c r="B904" s="125" t="n"/>
      <c r="C904" s="126" t="n"/>
      <c r="D904" s="127" t="n"/>
      <c r="E904" s="127" t="n"/>
      <c r="F904" s="128" t="n"/>
      <c r="G904" s="128" t="n"/>
      <c r="H904" s="129" t="n"/>
      <c r="I904" s="129" t="n"/>
      <c r="J904" s="128" t="n"/>
      <c r="K904" s="130" t="n"/>
      <c r="L904" s="130" t="n"/>
      <c r="M904" s="128" t="n"/>
      <c r="N904" s="129" t="n"/>
    </row>
    <row r="905" ht="15" customHeight="1" s="75">
      <c r="A905" s="124" t="n"/>
      <c r="B905" s="125" t="n"/>
      <c r="C905" s="126" t="n"/>
      <c r="D905" s="127" t="n"/>
      <c r="E905" s="127" t="n"/>
      <c r="F905" s="128" t="n"/>
      <c r="G905" s="128" t="n"/>
      <c r="H905" s="129" t="n"/>
      <c r="I905" s="129" t="n"/>
      <c r="J905" s="128" t="n"/>
      <c r="K905" s="130" t="n"/>
      <c r="L905" s="130" t="n"/>
      <c r="M905" s="128" t="n"/>
      <c r="N905" s="129" t="n"/>
    </row>
    <row r="906" ht="15" customHeight="1" s="75">
      <c r="A906" s="124" t="n"/>
      <c r="B906" s="125" t="n"/>
      <c r="C906" s="126" t="n"/>
      <c r="D906" s="127" t="n"/>
      <c r="E906" s="127" t="n"/>
      <c r="F906" s="128" t="n"/>
      <c r="G906" s="128" t="n"/>
      <c r="H906" s="129" t="n"/>
      <c r="I906" s="129" t="n"/>
      <c r="J906" s="128" t="n"/>
      <c r="K906" s="130" t="n"/>
      <c r="L906" s="130" t="n"/>
      <c r="M906" s="128" t="n"/>
      <c r="N906" s="129" t="n"/>
    </row>
    <row r="907" ht="15" customHeight="1" s="75">
      <c r="A907" s="124" t="n"/>
      <c r="B907" s="125" t="n"/>
      <c r="C907" s="126" t="n"/>
      <c r="D907" s="127" t="n"/>
      <c r="E907" s="127" t="n"/>
      <c r="F907" s="128" t="n"/>
      <c r="G907" s="128" t="n"/>
      <c r="H907" s="129" t="n"/>
      <c r="I907" s="129" t="n"/>
      <c r="J907" s="128" t="n"/>
      <c r="K907" s="130" t="n"/>
      <c r="L907" s="130" t="n"/>
      <c r="M907" s="128" t="n"/>
      <c r="N907" s="129" t="n"/>
    </row>
    <row r="908" ht="15" customHeight="1" s="75">
      <c r="A908" s="124" t="n"/>
      <c r="B908" s="125" t="n"/>
      <c r="C908" s="126" t="n"/>
      <c r="D908" s="127" t="n"/>
      <c r="E908" s="127" t="n"/>
      <c r="F908" s="128" t="n"/>
      <c r="G908" s="128" t="n"/>
      <c r="H908" s="129" t="n"/>
      <c r="I908" s="129" t="n"/>
      <c r="J908" s="128" t="n"/>
      <c r="K908" s="130" t="n"/>
      <c r="L908" s="130" t="n"/>
      <c r="M908" s="128" t="n"/>
      <c r="N908" s="129" t="n"/>
    </row>
    <row r="909" ht="15" customHeight="1" s="75">
      <c r="A909" s="124" t="n"/>
      <c r="B909" s="125" t="n"/>
      <c r="C909" s="126" t="n"/>
      <c r="D909" s="127" t="n"/>
      <c r="E909" s="127" t="n"/>
      <c r="F909" s="128" t="n"/>
      <c r="G909" s="128" t="n"/>
      <c r="H909" s="129" t="n"/>
      <c r="I909" s="129" t="n"/>
      <c r="J909" s="128" t="n"/>
      <c r="K909" s="130" t="n"/>
      <c r="L909" s="130" t="n"/>
      <c r="M909" s="128" t="n"/>
      <c r="N909" s="129" t="n"/>
    </row>
    <row r="910" ht="15" customHeight="1" s="75">
      <c r="A910" s="124" t="n"/>
      <c r="B910" s="125" t="n"/>
      <c r="C910" s="126" t="n"/>
      <c r="D910" s="127" t="n"/>
      <c r="E910" s="127" t="n"/>
      <c r="F910" s="128" t="n"/>
      <c r="G910" s="128" t="n"/>
      <c r="H910" s="129" t="n"/>
      <c r="I910" s="129" t="n"/>
      <c r="J910" s="128" t="n"/>
      <c r="K910" s="130" t="n"/>
      <c r="L910" s="130" t="n"/>
      <c r="M910" s="128" t="n"/>
      <c r="N910" s="129" t="n"/>
    </row>
    <row r="911" ht="15" customHeight="1" s="75">
      <c r="A911" s="124" t="n"/>
      <c r="B911" s="125" t="n"/>
      <c r="C911" s="126" t="n"/>
      <c r="D911" s="127" t="n"/>
      <c r="E911" s="127" t="n"/>
      <c r="F911" s="128" t="n"/>
      <c r="G911" s="128" t="n"/>
      <c r="H911" s="129" t="n"/>
      <c r="I911" s="129" t="n"/>
      <c r="J911" s="128" t="n"/>
      <c r="K911" s="130" t="n"/>
      <c r="L911" s="130" t="n"/>
      <c r="M911" s="128" t="n"/>
      <c r="N911" s="129" t="n"/>
    </row>
    <row r="912" ht="15" customHeight="1" s="75">
      <c r="A912" s="124" t="n"/>
      <c r="B912" s="125" t="n"/>
      <c r="C912" s="126" t="n"/>
      <c r="D912" s="127" t="n"/>
      <c r="E912" s="127" t="n"/>
      <c r="F912" s="128" t="n"/>
      <c r="G912" s="128" t="n"/>
      <c r="H912" s="129" t="n"/>
      <c r="I912" s="129" t="n"/>
      <c r="J912" s="128" t="n"/>
      <c r="K912" s="130" t="n"/>
      <c r="L912" s="130" t="n"/>
      <c r="M912" s="128" t="n"/>
      <c r="N912" s="129" t="n"/>
    </row>
    <row r="913" ht="15" customHeight="1" s="75">
      <c r="A913" s="124" t="n"/>
      <c r="B913" s="125" t="n"/>
      <c r="C913" s="126" t="n"/>
      <c r="D913" s="127" t="n"/>
      <c r="E913" s="127" t="n"/>
      <c r="F913" s="128" t="n"/>
      <c r="G913" s="128" t="n"/>
      <c r="H913" s="129" t="n"/>
      <c r="I913" s="129" t="n"/>
      <c r="J913" s="128" t="n"/>
      <c r="K913" s="130" t="n"/>
      <c r="L913" s="130" t="n"/>
      <c r="M913" s="128" t="n"/>
      <c r="N913" s="129" t="n"/>
    </row>
    <row r="914" ht="15" customHeight="1" s="75">
      <c r="A914" s="124" t="n"/>
      <c r="B914" s="125" t="n"/>
      <c r="C914" s="126" t="n"/>
      <c r="D914" s="127" t="n"/>
      <c r="E914" s="127" t="n"/>
      <c r="F914" s="128" t="n"/>
      <c r="G914" s="128" t="n"/>
      <c r="H914" s="129" t="n"/>
      <c r="I914" s="129" t="n"/>
      <c r="J914" s="128" t="n"/>
      <c r="K914" s="130" t="n"/>
      <c r="L914" s="130" t="n"/>
      <c r="M914" s="128" t="n"/>
      <c r="N914" s="129" t="n"/>
    </row>
    <row r="915" ht="15" customHeight="1" s="75">
      <c r="A915" s="124" t="n"/>
      <c r="B915" s="125" t="n"/>
      <c r="C915" s="126" t="n"/>
      <c r="D915" s="127" t="n"/>
      <c r="E915" s="127" t="n"/>
      <c r="F915" s="128" t="n"/>
      <c r="G915" s="128" t="n"/>
      <c r="H915" s="129" t="n"/>
      <c r="I915" s="129" t="n"/>
      <c r="J915" s="128" t="n"/>
      <c r="K915" s="130" t="n"/>
      <c r="L915" s="130" t="n"/>
      <c r="M915" s="128" t="n"/>
      <c r="N915" s="129" t="n"/>
    </row>
    <row r="916" ht="15" customHeight="1" s="75">
      <c r="A916" s="124" t="n"/>
      <c r="B916" s="125" t="n"/>
      <c r="C916" s="126" t="n"/>
      <c r="D916" s="127" t="n"/>
      <c r="E916" s="127" t="n"/>
      <c r="F916" s="128" t="n"/>
      <c r="G916" s="128" t="n"/>
      <c r="H916" s="129" t="n"/>
      <c r="I916" s="129" t="n"/>
      <c r="J916" s="128" t="n"/>
      <c r="K916" s="130" t="n"/>
      <c r="L916" s="130" t="n"/>
      <c r="M916" s="128" t="n"/>
      <c r="N916" s="129" t="n"/>
    </row>
    <row r="917" ht="15" customHeight="1" s="75">
      <c r="A917" s="124" t="n"/>
      <c r="B917" s="125" t="n"/>
      <c r="C917" s="126" t="n"/>
      <c r="D917" s="127" t="n"/>
      <c r="E917" s="127" t="n"/>
      <c r="F917" s="128" t="n"/>
      <c r="G917" s="128" t="n"/>
      <c r="H917" s="129" t="n"/>
      <c r="I917" s="129" t="n"/>
      <c r="J917" s="128" t="n"/>
      <c r="K917" s="130" t="n"/>
      <c r="L917" s="130" t="n"/>
      <c r="M917" s="128" t="n"/>
      <c r="N917" s="129" t="n"/>
    </row>
    <row r="918" ht="15" customHeight="1" s="75">
      <c r="A918" s="124" t="n"/>
      <c r="B918" s="125" t="n"/>
      <c r="C918" s="126" t="n"/>
      <c r="D918" s="127" t="n"/>
      <c r="E918" s="127" t="n"/>
      <c r="F918" s="128" t="n"/>
      <c r="G918" s="128" t="n"/>
      <c r="H918" s="129" t="n"/>
      <c r="I918" s="129" t="n"/>
      <c r="J918" s="128" t="n"/>
      <c r="K918" s="130" t="n"/>
      <c r="L918" s="130" t="n"/>
      <c r="M918" s="128" t="n"/>
      <c r="N918" s="129" t="n"/>
    </row>
    <row r="919" ht="15" customHeight="1" s="75">
      <c r="A919" s="124" t="n"/>
      <c r="B919" s="125" t="n"/>
      <c r="C919" s="126" t="n"/>
      <c r="D919" s="127" t="n"/>
      <c r="E919" s="127" t="n"/>
      <c r="F919" s="128" t="n"/>
      <c r="G919" s="128" t="n"/>
      <c r="H919" s="129" t="n"/>
      <c r="I919" s="129" t="n"/>
      <c r="J919" s="128" t="n"/>
      <c r="K919" s="130" t="n"/>
      <c r="L919" s="130" t="n"/>
      <c r="M919" s="128" t="n"/>
      <c r="N919" s="129" t="n"/>
    </row>
    <row r="920" ht="15" customHeight="1" s="75">
      <c r="A920" s="124" t="n"/>
      <c r="B920" s="125" t="n"/>
      <c r="C920" s="126" t="n"/>
      <c r="D920" s="127" t="n"/>
      <c r="E920" s="127" t="n"/>
      <c r="F920" s="128" t="n"/>
      <c r="G920" s="128" t="n"/>
      <c r="H920" s="129" t="n"/>
      <c r="I920" s="129" t="n"/>
      <c r="J920" s="128" t="n"/>
      <c r="K920" s="130" t="n"/>
      <c r="L920" s="130" t="n"/>
      <c r="M920" s="128" t="n"/>
      <c r="N920" s="129" t="n"/>
    </row>
    <row r="921" ht="15" customHeight="1" s="75">
      <c r="A921" s="124" t="n"/>
      <c r="B921" s="125" t="n"/>
      <c r="C921" s="126" t="n"/>
      <c r="D921" s="127" t="n"/>
      <c r="E921" s="127" t="n"/>
      <c r="F921" s="128" t="n"/>
      <c r="G921" s="128" t="n"/>
      <c r="H921" s="129" t="n"/>
      <c r="I921" s="129" t="n"/>
      <c r="J921" s="128" t="n"/>
      <c r="K921" s="130" t="n"/>
      <c r="L921" s="130" t="n"/>
      <c r="M921" s="128" t="n"/>
      <c r="N921" s="129" t="n"/>
    </row>
    <row r="922" ht="15" customHeight="1" s="75">
      <c r="A922" s="124" t="n"/>
      <c r="B922" s="125" t="n"/>
      <c r="C922" s="126" t="n"/>
      <c r="D922" s="127" t="n"/>
      <c r="E922" s="127" t="n"/>
      <c r="F922" s="128" t="n"/>
      <c r="G922" s="128" t="n"/>
      <c r="H922" s="129" t="n"/>
      <c r="I922" s="129" t="n"/>
      <c r="J922" s="128" t="n"/>
      <c r="K922" s="130" t="n"/>
      <c r="L922" s="130" t="n"/>
      <c r="M922" s="128" t="n"/>
      <c r="N922" s="129" t="n"/>
    </row>
    <row r="923" ht="15" customHeight="1" s="75">
      <c r="A923" s="124" t="n"/>
      <c r="B923" s="125" t="n"/>
      <c r="C923" s="126" t="n"/>
      <c r="D923" s="127" t="n"/>
      <c r="E923" s="127" t="n"/>
      <c r="F923" s="128" t="n"/>
      <c r="G923" s="128" t="n"/>
      <c r="H923" s="129" t="n"/>
      <c r="I923" s="129" t="n"/>
      <c r="J923" s="128" t="n"/>
      <c r="K923" s="130" t="n"/>
      <c r="L923" s="130" t="n"/>
      <c r="M923" s="128" t="n"/>
      <c r="N923" s="129" t="n"/>
    </row>
    <row r="924" ht="15" customHeight="1" s="75">
      <c r="A924" s="124" t="n"/>
      <c r="B924" s="125" t="n"/>
      <c r="C924" s="126" t="n"/>
      <c r="D924" s="127" t="n"/>
      <c r="E924" s="127" t="n"/>
      <c r="F924" s="128" t="n"/>
      <c r="G924" s="128" t="n"/>
      <c r="H924" s="129" t="n"/>
      <c r="I924" s="129" t="n"/>
      <c r="J924" s="128" t="n"/>
      <c r="K924" s="130" t="n"/>
      <c r="L924" s="130" t="n"/>
      <c r="M924" s="128" t="n"/>
      <c r="N924" s="129" t="n"/>
    </row>
    <row r="925" ht="15" customHeight="1" s="75">
      <c r="A925" s="124" t="n"/>
      <c r="B925" s="125" t="n"/>
      <c r="C925" s="126" t="n"/>
      <c r="D925" s="127" t="n"/>
      <c r="E925" s="127" t="n"/>
      <c r="F925" s="128" t="n"/>
      <c r="G925" s="128" t="n"/>
      <c r="H925" s="129" t="n"/>
      <c r="I925" s="129" t="n"/>
      <c r="J925" s="128" t="n"/>
      <c r="K925" s="130" t="n"/>
      <c r="L925" s="130" t="n"/>
      <c r="M925" s="128" t="n"/>
      <c r="N925" s="129" t="n"/>
    </row>
    <row r="926" ht="15" customHeight="1" s="75">
      <c r="A926" s="124" t="n"/>
      <c r="B926" s="125" t="n"/>
      <c r="C926" s="126" t="n"/>
      <c r="D926" s="127" t="n"/>
      <c r="E926" s="127" t="n"/>
      <c r="F926" s="128" t="n"/>
      <c r="G926" s="128" t="n"/>
      <c r="H926" s="129" t="n"/>
      <c r="I926" s="129" t="n"/>
      <c r="J926" s="128" t="n"/>
      <c r="K926" s="130" t="n"/>
      <c r="L926" s="130" t="n"/>
      <c r="M926" s="128" t="n"/>
      <c r="N926" s="129" t="n"/>
    </row>
    <row r="927" ht="15" customHeight="1" s="75">
      <c r="A927" s="124" t="n"/>
      <c r="B927" s="125" t="n"/>
      <c r="C927" s="126" t="n"/>
      <c r="D927" s="127" t="n"/>
      <c r="E927" s="127" t="n"/>
      <c r="F927" s="128" t="n"/>
      <c r="G927" s="128" t="n"/>
      <c r="H927" s="129" t="n"/>
      <c r="I927" s="129" t="n"/>
      <c r="J927" s="128" t="n"/>
      <c r="K927" s="130" t="n"/>
      <c r="L927" s="130" t="n"/>
      <c r="M927" s="128" t="n"/>
      <c r="N927" s="129" t="n"/>
    </row>
    <row r="928" ht="15" customHeight="1" s="75">
      <c r="A928" s="124" t="n"/>
      <c r="B928" s="125" t="n"/>
      <c r="C928" s="126" t="n"/>
      <c r="D928" s="127" t="n"/>
      <c r="E928" s="127" t="n"/>
      <c r="F928" s="128" t="n"/>
      <c r="G928" s="128" t="n"/>
      <c r="H928" s="129" t="n"/>
      <c r="I928" s="129" t="n"/>
      <c r="J928" s="128" t="n"/>
      <c r="K928" s="130" t="n"/>
      <c r="L928" s="130" t="n"/>
      <c r="M928" s="128" t="n"/>
      <c r="N928" s="129" t="n"/>
    </row>
    <row r="929" ht="15" customHeight="1" s="75">
      <c r="A929" s="124" t="n"/>
      <c r="B929" s="125" t="n"/>
      <c r="C929" s="126" t="n"/>
      <c r="D929" s="127" t="n"/>
      <c r="E929" s="127" t="n"/>
      <c r="F929" s="128" t="n"/>
      <c r="G929" s="128" t="n"/>
      <c r="H929" s="129" t="n"/>
      <c r="I929" s="129" t="n"/>
      <c r="J929" s="128" t="n"/>
      <c r="K929" s="130" t="n"/>
      <c r="L929" s="130" t="n"/>
      <c r="M929" s="128" t="n"/>
      <c r="N929" s="129" t="n"/>
    </row>
    <row r="930" ht="15" customHeight="1" s="75">
      <c r="A930" s="124" t="n"/>
      <c r="B930" s="125" t="n"/>
      <c r="C930" s="126" t="n"/>
      <c r="D930" s="127" t="n"/>
      <c r="E930" s="127" t="n"/>
      <c r="F930" s="128" t="n"/>
      <c r="G930" s="128" t="n"/>
      <c r="H930" s="129" t="n"/>
      <c r="I930" s="129" t="n"/>
      <c r="J930" s="128" t="n"/>
      <c r="K930" s="130" t="n"/>
      <c r="L930" s="130" t="n"/>
      <c r="M930" s="128" t="n"/>
      <c r="N930" s="129" t="n"/>
    </row>
    <row r="931" ht="15" customHeight="1" s="75">
      <c r="A931" s="124" t="n"/>
      <c r="B931" s="125" t="n"/>
      <c r="C931" s="126" t="n"/>
      <c r="D931" s="127" t="n"/>
      <c r="E931" s="127" t="n"/>
      <c r="F931" s="128" t="n"/>
      <c r="G931" s="128" t="n"/>
      <c r="H931" s="129" t="n"/>
      <c r="I931" s="129" t="n"/>
      <c r="J931" s="128" t="n"/>
      <c r="K931" s="130" t="n"/>
      <c r="L931" s="130" t="n"/>
      <c r="M931" s="128" t="n"/>
      <c r="N931" s="129" t="n"/>
    </row>
    <row r="932" ht="15" customHeight="1" s="75">
      <c r="A932" s="124" t="n"/>
      <c r="B932" s="125" t="n"/>
      <c r="C932" s="126" t="n"/>
      <c r="D932" s="127" t="n"/>
      <c r="E932" s="127" t="n"/>
      <c r="F932" s="128" t="n"/>
      <c r="G932" s="128" t="n"/>
      <c r="H932" s="129" t="n"/>
      <c r="I932" s="129" t="n"/>
      <c r="J932" s="128" t="n"/>
      <c r="K932" s="130" t="n"/>
      <c r="L932" s="130" t="n"/>
      <c r="M932" s="128" t="n"/>
      <c r="N932" s="129" t="n"/>
    </row>
    <row r="933" ht="15" customHeight="1" s="75">
      <c r="A933" s="124" t="n"/>
      <c r="B933" s="125" t="n"/>
      <c r="C933" s="126" t="n"/>
      <c r="D933" s="127" t="n"/>
      <c r="E933" s="127" t="n"/>
      <c r="F933" s="128" t="n"/>
      <c r="G933" s="128" t="n"/>
      <c r="H933" s="129" t="n"/>
      <c r="I933" s="129" t="n"/>
      <c r="J933" s="128" t="n"/>
      <c r="K933" s="130" t="n"/>
      <c r="L933" s="130" t="n"/>
      <c r="M933" s="128" t="n"/>
      <c r="N933" s="129" t="n"/>
    </row>
    <row r="934" ht="15" customHeight="1" s="75">
      <c r="A934" s="124" t="n"/>
      <c r="B934" s="125" t="n"/>
      <c r="C934" s="126" t="n"/>
      <c r="D934" s="127" t="n"/>
      <c r="E934" s="127" t="n"/>
      <c r="F934" s="128" t="n"/>
      <c r="G934" s="128" t="n"/>
      <c r="H934" s="129" t="n"/>
      <c r="I934" s="129" t="n"/>
      <c r="J934" s="128" t="n"/>
      <c r="K934" s="130" t="n"/>
      <c r="L934" s="130" t="n"/>
      <c r="M934" s="128" t="n"/>
      <c r="N934" s="129" t="n"/>
    </row>
    <row r="935" ht="15" customHeight="1" s="75">
      <c r="A935" s="124" t="n"/>
      <c r="B935" s="125" t="n"/>
      <c r="C935" s="126" t="n"/>
      <c r="D935" s="127" t="n"/>
      <c r="E935" s="127" t="n"/>
      <c r="F935" s="128" t="n"/>
      <c r="G935" s="128" t="n"/>
      <c r="H935" s="129" t="n"/>
      <c r="I935" s="129" t="n"/>
      <c r="J935" s="128" t="n"/>
      <c r="K935" s="130" t="n"/>
      <c r="L935" s="130" t="n"/>
      <c r="M935" s="128" t="n"/>
      <c r="N935" s="129" t="n"/>
    </row>
    <row r="936" ht="15" customHeight="1" s="75">
      <c r="A936" s="124" t="n"/>
      <c r="B936" s="125" t="n"/>
      <c r="C936" s="126" t="n"/>
      <c r="D936" s="127" t="n"/>
      <c r="E936" s="127" t="n"/>
      <c r="F936" s="128" t="n"/>
      <c r="G936" s="128" t="n"/>
      <c r="H936" s="129" t="n"/>
      <c r="I936" s="129" t="n"/>
      <c r="J936" s="128" t="n"/>
      <c r="K936" s="130" t="n"/>
      <c r="L936" s="130" t="n"/>
      <c r="M936" s="128" t="n"/>
      <c r="N936" s="129" t="n"/>
    </row>
    <row r="937" ht="15" customHeight="1" s="75">
      <c r="A937" s="124" t="n"/>
      <c r="B937" s="125" t="n"/>
      <c r="C937" s="126" t="n"/>
      <c r="D937" s="127" t="n"/>
      <c r="E937" s="127" t="n"/>
      <c r="F937" s="128" t="n"/>
      <c r="G937" s="128" t="n"/>
      <c r="H937" s="129" t="n"/>
      <c r="I937" s="129" t="n"/>
      <c r="J937" s="128" t="n"/>
      <c r="K937" s="130" t="n"/>
      <c r="L937" s="130" t="n"/>
      <c r="M937" s="128" t="n"/>
      <c r="N937" s="129" t="n"/>
    </row>
    <row r="938" ht="15" customHeight="1" s="75">
      <c r="A938" s="124" t="n"/>
      <c r="B938" s="125" t="n"/>
      <c r="C938" s="126" t="n"/>
      <c r="D938" s="127" t="n"/>
      <c r="E938" s="127" t="n"/>
      <c r="F938" s="128" t="n"/>
      <c r="G938" s="128" t="n"/>
      <c r="H938" s="129" t="n"/>
      <c r="I938" s="129" t="n"/>
      <c r="J938" s="128" t="n"/>
      <c r="K938" s="130" t="n"/>
      <c r="L938" s="130" t="n"/>
      <c r="M938" s="128" t="n"/>
      <c r="N938" s="129" t="n"/>
    </row>
    <row r="939" ht="15" customHeight="1" s="75">
      <c r="A939" s="124" t="n"/>
      <c r="B939" s="125" t="n"/>
      <c r="C939" s="126" t="n"/>
      <c r="D939" s="127" t="n"/>
      <c r="E939" s="127" t="n"/>
      <c r="F939" s="128" t="n"/>
      <c r="G939" s="128" t="n"/>
      <c r="H939" s="129" t="n"/>
      <c r="I939" s="129" t="n"/>
      <c r="J939" s="128" t="n"/>
      <c r="K939" s="130" t="n"/>
      <c r="L939" s="130" t="n"/>
      <c r="M939" s="128" t="n"/>
      <c r="N939" s="129" t="n"/>
    </row>
    <row r="940" ht="15" customHeight="1" s="75">
      <c r="A940" s="124" t="n"/>
      <c r="B940" s="125" t="n"/>
      <c r="C940" s="126" t="n"/>
      <c r="D940" s="127" t="n"/>
      <c r="E940" s="127" t="n"/>
      <c r="F940" s="128" t="n"/>
      <c r="G940" s="128" t="n"/>
      <c r="H940" s="129" t="n"/>
      <c r="I940" s="129" t="n"/>
      <c r="J940" s="128" t="n"/>
      <c r="K940" s="130" t="n"/>
      <c r="L940" s="130" t="n"/>
      <c r="M940" s="128" t="n"/>
      <c r="N940" s="129" t="n"/>
    </row>
    <row r="941" ht="15" customHeight="1" s="75">
      <c r="A941" s="124" t="n"/>
      <c r="B941" s="125" t="n"/>
      <c r="C941" s="126" t="n"/>
      <c r="D941" s="127" t="n"/>
      <c r="E941" s="127" t="n"/>
      <c r="F941" s="128" t="n"/>
      <c r="G941" s="128" t="n"/>
      <c r="H941" s="129" t="n"/>
      <c r="I941" s="129" t="n"/>
      <c r="J941" s="128" t="n"/>
      <c r="K941" s="130" t="n"/>
      <c r="L941" s="130" t="n"/>
      <c r="M941" s="128" t="n"/>
      <c r="N941" s="129" t="n"/>
    </row>
    <row r="942" ht="15" customHeight="1" s="75">
      <c r="A942" s="124" t="n"/>
      <c r="B942" s="125" t="n"/>
      <c r="C942" s="126" t="n"/>
      <c r="D942" s="127" t="n"/>
      <c r="E942" s="127" t="n"/>
      <c r="F942" s="128" t="n"/>
      <c r="G942" s="128" t="n"/>
      <c r="H942" s="129" t="n"/>
      <c r="I942" s="129" t="n"/>
      <c r="J942" s="128" t="n"/>
      <c r="K942" s="130" t="n"/>
      <c r="L942" s="130" t="n"/>
      <c r="M942" s="128" t="n"/>
      <c r="N942" s="129" t="n"/>
    </row>
    <row r="943" ht="15" customHeight="1" s="75">
      <c r="A943" s="124" t="n"/>
      <c r="B943" s="125" t="n"/>
      <c r="C943" s="126" t="n"/>
      <c r="D943" s="127" t="n"/>
      <c r="E943" s="127" t="n"/>
      <c r="F943" s="128" t="n"/>
      <c r="G943" s="128" t="n"/>
      <c r="H943" s="129" t="n"/>
      <c r="I943" s="129" t="n"/>
      <c r="J943" s="128" t="n"/>
      <c r="K943" s="130" t="n"/>
      <c r="L943" s="130" t="n"/>
      <c r="M943" s="128" t="n"/>
      <c r="N943" s="129" t="n"/>
    </row>
    <row r="944" ht="15" customHeight="1" s="75">
      <c r="A944" s="124" t="n"/>
      <c r="B944" s="125" t="n"/>
      <c r="C944" s="126" t="n"/>
      <c r="D944" s="127" t="n"/>
      <c r="E944" s="127" t="n"/>
      <c r="F944" s="128" t="n"/>
      <c r="G944" s="128" t="n"/>
      <c r="H944" s="129" t="n"/>
      <c r="I944" s="129" t="n"/>
      <c r="J944" s="128" t="n"/>
      <c r="K944" s="130" t="n"/>
      <c r="L944" s="130" t="n"/>
      <c r="M944" s="128" t="n"/>
      <c r="N944" s="129" t="n"/>
    </row>
    <row r="945" ht="15" customHeight="1" s="75">
      <c r="A945" s="124" t="n"/>
      <c r="B945" s="125" t="n"/>
      <c r="C945" s="126" t="n"/>
      <c r="D945" s="127" t="n"/>
      <c r="E945" s="127" t="n"/>
      <c r="F945" s="128" t="n"/>
      <c r="G945" s="128" t="n"/>
      <c r="H945" s="129" t="n"/>
      <c r="I945" s="129" t="n"/>
      <c r="J945" s="128" t="n"/>
      <c r="K945" s="130" t="n"/>
      <c r="L945" s="130" t="n"/>
      <c r="M945" s="128" t="n"/>
      <c r="N945" s="129" t="n"/>
    </row>
    <row r="946" ht="15" customHeight="1" s="75">
      <c r="A946" s="124" t="n"/>
      <c r="B946" s="125" t="n"/>
      <c r="C946" s="126" t="n"/>
      <c r="D946" s="127" t="n"/>
      <c r="E946" s="127" t="n"/>
      <c r="F946" s="128" t="n"/>
      <c r="G946" s="128" t="n"/>
      <c r="H946" s="129" t="n"/>
      <c r="I946" s="129" t="n"/>
      <c r="J946" s="128" t="n"/>
      <c r="K946" s="130" t="n"/>
      <c r="L946" s="130" t="n"/>
      <c r="M946" s="128" t="n"/>
      <c r="N946" s="129" t="n"/>
    </row>
    <row r="947" ht="15" customHeight="1" s="75">
      <c r="A947" s="124" t="n"/>
      <c r="B947" s="125" t="n"/>
      <c r="C947" s="126" t="n"/>
      <c r="D947" s="127" t="n"/>
      <c r="E947" s="127" t="n"/>
      <c r="F947" s="128" t="n"/>
      <c r="G947" s="128" t="n"/>
      <c r="H947" s="129" t="n"/>
      <c r="I947" s="129" t="n"/>
      <c r="J947" s="128" t="n"/>
      <c r="K947" s="130" t="n"/>
      <c r="L947" s="130" t="n"/>
      <c r="M947" s="128" t="n"/>
      <c r="N947" s="129" t="n"/>
    </row>
    <row r="948" ht="15" customHeight="1" s="75">
      <c r="A948" s="124" t="n"/>
      <c r="B948" s="125" t="n"/>
      <c r="C948" s="126" t="n"/>
      <c r="D948" s="127" t="n"/>
      <c r="E948" s="127" t="n"/>
      <c r="F948" s="128" t="n"/>
      <c r="G948" s="128" t="n"/>
      <c r="H948" s="129" t="n"/>
      <c r="I948" s="129" t="n"/>
      <c r="J948" s="128" t="n"/>
      <c r="K948" s="130" t="n"/>
      <c r="L948" s="130" t="n"/>
      <c r="M948" s="128" t="n"/>
      <c r="N948" s="129" t="n"/>
    </row>
    <row r="949" ht="15" customHeight="1" s="75">
      <c r="A949" s="124" t="n"/>
      <c r="B949" s="125" t="n"/>
      <c r="C949" s="126" t="n"/>
      <c r="D949" s="127" t="n"/>
      <c r="E949" s="127" t="n"/>
      <c r="F949" s="128" t="n"/>
      <c r="G949" s="128" t="n"/>
      <c r="H949" s="129" t="n"/>
      <c r="I949" s="129" t="n"/>
      <c r="J949" s="128" t="n"/>
      <c r="K949" s="130" t="n"/>
      <c r="L949" s="130" t="n"/>
      <c r="M949" s="128" t="n"/>
      <c r="N949" s="129" t="n"/>
    </row>
    <row r="950" ht="15" customHeight="1" s="75">
      <c r="A950" s="124" t="n"/>
      <c r="B950" s="125" t="n"/>
      <c r="C950" s="126" t="n"/>
      <c r="D950" s="127" t="n"/>
      <c r="E950" s="127" t="n"/>
      <c r="F950" s="128" t="n"/>
      <c r="G950" s="128" t="n"/>
      <c r="H950" s="129" t="n"/>
      <c r="I950" s="129" t="n"/>
      <c r="J950" s="128" t="n"/>
      <c r="K950" s="130" t="n"/>
      <c r="L950" s="130" t="n"/>
      <c r="M950" s="128" t="n"/>
      <c r="N950" s="129" t="n"/>
    </row>
    <row r="951" ht="15" customHeight="1" s="75">
      <c r="A951" s="124" t="n"/>
      <c r="B951" s="125" t="n"/>
      <c r="C951" s="126" t="n"/>
      <c r="D951" s="127" t="n"/>
      <c r="E951" s="127" t="n"/>
      <c r="F951" s="128" t="n"/>
      <c r="G951" s="128" t="n"/>
      <c r="H951" s="129" t="n"/>
      <c r="I951" s="129" t="n"/>
      <c r="J951" s="128" t="n"/>
      <c r="K951" s="130" t="n"/>
      <c r="L951" s="130" t="n"/>
      <c r="M951" s="128" t="n"/>
      <c r="N951" s="129" t="n"/>
    </row>
    <row r="952" ht="15" customHeight="1" s="75">
      <c r="A952" s="124" t="n"/>
      <c r="B952" s="125" t="n"/>
      <c r="C952" s="126" t="n"/>
      <c r="D952" s="127" t="n"/>
      <c r="E952" s="127" t="n"/>
      <c r="F952" s="128" t="n"/>
      <c r="G952" s="128" t="n"/>
      <c r="H952" s="129" t="n"/>
      <c r="I952" s="129" t="n"/>
      <c r="J952" s="128" t="n"/>
      <c r="K952" s="130" t="n"/>
      <c r="L952" s="130" t="n"/>
      <c r="M952" s="128" t="n"/>
      <c r="N952" s="129" t="n"/>
    </row>
    <row r="953" ht="15" customHeight="1" s="75">
      <c r="A953" s="124" t="n"/>
      <c r="B953" s="125" t="n"/>
      <c r="C953" s="126" t="n"/>
      <c r="D953" s="127" t="n"/>
      <c r="E953" s="127" t="n"/>
      <c r="F953" s="128" t="n"/>
      <c r="G953" s="128" t="n"/>
      <c r="H953" s="129" t="n"/>
      <c r="I953" s="129" t="n"/>
      <c r="J953" s="128" t="n"/>
      <c r="K953" s="130" t="n"/>
      <c r="L953" s="130" t="n"/>
      <c r="M953" s="128" t="n"/>
      <c r="N953" s="129" t="n"/>
    </row>
    <row r="954" ht="15" customHeight="1" s="75">
      <c r="A954" s="124" t="n"/>
      <c r="B954" s="125" t="n"/>
      <c r="C954" s="126" t="n"/>
      <c r="D954" s="127" t="n"/>
      <c r="E954" s="127" t="n"/>
      <c r="F954" s="128" t="n"/>
      <c r="G954" s="128" t="n"/>
      <c r="H954" s="129" t="n"/>
      <c r="I954" s="129" t="n"/>
      <c r="J954" s="128" t="n"/>
      <c r="K954" s="130" t="n"/>
      <c r="L954" s="130" t="n"/>
      <c r="M954" s="128" t="n"/>
      <c r="N954" s="129" t="n"/>
    </row>
    <row r="955" ht="15" customHeight="1" s="75">
      <c r="A955" s="124" t="n"/>
      <c r="B955" s="125" t="n"/>
      <c r="C955" s="126" t="n"/>
      <c r="D955" s="127" t="n"/>
      <c r="E955" s="127" t="n"/>
      <c r="F955" s="128" t="n"/>
      <c r="G955" s="128" t="n"/>
      <c r="H955" s="129" t="n"/>
      <c r="I955" s="129" t="n"/>
      <c r="J955" s="128" t="n"/>
      <c r="K955" s="130" t="n"/>
      <c r="L955" s="130" t="n"/>
      <c r="M955" s="128" t="n"/>
      <c r="N955" s="129" t="n"/>
    </row>
    <row r="956" ht="15" customHeight="1" s="75">
      <c r="A956" s="124" t="n"/>
      <c r="B956" s="125" t="n"/>
      <c r="C956" s="126" t="n"/>
      <c r="D956" s="127" t="n"/>
      <c r="E956" s="127" t="n"/>
      <c r="F956" s="128" t="n"/>
      <c r="G956" s="128" t="n"/>
      <c r="H956" s="129" t="n"/>
      <c r="I956" s="129" t="n"/>
      <c r="J956" s="128" t="n"/>
      <c r="K956" s="130" t="n"/>
      <c r="L956" s="130" t="n"/>
      <c r="M956" s="128" t="n"/>
      <c r="N956" s="129" t="n"/>
    </row>
    <row r="957" ht="15" customHeight="1" s="75">
      <c r="A957" s="124" t="n"/>
      <c r="B957" s="125" t="n"/>
      <c r="C957" s="126" t="n"/>
      <c r="D957" s="127" t="n"/>
      <c r="E957" s="127" t="n"/>
      <c r="F957" s="128" t="n"/>
      <c r="G957" s="128" t="n"/>
      <c r="H957" s="129" t="n"/>
      <c r="I957" s="129" t="n"/>
      <c r="J957" s="128" t="n"/>
      <c r="K957" s="130" t="n"/>
      <c r="L957" s="130" t="n"/>
      <c r="M957" s="128" t="n"/>
      <c r="N957" s="129" t="n"/>
    </row>
    <row r="958" ht="15" customHeight="1" s="75">
      <c r="A958" s="124" t="n"/>
      <c r="B958" s="125" t="n"/>
      <c r="C958" s="126" t="n"/>
      <c r="D958" s="127" t="n"/>
      <c r="E958" s="127" t="n"/>
      <c r="F958" s="128" t="n"/>
      <c r="G958" s="128" t="n"/>
      <c r="H958" s="129" t="n"/>
      <c r="I958" s="129" t="n"/>
      <c r="J958" s="128" t="n"/>
      <c r="K958" s="130" t="n"/>
      <c r="L958" s="130" t="n"/>
      <c r="M958" s="128" t="n"/>
      <c r="N958" s="129" t="n"/>
    </row>
    <row r="959" ht="15" customHeight="1" s="75">
      <c r="A959" s="124" t="n"/>
      <c r="B959" s="125" t="n"/>
      <c r="C959" s="126" t="n"/>
      <c r="D959" s="127" t="n"/>
      <c r="E959" s="127" t="n"/>
      <c r="F959" s="128" t="n"/>
      <c r="G959" s="128" t="n"/>
      <c r="H959" s="129" t="n"/>
      <c r="I959" s="129" t="n"/>
      <c r="J959" s="128" t="n"/>
      <c r="K959" s="130" t="n"/>
      <c r="L959" s="130" t="n"/>
      <c r="M959" s="128" t="n"/>
      <c r="N959" s="129" t="n"/>
    </row>
    <row r="960" ht="15" customHeight="1" s="75">
      <c r="A960" s="124" t="n"/>
      <c r="B960" s="125" t="n"/>
      <c r="C960" s="126" t="n"/>
      <c r="D960" s="127" t="n"/>
      <c r="E960" s="127" t="n"/>
      <c r="F960" s="128" t="n"/>
      <c r="G960" s="128" t="n"/>
      <c r="H960" s="129" t="n"/>
      <c r="I960" s="129" t="n"/>
      <c r="J960" s="128" t="n"/>
      <c r="K960" s="130" t="n"/>
      <c r="L960" s="130" t="n"/>
      <c r="M960" s="128" t="n"/>
      <c r="N960" s="129" t="n"/>
    </row>
    <row r="961" ht="15" customHeight="1" s="75">
      <c r="A961" s="124" t="n"/>
      <c r="B961" s="125" t="n"/>
      <c r="C961" s="126" t="n"/>
      <c r="D961" s="127" t="n"/>
      <c r="E961" s="127" t="n"/>
      <c r="F961" s="128" t="n"/>
      <c r="G961" s="128" t="n"/>
      <c r="H961" s="129" t="n"/>
      <c r="I961" s="129" t="n"/>
      <c r="J961" s="128" t="n"/>
      <c r="K961" s="130" t="n"/>
      <c r="L961" s="130" t="n"/>
      <c r="M961" s="128" t="n"/>
      <c r="N961" s="129" t="n"/>
    </row>
    <row r="962" ht="15" customHeight="1" s="75">
      <c r="A962" s="124" t="n"/>
      <c r="B962" s="125" t="n"/>
      <c r="C962" s="126" t="n"/>
      <c r="D962" s="127" t="n"/>
      <c r="E962" s="127" t="n"/>
      <c r="F962" s="128" t="n"/>
      <c r="G962" s="128" t="n"/>
      <c r="H962" s="129" t="n"/>
      <c r="I962" s="129" t="n"/>
      <c r="J962" s="128" t="n"/>
      <c r="K962" s="130" t="n"/>
      <c r="L962" s="130" t="n"/>
      <c r="M962" s="128" t="n"/>
      <c r="N962" s="129" t="n"/>
    </row>
    <row r="963" ht="15" customHeight="1" s="75">
      <c r="A963" s="124" t="n"/>
      <c r="B963" s="125" t="n"/>
      <c r="C963" s="126" t="n"/>
      <c r="D963" s="127" t="n"/>
      <c r="E963" s="127" t="n"/>
      <c r="F963" s="128" t="n"/>
      <c r="G963" s="128" t="n"/>
      <c r="H963" s="129" t="n"/>
      <c r="I963" s="129" t="n"/>
      <c r="J963" s="128" t="n"/>
      <c r="K963" s="130" t="n"/>
      <c r="L963" s="130" t="n"/>
      <c r="M963" s="128" t="n"/>
      <c r="N963" s="129" t="n"/>
    </row>
    <row r="964" ht="15" customHeight="1" s="75">
      <c r="A964" s="124" t="n"/>
      <c r="B964" s="125" t="n"/>
      <c r="C964" s="126" t="n"/>
      <c r="D964" s="127" t="n"/>
      <c r="E964" s="127" t="n"/>
      <c r="F964" s="128" t="n"/>
      <c r="G964" s="128" t="n"/>
      <c r="H964" s="129" t="n"/>
      <c r="I964" s="129" t="n"/>
      <c r="J964" s="128" t="n"/>
      <c r="K964" s="130" t="n"/>
      <c r="L964" s="130" t="n"/>
      <c r="M964" s="128" t="n"/>
      <c r="N964" s="129" t="n"/>
    </row>
    <row r="965" ht="15" customHeight="1" s="75">
      <c r="A965" s="124" t="n"/>
      <c r="B965" s="125" t="n"/>
      <c r="C965" s="126" t="n"/>
      <c r="D965" s="127" t="n"/>
      <c r="E965" s="127" t="n"/>
      <c r="F965" s="128" t="n"/>
      <c r="G965" s="128" t="n"/>
      <c r="H965" s="129" t="n"/>
      <c r="I965" s="129" t="n"/>
      <c r="J965" s="128" t="n"/>
      <c r="K965" s="130" t="n"/>
      <c r="L965" s="130" t="n"/>
      <c r="M965" s="128" t="n"/>
      <c r="N965" s="129" t="n"/>
    </row>
    <row r="966" ht="15" customHeight="1" s="75">
      <c r="A966" s="124" t="n"/>
      <c r="B966" s="125" t="n"/>
      <c r="C966" s="126" t="n"/>
      <c r="D966" s="127" t="n"/>
      <c r="E966" s="127" t="n"/>
      <c r="F966" s="128" t="n"/>
      <c r="G966" s="128" t="n"/>
      <c r="H966" s="129" t="n"/>
      <c r="I966" s="129" t="n"/>
      <c r="J966" s="128" t="n"/>
      <c r="K966" s="130" t="n"/>
      <c r="L966" s="130" t="n"/>
      <c r="M966" s="128" t="n"/>
      <c r="N966" s="129" t="n"/>
    </row>
    <row r="967" ht="15" customHeight="1" s="75">
      <c r="A967" s="124" t="n"/>
      <c r="B967" s="125" t="n"/>
      <c r="C967" s="126" t="n"/>
      <c r="D967" s="127" t="n"/>
      <c r="E967" s="127" t="n"/>
      <c r="F967" s="128" t="n"/>
      <c r="G967" s="128" t="n"/>
      <c r="H967" s="129" t="n"/>
      <c r="I967" s="129" t="n"/>
      <c r="J967" s="128" t="n"/>
      <c r="K967" s="130" t="n"/>
      <c r="L967" s="130" t="n"/>
      <c r="M967" s="128" t="n"/>
      <c r="N967" s="129" t="n"/>
    </row>
    <row r="968" ht="15" customHeight="1" s="75">
      <c r="A968" s="124" t="n"/>
      <c r="B968" s="125" t="n"/>
      <c r="C968" s="126" t="n"/>
      <c r="D968" s="127" t="n"/>
      <c r="E968" s="127" t="n"/>
      <c r="F968" s="128" t="n"/>
      <c r="G968" s="128" t="n"/>
      <c r="H968" s="129" t="n"/>
      <c r="I968" s="129" t="n"/>
      <c r="J968" s="128" t="n"/>
      <c r="K968" s="130" t="n"/>
      <c r="L968" s="130" t="n"/>
      <c r="M968" s="128" t="n"/>
      <c r="N968" s="129" t="n"/>
    </row>
    <row r="969" ht="15" customHeight="1" s="75">
      <c r="A969" s="124" t="n"/>
      <c r="B969" s="125" t="n"/>
      <c r="C969" s="126" t="n"/>
      <c r="D969" s="127" t="n"/>
      <c r="E969" s="127" t="n"/>
      <c r="F969" s="128" t="n"/>
      <c r="G969" s="128" t="n"/>
      <c r="H969" s="129" t="n"/>
      <c r="I969" s="129" t="n"/>
      <c r="J969" s="128" t="n"/>
      <c r="K969" s="130" t="n"/>
      <c r="L969" s="130" t="n"/>
      <c r="M969" s="128" t="n"/>
      <c r="N969" s="129" t="n"/>
    </row>
    <row r="970" ht="15" customHeight="1" s="75">
      <c r="A970" s="124" t="n"/>
      <c r="B970" s="125" t="n"/>
      <c r="C970" s="126" t="n"/>
      <c r="D970" s="127" t="n"/>
      <c r="E970" s="127" t="n"/>
      <c r="F970" s="128" t="n"/>
      <c r="G970" s="128" t="n"/>
      <c r="H970" s="129" t="n"/>
      <c r="I970" s="129" t="n"/>
      <c r="J970" s="128" t="n"/>
      <c r="K970" s="130" t="n"/>
      <c r="L970" s="130" t="n"/>
      <c r="M970" s="128" t="n"/>
      <c r="N970" s="129" t="n"/>
    </row>
    <row r="971" ht="15" customHeight="1" s="75">
      <c r="A971" s="124" t="n"/>
      <c r="B971" s="125" t="n"/>
      <c r="C971" s="126" t="n"/>
      <c r="D971" s="127" t="n"/>
      <c r="E971" s="127" t="n"/>
      <c r="F971" s="128" t="n"/>
      <c r="G971" s="128" t="n"/>
      <c r="H971" s="129" t="n"/>
      <c r="I971" s="129" t="n"/>
      <c r="J971" s="128" t="n"/>
      <c r="K971" s="130" t="n"/>
      <c r="L971" s="130" t="n"/>
      <c r="M971" s="128" t="n"/>
      <c r="N971" s="129" t="n"/>
    </row>
    <row r="972" ht="15" customHeight="1" s="75">
      <c r="A972" s="124" t="n"/>
      <c r="B972" s="125" t="n"/>
      <c r="C972" s="126" t="n"/>
      <c r="D972" s="127" t="n"/>
      <c r="E972" s="127" t="n"/>
      <c r="F972" s="128" t="n"/>
      <c r="G972" s="128" t="n"/>
      <c r="H972" s="129" t="n"/>
      <c r="I972" s="129" t="n"/>
      <c r="J972" s="128" t="n"/>
      <c r="K972" s="130" t="n"/>
      <c r="L972" s="130" t="n"/>
      <c r="M972" s="128" t="n"/>
      <c r="N972" s="129" t="n"/>
    </row>
    <row r="973" ht="15" customHeight="1" s="75">
      <c r="A973" s="124" t="n"/>
      <c r="B973" s="125" t="n"/>
      <c r="C973" s="126" t="n"/>
      <c r="D973" s="127" t="n"/>
      <c r="E973" s="127" t="n"/>
      <c r="F973" s="128" t="n"/>
      <c r="G973" s="128" t="n"/>
      <c r="H973" s="129" t="n"/>
      <c r="I973" s="129" t="n"/>
      <c r="J973" s="128" t="n"/>
      <c r="K973" s="130" t="n"/>
      <c r="L973" s="130" t="n"/>
      <c r="M973" s="128" t="n"/>
      <c r="N973" s="129" t="n"/>
    </row>
    <row r="974" ht="15" customHeight="1" s="75">
      <c r="A974" s="124" t="n"/>
      <c r="B974" s="125" t="n"/>
      <c r="C974" s="126" t="n"/>
      <c r="D974" s="127" t="n"/>
      <c r="E974" s="127" t="n"/>
      <c r="F974" s="128" t="n"/>
      <c r="G974" s="128" t="n"/>
      <c r="H974" s="129" t="n"/>
      <c r="I974" s="129" t="n"/>
      <c r="J974" s="128" t="n"/>
      <c r="K974" s="130" t="n"/>
      <c r="L974" s="130" t="n"/>
      <c r="M974" s="128" t="n"/>
      <c r="N974" s="129" t="n"/>
    </row>
    <row r="975" ht="15" customHeight="1" s="75">
      <c r="A975" s="124" t="n"/>
      <c r="B975" s="125" t="n"/>
      <c r="C975" s="126" t="n"/>
      <c r="D975" s="127" t="n"/>
      <c r="E975" s="127" t="n"/>
      <c r="F975" s="128" t="n"/>
      <c r="G975" s="128" t="n"/>
      <c r="H975" s="129" t="n"/>
      <c r="I975" s="129" t="n"/>
      <c r="J975" s="128" t="n"/>
      <c r="K975" s="130" t="n"/>
      <c r="L975" s="130" t="n"/>
      <c r="M975" s="128" t="n"/>
      <c r="N975" s="129" t="n"/>
    </row>
    <row r="976" ht="15" customHeight="1" s="75">
      <c r="A976" s="124" t="n"/>
      <c r="B976" s="125" t="n"/>
      <c r="C976" s="126" t="n"/>
      <c r="D976" s="127" t="n"/>
      <c r="E976" s="127" t="n"/>
      <c r="F976" s="128" t="n"/>
      <c r="G976" s="128" t="n"/>
      <c r="H976" s="129" t="n"/>
      <c r="I976" s="129" t="n"/>
      <c r="J976" s="128" t="n"/>
      <c r="K976" s="130" t="n"/>
      <c r="L976" s="130" t="n"/>
      <c r="M976" s="128" t="n"/>
      <c r="N976" s="129" t="n"/>
    </row>
    <row r="977" ht="15" customHeight="1" s="75">
      <c r="A977" s="124" t="n"/>
      <c r="B977" s="125" t="n"/>
      <c r="C977" s="126" t="n"/>
      <c r="D977" s="127" t="n"/>
      <c r="E977" s="127" t="n"/>
      <c r="F977" s="128" t="n"/>
      <c r="G977" s="128" t="n"/>
      <c r="H977" s="129" t="n"/>
      <c r="I977" s="129" t="n"/>
      <c r="J977" s="128" t="n"/>
      <c r="K977" s="130" t="n"/>
      <c r="L977" s="130" t="n"/>
      <c r="M977" s="128" t="n"/>
      <c r="N977" s="129" t="n"/>
    </row>
    <row r="978" ht="15" customHeight="1" s="75">
      <c r="A978" s="124" t="n"/>
      <c r="B978" s="125" t="n"/>
      <c r="C978" s="126" t="n"/>
      <c r="D978" s="127" t="n"/>
      <c r="E978" s="127" t="n"/>
      <c r="F978" s="128" t="n"/>
      <c r="G978" s="128" t="n"/>
      <c r="H978" s="129" t="n"/>
      <c r="I978" s="129" t="n"/>
      <c r="J978" s="128" t="n"/>
      <c r="K978" s="130" t="n"/>
      <c r="L978" s="130" t="n"/>
      <c r="M978" s="128" t="n"/>
      <c r="N978" s="129" t="n"/>
    </row>
    <row r="979" ht="15" customHeight="1" s="75">
      <c r="A979" s="124" t="n"/>
      <c r="B979" s="125" t="n"/>
      <c r="C979" s="126" t="n"/>
      <c r="D979" s="127" t="n"/>
      <c r="E979" s="127" t="n"/>
      <c r="F979" s="128" t="n"/>
      <c r="G979" s="128" t="n"/>
      <c r="H979" s="129" t="n"/>
      <c r="I979" s="129" t="n"/>
      <c r="J979" s="128" t="n"/>
      <c r="K979" s="130" t="n"/>
      <c r="L979" s="130" t="n"/>
      <c r="M979" s="128" t="n"/>
      <c r="N979" s="129" t="n"/>
    </row>
    <row r="980" ht="15" customHeight="1" s="75">
      <c r="A980" s="124" t="n"/>
      <c r="B980" s="125" t="n"/>
      <c r="C980" s="126" t="n"/>
      <c r="D980" s="127" t="n"/>
      <c r="E980" s="127" t="n"/>
      <c r="F980" s="128" t="n"/>
      <c r="G980" s="128" t="n"/>
      <c r="H980" s="129" t="n"/>
      <c r="I980" s="129" t="n"/>
      <c r="J980" s="128" t="n"/>
      <c r="K980" s="130" t="n"/>
      <c r="L980" s="130" t="n"/>
      <c r="M980" s="128" t="n"/>
      <c r="N980" s="129" t="n"/>
    </row>
    <row r="981" ht="15" customHeight="1" s="75">
      <c r="A981" s="124" t="n"/>
      <c r="B981" s="125" t="n"/>
      <c r="C981" s="126" t="n"/>
      <c r="D981" s="127" t="n"/>
      <c r="E981" s="127" t="n"/>
      <c r="F981" s="128" t="n"/>
      <c r="G981" s="128" t="n"/>
      <c r="H981" s="129" t="n"/>
      <c r="I981" s="129" t="n"/>
      <c r="J981" s="128" t="n"/>
      <c r="K981" s="130" t="n"/>
      <c r="L981" s="130" t="n"/>
      <c r="M981" s="128" t="n"/>
      <c r="N981" s="129" t="n"/>
    </row>
    <row r="982" ht="15" customHeight="1" s="75">
      <c r="A982" s="124" t="n"/>
      <c r="B982" s="125" t="n"/>
      <c r="C982" s="126" t="n"/>
      <c r="D982" s="127" t="n"/>
      <c r="E982" s="127" t="n"/>
      <c r="F982" s="128" t="n"/>
      <c r="G982" s="128" t="n"/>
      <c r="H982" s="129" t="n"/>
      <c r="I982" s="129" t="n"/>
      <c r="J982" s="128" t="n"/>
      <c r="K982" s="130" t="n"/>
      <c r="L982" s="130" t="n"/>
      <c r="M982" s="128" t="n"/>
      <c r="N982" s="129" t="n"/>
    </row>
    <row r="983" ht="15" customHeight="1" s="75">
      <c r="A983" s="124" t="n"/>
      <c r="B983" s="125" t="n"/>
      <c r="C983" s="126" t="n"/>
      <c r="D983" s="127" t="n"/>
      <c r="E983" s="127" t="n"/>
      <c r="F983" s="128" t="n"/>
      <c r="G983" s="128" t="n"/>
      <c r="H983" s="129" t="n"/>
      <c r="I983" s="129" t="n"/>
      <c r="J983" s="128" t="n"/>
      <c r="K983" s="130" t="n"/>
      <c r="L983" s="130" t="n"/>
      <c r="M983" s="128" t="n"/>
      <c r="N983" s="129" t="n"/>
    </row>
    <row r="984" ht="15" customHeight="1" s="75">
      <c r="A984" s="124" t="n"/>
      <c r="B984" s="125" t="n"/>
      <c r="C984" s="126" t="n"/>
      <c r="D984" s="127" t="n"/>
      <c r="E984" s="127" t="n"/>
      <c r="F984" s="128" t="n"/>
      <c r="G984" s="128" t="n"/>
      <c r="H984" s="129" t="n"/>
      <c r="I984" s="129" t="n"/>
      <c r="J984" s="128" t="n"/>
      <c r="K984" s="130" t="n"/>
      <c r="L984" s="130" t="n"/>
      <c r="M984" s="128" t="n"/>
      <c r="N984" s="129" t="n"/>
    </row>
    <row r="985" ht="15" customHeight="1" s="75">
      <c r="A985" s="124" t="n"/>
      <c r="B985" s="125" t="n"/>
      <c r="C985" s="126" t="n"/>
      <c r="D985" s="127" t="n"/>
      <c r="E985" s="127" t="n"/>
      <c r="F985" s="128" t="n"/>
      <c r="G985" s="128" t="n"/>
      <c r="H985" s="129" t="n"/>
      <c r="I985" s="129" t="n"/>
      <c r="J985" s="128" t="n"/>
      <c r="K985" s="130" t="n"/>
      <c r="L985" s="130" t="n"/>
      <c r="M985" s="128" t="n"/>
      <c r="N985" s="129" t="n"/>
    </row>
    <row r="986" ht="15" customHeight="1" s="75">
      <c r="A986" s="124" t="n"/>
      <c r="B986" s="125" t="n"/>
      <c r="C986" s="126" t="n"/>
      <c r="D986" s="127" t="n"/>
      <c r="E986" s="127" t="n"/>
      <c r="F986" s="128" t="n"/>
      <c r="G986" s="128" t="n"/>
      <c r="H986" s="129" t="n"/>
      <c r="I986" s="129" t="n"/>
      <c r="J986" s="128" t="n"/>
      <c r="K986" s="130" t="n"/>
      <c r="L986" s="130" t="n"/>
      <c r="M986" s="128" t="n"/>
      <c r="N986" s="129" t="n"/>
    </row>
    <row r="987" ht="15" customHeight="1" s="75">
      <c r="A987" s="124" t="n"/>
      <c r="B987" s="125" t="n"/>
      <c r="C987" s="126" t="n"/>
      <c r="D987" s="127" t="n"/>
      <c r="E987" s="127" t="n"/>
      <c r="F987" s="128" t="n"/>
      <c r="G987" s="128" t="n"/>
      <c r="H987" s="129" t="n"/>
      <c r="I987" s="129" t="n"/>
      <c r="J987" s="128" t="n"/>
      <c r="K987" s="130" t="n"/>
      <c r="L987" s="130" t="n"/>
      <c r="M987" s="128" t="n"/>
      <c r="N987" s="129" t="n"/>
    </row>
    <row r="988" ht="15" customHeight="1" s="75">
      <c r="A988" s="124" t="n"/>
      <c r="B988" s="125" t="n"/>
      <c r="C988" s="126" t="n"/>
      <c r="D988" s="127" t="n"/>
      <c r="E988" s="127" t="n"/>
      <c r="F988" s="128" t="n"/>
      <c r="G988" s="128" t="n"/>
      <c r="H988" s="129" t="n"/>
      <c r="I988" s="129" t="n"/>
      <c r="J988" s="128" t="n"/>
      <c r="K988" s="130" t="n"/>
      <c r="L988" s="130" t="n"/>
      <c r="M988" s="128" t="n"/>
      <c r="N988" s="129" t="n"/>
    </row>
    <row r="989" ht="15" customHeight="1" s="75">
      <c r="A989" s="124" t="n"/>
      <c r="B989" s="125" t="n"/>
      <c r="C989" s="126" t="n"/>
      <c r="D989" s="127" t="n"/>
      <c r="E989" s="127" t="n"/>
      <c r="F989" s="128" t="n"/>
      <c r="G989" s="128" t="n"/>
      <c r="H989" s="129" t="n"/>
      <c r="I989" s="129" t="n"/>
      <c r="J989" s="128" t="n"/>
      <c r="K989" s="130" t="n"/>
      <c r="L989" s="130" t="n"/>
      <c r="M989" s="128" t="n"/>
      <c r="N989" s="129" t="n"/>
    </row>
    <row r="990" ht="15" customHeight="1" s="75">
      <c r="A990" s="124" t="n"/>
      <c r="B990" s="125" t="n"/>
      <c r="C990" s="126" t="n"/>
      <c r="D990" s="127" t="n"/>
      <c r="E990" s="127" t="n"/>
      <c r="F990" s="128" t="n"/>
      <c r="G990" s="128" t="n"/>
      <c r="H990" s="129" t="n"/>
      <c r="I990" s="129" t="n"/>
      <c r="J990" s="128" t="n"/>
      <c r="K990" s="130" t="n"/>
      <c r="L990" s="130" t="n"/>
      <c r="M990" s="128" t="n"/>
      <c r="N990" s="129" t="n"/>
    </row>
    <row r="991" ht="15" customHeight="1" s="75">
      <c r="A991" s="124" t="n"/>
      <c r="B991" s="125" t="n"/>
      <c r="C991" s="126" t="n"/>
      <c r="D991" s="127" t="n"/>
      <c r="E991" s="127" t="n"/>
      <c r="F991" s="128" t="n"/>
      <c r="G991" s="128" t="n"/>
      <c r="H991" s="129" t="n"/>
      <c r="I991" s="129" t="n"/>
      <c r="J991" s="128" t="n"/>
      <c r="K991" s="130" t="n"/>
      <c r="L991" s="130" t="n"/>
      <c r="M991" s="128" t="n"/>
      <c r="N991" s="129" t="n"/>
    </row>
    <row r="992" ht="15" customHeight="1" s="75">
      <c r="A992" s="124" t="n"/>
      <c r="B992" s="125" t="n"/>
      <c r="C992" s="126" t="n"/>
      <c r="D992" s="127" t="n"/>
      <c r="E992" s="127" t="n"/>
      <c r="F992" s="128" t="n"/>
      <c r="G992" s="128" t="n"/>
      <c r="H992" s="129" t="n"/>
      <c r="I992" s="129" t="n"/>
      <c r="J992" s="128" t="n"/>
      <c r="K992" s="130" t="n"/>
      <c r="L992" s="130" t="n"/>
      <c r="M992" s="128" t="n"/>
      <c r="N992" s="129" t="n"/>
    </row>
    <row r="993" ht="15" customHeight="1" s="75">
      <c r="A993" s="124" t="n"/>
      <c r="B993" s="125" t="n"/>
      <c r="C993" s="126" t="n"/>
      <c r="D993" s="127" t="n"/>
      <c r="E993" s="127" t="n"/>
      <c r="F993" s="128" t="n"/>
      <c r="G993" s="128" t="n"/>
      <c r="H993" s="129" t="n"/>
      <c r="I993" s="129" t="n"/>
      <c r="J993" s="128" t="n"/>
      <c r="K993" s="130" t="n"/>
      <c r="L993" s="130" t="n"/>
      <c r="M993" s="128" t="n"/>
      <c r="N993" s="129" t="n"/>
    </row>
    <row r="994" ht="15" customHeight="1" s="75">
      <c r="A994" s="124" t="n"/>
      <c r="B994" s="125" t="n"/>
      <c r="C994" s="126" t="n"/>
      <c r="D994" s="127" t="n"/>
      <c r="E994" s="127" t="n"/>
      <c r="F994" s="128" t="n"/>
      <c r="G994" s="128" t="n"/>
      <c r="H994" s="129" t="n"/>
      <c r="I994" s="129" t="n"/>
      <c r="J994" s="128" t="n"/>
      <c r="K994" s="130" t="n"/>
      <c r="L994" s="130" t="n"/>
      <c r="M994" s="128" t="n"/>
      <c r="N994" s="129" t="n"/>
    </row>
    <row r="995" ht="15" customHeight="1" s="75">
      <c r="A995" s="124" t="n"/>
      <c r="B995" s="125" t="n"/>
      <c r="C995" s="126" t="n"/>
      <c r="D995" s="127" t="n"/>
      <c r="E995" s="127" t="n"/>
      <c r="F995" s="128" t="n"/>
      <c r="G995" s="128" t="n"/>
      <c r="H995" s="129" t="n"/>
      <c r="I995" s="129" t="n"/>
      <c r="J995" s="128" t="n"/>
      <c r="K995" s="130" t="n"/>
      <c r="L995" s="130" t="n"/>
      <c r="M995" s="128" t="n"/>
      <c r="N995" s="129" t="n"/>
    </row>
    <row r="996" ht="15" customHeight="1" s="75">
      <c r="A996" s="124" t="n"/>
      <c r="B996" s="125" t="n"/>
      <c r="C996" s="126" t="n"/>
      <c r="D996" s="127" t="n"/>
      <c r="E996" s="127" t="n"/>
      <c r="F996" s="128" t="n"/>
      <c r="G996" s="128" t="n"/>
      <c r="H996" s="129" t="n"/>
      <c r="I996" s="129" t="n"/>
      <c r="J996" s="128" t="n"/>
      <c r="K996" s="130" t="n"/>
      <c r="L996" s="130" t="n"/>
      <c r="M996" s="128" t="n"/>
      <c r="N996" s="129" t="n"/>
    </row>
    <row r="997" ht="15" customHeight="1" s="75">
      <c r="A997" s="124" t="n"/>
      <c r="B997" s="125" t="n"/>
      <c r="C997" s="126" t="n"/>
      <c r="D997" s="127" t="n"/>
      <c r="E997" s="127" t="n"/>
      <c r="F997" s="128" t="n"/>
      <c r="G997" s="128" t="n"/>
      <c r="H997" s="129" t="n"/>
      <c r="I997" s="129" t="n"/>
      <c r="J997" s="128" t="n"/>
      <c r="K997" s="130" t="n"/>
      <c r="L997" s="130" t="n"/>
      <c r="M997" s="128" t="n"/>
      <c r="N997" s="129" t="n"/>
    </row>
    <row r="998" ht="15" customHeight="1" s="75">
      <c r="A998" s="124" t="n"/>
      <c r="B998" s="125" t="n"/>
      <c r="C998" s="126" t="n"/>
      <c r="D998" s="127" t="n"/>
      <c r="E998" s="127" t="n"/>
      <c r="F998" s="128" t="n"/>
      <c r="G998" s="128" t="n"/>
      <c r="H998" s="129" t="n"/>
      <c r="I998" s="129" t="n"/>
      <c r="J998" s="128" t="n"/>
      <c r="K998" s="130" t="n"/>
      <c r="L998" s="130" t="n"/>
      <c r="M998" s="128" t="n"/>
      <c r="N998" s="129" t="n"/>
    </row>
    <row r="999" ht="15" customHeight="1" s="75">
      <c r="A999" s="124" t="n"/>
      <c r="B999" s="125" t="n"/>
      <c r="C999" s="126" t="n"/>
      <c r="D999" s="127" t="n"/>
      <c r="E999" s="127" t="n"/>
      <c r="F999" s="128" t="n"/>
      <c r="G999" s="128" t="n"/>
      <c r="H999" s="129" t="n"/>
      <c r="I999" s="129" t="n"/>
      <c r="J999" s="128" t="n"/>
      <c r="K999" s="130" t="n"/>
      <c r="L999" s="130" t="n"/>
      <c r="M999" s="128" t="n"/>
      <c r="N999" s="129" t="n"/>
    </row>
    <row r="1000" ht="15" customHeight="1" s="75">
      <c r="A1000" s="124" t="n"/>
      <c r="B1000" s="125" t="n"/>
      <c r="C1000" s="126" t="n"/>
      <c r="D1000" s="127" t="n"/>
      <c r="E1000" s="127" t="n"/>
      <c r="F1000" s="128" t="n"/>
      <c r="G1000" s="128" t="n"/>
      <c r="H1000" s="129" t="n"/>
      <c r="I1000" s="129" t="n"/>
      <c r="J1000" s="128" t="n"/>
      <c r="K1000" s="130" t="n"/>
      <c r="L1000" s="130" t="n"/>
      <c r="M1000" s="128" t="n"/>
      <c r="N1000" s="129" t="n"/>
    </row>
    <row r="1001" ht="15" customHeight="1" s="75">
      <c r="A1001" s="124" t="n"/>
      <c r="B1001" s="125" t="n"/>
      <c r="C1001" s="126" t="n"/>
      <c r="D1001" s="127" t="n"/>
      <c r="E1001" s="127" t="n"/>
      <c r="F1001" s="128" t="n"/>
      <c r="G1001" s="128" t="n"/>
      <c r="H1001" s="129" t="n"/>
      <c r="I1001" s="129" t="n"/>
      <c r="J1001" s="128" t="n"/>
      <c r="K1001" s="130" t="n"/>
      <c r="L1001" s="130" t="n"/>
      <c r="M1001" s="128" t="n"/>
      <c r="N1001" s="129" t="n"/>
    </row>
    <row r="1002" ht="15" customHeight="1" s="75">
      <c r="A1002" s="124" t="n"/>
      <c r="B1002" s="125" t="n"/>
      <c r="C1002" s="126" t="n"/>
      <c r="D1002" s="127" t="n"/>
      <c r="E1002" s="127" t="n"/>
      <c r="F1002" s="128" t="n"/>
      <c r="G1002" s="128" t="n"/>
      <c r="H1002" s="129" t="n"/>
      <c r="I1002" s="129" t="n"/>
      <c r="J1002" s="128" t="n"/>
      <c r="K1002" s="130" t="n"/>
      <c r="L1002" s="130" t="n"/>
      <c r="M1002" s="128" t="n"/>
      <c r="N1002" s="129" t="n"/>
    </row>
    <row r="1003" ht="15" customHeight="1" s="75">
      <c r="A1003" s="124" t="n"/>
      <c r="B1003" s="125" t="n"/>
      <c r="C1003" s="126" t="n"/>
      <c r="D1003" s="127" t="n"/>
      <c r="E1003" s="127" t="n"/>
      <c r="F1003" s="128" t="n"/>
      <c r="G1003" s="128" t="n"/>
      <c r="H1003" s="129" t="n"/>
      <c r="I1003" s="129" t="n"/>
      <c r="J1003" s="128" t="n"/>
      <c r="K1003" s="130" t="n"/>
      <c r="L1003" s="130" t="n"/>
      <c r="M1003" s="128" t="n"/>
      <c r="N1003" s="129" t="n"/>
    </row>
    <row r="1004" ht="15" customHeight="1" s="75">
      <c r="A1004" s="124" t="n"/>
      <c r="B1004" s="124" t="n"/>
      <c r="C1004" s="124" t="n"/>
      <c r="D1004" s="124" t="n"/>
      <c r="E1004" s="124" t="n"/>
    </row>
    <row r="1006" ht="19.5" customHeight="1" s="75">
      <c r="A1006" s="112" t="inlineStr">
        <is>
          <t>Saatlik ücret, mesai ücreti, 270 saat aşımı ve risk tutarı formülle üretilir; sarı hücreler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1006:AN1006"/>
    <mergeCell ref="A3:N3"/>
    <mergeCell ref="A1:AD1"/>
  </mergeCells>
  <conditionalFormatting sqref="I6:I1005">
    <cfRule type="cellIs" rank="0" priority="2" equalAverage="0" operator="greaterThan" aboveAverage="0" dxfId="8" text="" percent="0" bottom="0">
      <formula>0</formula>
    </cfRule>
  </conditionalFormatting>
  <conditionalFormatting sqref="E6:E1005">
    <cfRule type="cellIs" rank="0" priority="3" equalAverage="0" operator="greaterThan" aboveAverage="0" dxfId="9" text="" percent="0" bottom="0">
      <formula>YillikMesaiSinir/12</formula>
    </cfRule>
  </conditionalFormatting>
  <conditionalFormatting sqref="M6:M1005">
    <cfRule type="cellIs" rank="0" priority="4" equalAverage="0" operator="greaterThan" aboveAverage="0" dxfId="8" text="" percent="0" bottom="0">
      <formula>0</formula>
    </cfRule>
  </conditionalFormatting>
  <conditionalFormatting sqref="G6:G1005">
    <cfRule type="cellIs" rank="0" priority="5" equalAverage="0" operator="greaterThan" aboveAverage="0" dxfId="10" text="" percent="0" bottom="0">
      <formula>0</formula>
    </cfRule>
  </conditionalFormatting>
  <conditionalFormatting sqref="C6:C1005">
    <cfRule type="cellIs" rank="0" priority="6" equalAverage="0" operator="lessThan" aboveAverage="0" dxfId="8" text="" percent="0" bottom="0">
      <formula>0</formula>
    </cfRule>
  </conditionalFormatting>
  <conditionalFormatting sqref="D6:D1005">
    <cfRule type="cellIs" rank="0" priority="7" equalAverage="0" operator="greaterThan" aboveAverage="0" dxfId="9" text="" percent="0" bottom="0">
      <formula>HaftalikCalismaSinir</formula>
    </cfRule>
  </conditionalFormatting>
  <conditionalFormatting sqref="L6:L1005">
    <cfRule type="cellIs" rank="0" priority="8" equalAverage="0" operator="greaterThan" aboveAverage="0" dxfId="8" text="" percent="0" bottom="0">
      <formula>KayitFarkiEsik</formula>
    </cfRule>
    <cfRule type="cellIs" rank="0" priority="9" equalAverage="0" operator="lessThanOrEqual" aboveAverage="0" dxfId="10" text="" percent="0" bottom="0">
      <formula>KayitFarkiEsik</formula>
    </cfRule>
  </conditionalFormatting>
  <conditionalFormatting sqref="K6:K1005">
    <cfRule type="cellIs" rank="0" priority="10" equalAverage="0" operator="greaterThan" aboveAverage="0" dxfId="9" text="" percent="0" bottom="0">
      <formula>0.5</formula>
    </cfRule>
  </conditionalFormatting>
  <dataValidations count="4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C6:C1004" showDropDown="0" showInputMessage="1" showErrorMessage="1" allowBlank="1" errorTitle="Geçersiz ücret" error="Ücret 0'dan büyük olmalı." promptTitle="Aylık Brüt Ücret (₺)" prompt="Aylık brüt ücret TL cinsinden." type="decimal" errorStyle="stop" operator="greaterThan">
      <formula1>0</formula1>
      <formula2>0</formula2>
    </dataValidation>
    <dataValidation sqref="D6:D1004" showDropDown="0" showInputMessage="1" showErrorMessage="1" allowBlank="1" errorTitle="Geçersiz değer" error="Saat 0'dan büyük olmalı." promptTitle="Haftalık Çalışma Saati" prompt="Haftalık toplam çalışma saati (genelde 45)." type="decimal" errorStyle="stop" operator="greaterThan">
      <formula1>0</formula1>
      <formula2>0</formula2>
    </dataValidation>
    <dataValidation sqref="E6:E1004" showDropDown="0" showInputMessage="1" showErrorMessage="1" allowBlank="1" errorTitle="Geçersiz değer" error="Saat 0'dan küçük olamaz." promptTitle="Aylık Fazla Mesai Saati" prompt="Aylık fazla mesai saati (45 saat üstü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2" customWidth="1" style="101" min="2" max="2"/>
    <col width="16" customWidth="1" style="101" min="3" max="4"/>
    <col width="12" customWidth="1" style="101" min="5" max="6"/>
  </cols>
  <sheetData>
    <row r="1" ht="25.5" customHeight="1" s="75">
      <c r="A1" s="113" t="inlineStr">
        <is>
          <t>KAYITLAR — FAZLA MESAİ VE İŞÇİ DAVA RİSKİ TESPİT DOSYASI</t>
        </is>
      </c>
    </row>
    <row r="3" ht="15" customHeight="1" s="75">
      <c r="A3" s="114" t="inlineStr">
        <is>
          <t>Fazla Mesai Kayıt Mutabakatı</t>
        </is>
      </c>
    </row>
    <row r="4" ht="15" customHeight="1" s="75">
      <c r="A4" s="115" t="inlineStr">
        <is>
          <t>Dönem bazında bildirilen ile belgelenen mesai saatlerini girin. Fark oranı kayıt eksikliğini ve dava riskini gösterir.</t>
        </is>
      </c>
    </row>
    <row r="5" ht="30" customHeight="1" s="75">
      <c r="A5" s="116" t="inlineStr">
        <is>
          <t>Çalışan Adı</t>
        </is>
      </c>
      <c r="B5" s="116" t="inlineStr">
        <is>
          <t>Dönem</t>
        </is>
      </c>
      <c r="C5" s="116" t="inlineStr">
        <is>
          <t>Bildirilen Mesai Saati</t>
        </is>
      </c>
      <c r="D5" s="116" t="inlineStr">
        <is>
          <t>Belgelenen Mesai Saati</t>
        </is>
      </c>
      <c r="E5" s="116" t="inlineStr">
        <is>
          <t>Fark Saati</t>
        </is>
      </c>
      <c r="F5" s="116" t="inlineStr">
        <is>
          <t>Fark Oranı</t>
        </is>
      </c>
    </row>
    <row r="6" ht="15" customHeight="1" s="75">
      <c r="A6" s="117" t="inlineStr">
        <is>
          <t>Ahmet Yılmaz</t>
        </is>
      </c>
      <c r="B6" s="117" t="inlineStr">
        <is>
          <t>2026.01</t>
        </is>
      </c>
      <c r="C6" s="120" t="n">
        <v>20</v>
      </c>
      <c r="D6" s="120" t="n">
        <v>18</v>
      </c>
      <c r="E6" s="131">
        <f>IF(OR($C6="",$D6=""),"",IFERROR($C6-$D6,0))</f>
        <v/>
      </c>
      <c r="F6" s="123">
        <f>IF(OR($C6="",$D6=""),"",IFERROR(IF($C6=0,0,($C6-$D6)/$C6),0))</f>
        <v/>
      </c>
    </row>
    <row r="7" ht="15" customHeight="1" s="75">
      <c r="A7" s="117" t="inlineStr">
        <is>
          <t>Ayşe Kaya</t>
        </is>
      </c>
      <c r="B7" s="117" t="inlineStr">
        <is>
          <t>2026.01</t>
        </is>
      </c>
      <c r="C7" s="120" t="n">
        <v>35</v>
      </c>
      <c r="D7" s="120" t="n">
        <v>25</v>
      </c>
      <c r="E7" s="131">
        <f>IF(OR($C7="",$D7=""),"",IFERROR($C7-$D7,0))</f>
        <v/>
      </c>
      <c r="F7" s="123">
        <f>IF(OR($C7="",$D7=""),"",IFERROR(IF($C7=0,0,($C7-$D7)/$C7),0))</f>
        <v/>
      </c>
    </row>
    <row r="8" ht="15" customHeight="1" s="75">
      <c r="A8" s="117" t="inlineStr">
        <is>
          <t>Mehmet Demir</t>
        </is>
      </c>
      <c r="B8" s="117" t="inlineStr">
        <is>
          <t>2026.01</t>
        </is>
      </c>
      <c r="C8" s="120" t="n">
        <v>10</v>
      </c>
      <c r="D8" s="120" t="n">
        <v>10</v>
      </c>
      <c r="E8" s="131">
        <f>IF(OR($C8="",$D8=""),"",IFERROR($C8-$D8,0))</f>
        <v/>
      </c>
      <c r="F8" s="123">
        <f>IF(OR($C8="",$D8=""),"",IFERROR(IF($C8=0,0,($C8-$D8)/$C8),0))</f>
        <v/>
      </c>
    </row>
    <row r="9" ht="15" customHeight="1" s="75">
      <c r="A9" s="117" t="inlineStr">
        <is>
          <t>Zeynep Çelik</t>
        </is>
      </c>
      <c r="B9" s="117" t="inlineStr">
        <is>
          <t>2026.01</t>
        </is>
      </c>
      <c r="C9" s="120" t="n">
        <v>40</v>
      </c>
      <c r="D9" s="120" t="n">
        <v>30</v>
      </c>
      <c r="E9" s="131">
        <f>IF(OR($C9="",$D9=""),"",IFERROR($C9-$D9,0))</f>
        <v/>
      </c>
      <c r="F9" s="123">
        <f>IF(OR($C9="",$D9=""),"",IFERROR(IF($C9=0,0,($C9-$D9)/$C9),0))</f>
        <v/>
      </c>
    </row>
    <row r="10" ht="15" customHeight="1" s="75">
      <c r="A10" s="117" t="inlineStr">
        <is>
          <t>Mustafa Aydın</t>
        </is>
      </c>
      <c r="B10" s="117" t="inlineStr">
        <is>
          <t>2026.01</t>
        </is>
      </c>
      <c r="C10" s="120" t="n">
        <v>15</v>
      </c>
      <c r="D10" s="120" t="n">
        <v>15</v>
      </c>
      <c r="E10" s="131">
        <f>IF(OR($C10="",$D10=""),"",IFERROR($C10-$D10,0))</f>
        <v/>
      </c>
      <c r="F10" s="123">
        <f>IF(OR($C10="",$D10=""),"",IFERROR(IF($C10=0,0,($C10-$D10)/$C10),0))</f>
        <v/>
      </c>
    </row>
    <row r="11" ht="15" customHeight="1" s="75">
      <c r="A11" s="117" t="inlineStr">
        <is>
          <t>Elif Şahin</t>
        </is>
      </c>
      <c r="B11" s="117" t="inlineStr">
        <is>
          <t>2026.01</t>
        </is>
      </c>
      <c r="C11" s="120" t="n">
        <v>25</v>
      </c>
      <c r="D11" s="120" t="n">
        <v>20</v>
      </c>
      <c r="E11" s="131">
        <f>IF(OR($C11="",$D11=""),"",IFERROR($C11-$D11,0))</f>
        <v/>
      </c>
      <c r="F11" s="123">
        <f>IF(OR($C11="",$D11=""),"",IFERROR(IF($C11=0,0,($C11-$D11)/$C11),0))</f>
        <v/>
      </c>
    </row>
    <row r="12" ht="15" customHeight="1" s="75">
      <c r="A12" s="117" t="inlineStr">
        <is>
          <t>Hasan Yıldız</t>
        </is>
      </c>
      <c r="B12" s="117" t="inlineStr">
        <is>
          <t>2026.01</t>
        </is>
      </c>
      <c r="C12" s="120" t="n">
        <v>8</v>
      </c>
      <c r="D12" s="120" t="n">
        <v>8</v>
      </c>
      <c r="E12" s="131">
        <f>IF(OR($C12="",$D12=""),"",IFERROR($C12-$D12,0))</f>
        <v/>
      </c>
      <c r="F12" s="123">
        <f>IF(OR($C12="",$D12=""),"",IFERROR(IF($C12=0,0,($C12-$D12)/$C12),0))</f>
        <v/>
      </c>
    </row>
    <row r="13" ht="15" customHeight="1" s="75">
      <c r="A13" s="117" t="inlineStr">
        <is>
          <t>Fatma Arslan</t>
        </is>
      </c>
      <c r="B13" s="117" t="inlineStr">
        <is>
          <t>2026.01</t>
        </is>
      </c>
      <c r="C13" s="120" t="n">
        <v>30</v>
      </c>
      <c r="D13" s="120" t="n">
        <v>22</v>
      </c>
      <c r="E13" s="131">
        <f>IF(OR($C13="",$D13=""),"",IFERROR($C13-$D13,0))</f>
        <v/>
      </c>
      <c r="F13" s="123">
        <f>IF(OR($C13="",$D13=""),"",IFERROR(IF($C13=0,0,($C13-$D13)/$C13),0))</f>
        <v/>
      </c>
    </row>
    <row r="14" ht="15" customHeight="1" s="75">
      <c r="A14" s="117" t="inlineStr">
        <is>
          <t>İbrahim Korkmaz</t>
        </is>
      </c>
      <c r="B14" s="117" t="inlineStr">
        <is>
          <t>2026.01</t>
        </is>
      </c>
      <c r="C14" s="120" t="n">
        <v>22</v>
      </c>
      <c r="D14" s="120" t="n">
        <v>16</v>
      </c>
      <c r="E14" s="131">
        <f>IF(OR($C14="",$D14=""),"",IFERROR($C14-$D14,0))</f>
        <v/>
      </c>
      <c r="F14" s="123">
        <f>IF(OR($C14="",$D14=""),"",IFERROR(IF($C14=0,0,($C14-$D14)/$C14),0))</f>
        <v/>
      </c>
    </row>
    <row r="15" ht="15" customHeight="1" s="75">
      <c r="A15" s="117" t="inlineStr">
        <is>
          <t>Merve Çetin</t>
        </is>
      </c>
      <c r="B15" s="117" t="inlineStr">
        <is>
          <t>2026.01</t>
        </is>
      </c>
      <c r="C15" s="120" t="n">
        <v>5</v>
      </c>
      <c r="D15" s="120" t="n">
        <v>5</v>
      </c>
      <c r="E15" s="131">
        <f>IF(OR($C15="",$D15=""),"",IFERROR($C15-$D15,0))</f>
        <v/>
      </c>
      <c r="F15" s="123">
        <f>IF(OR($C15="",$D15=""),"",IFERROR(IF($C15=0,0,($C15-$D15)/$C15),0))</f>
        <v/>
      </c>
    </row>
    <row r="16" ht="15" customHeight="1" s="75">
      <c r="A16" s="117" t="inlineStr">
        <is>
          <t>Ali Doğan</t>
        </is>
      </c>
      <c r="B16" s="117" t="inlineStr">
        <is>
          <t>2026.01</t>
        </is>
      </c>
      <c r="C16" s="120" t="n">
        <v>38</v>
      </c>
      <c r="D16" s="120" t="n">
        <v>28</v>
      </c>
      <c r="E16" s="131">
        <f>IF(OR($C16="",$D16=""),"",IFERROR($C16-$D16,0))</f>
        <v/>
      </c>
      <c r="F16" s="123">
        <f>IF(OR($C16="",$D16=""),"",IFERROR(IF($C16=0,0,($C16-$D16)/$C16),0))</f>
        <v/>
      </c>
    </row>
    <row r="17" ht="15" customHeight="1" s="75">
      <c r="A17" s="117" t="inlineStr">
        <is>
          <t>Gülşah Öztürk</t>
        </is>
      </c>
      <c r="B17" s="117" t="inlineStr">
        <is>
          <t>2026.01</t>
        </is>
      </c>
      <c r="C17" s="120" t="n">
        <v>18</v>
      </c>
      <c r="D17" s="120" t="n">
        <v>14</v>
      </c>
      <c r="E17" s="131">
        <f>IF(OR($C17="",$D17=""),"",IFERROR($C17-$D17,0))</f>
        <v/>
      </c>
      <c r="F17" s="123">
        <f>IF(OR($C17="",$D17=""),"",IFERROR(IF($C17=0,0,($C17-$D17)/$C17),0))</f>
        <v/>
      </c>
    </row>
    <row r="18" ht="15" customHeight="1" s="75">
      <c r="A18" s="117" t="inlineStr">
        <is>
          <t>Kemal Yavuz</t>
        </is>
      </c>
      <c r="B18" s="117" t="inlineStr">
        <is>
          <t>2026.01</t>
        </is>
      </c>
      <c r="C18" s="120" t="n">
        <v>42</v>
      </c>
      <c r="D18" s="120" t="n">
        <v>30</v>
      </c>
      <c r="E18" s="131">
        <f>IF(OR($C18="",$D18=""),"",IFERROR($C18-$D18,0))</f>
        <v/>
      </c>
      <c r="F18" s="123">
        <f>IF(OR($C18="",$D18=""),"",IFERROR(IF($C18=0,0,($C18-$D18)/$C18),0))</f>
        <v/>
      </c>
    </row>
    <row r="19" ht="15" customHeight="1" s="75">
      <c r="A19" s="117" t="inlineStr">
        <is>
          <t>Selma Erdoğan</t>
        </is>
      </c>
      <c r="B19" s="117" t="inlineStr">
        <is>
          <t>2026.01</t>
        </is>
      </c>
      <c r="C19" s="120" t="n">
        <v>3</v>
      </c>
      <c r="D19" s="120" t="n">
        <v>3</v>
      </c>
      <c r="E19" s="131">
        <f>IF(OR($C19="",$D19=""),"",IFERROR($C19-$D19,0))</f>
        <v/>
      </c>
      <c r="F19" s="123">
        <f>IF(OR($C19="",$D19=""),"",IFERROR(IF($C19=0,0,($C19-$D19)/$C19),0))</f>
        <v/>
      </c>
    </row>
    <row r="20" ht="15" customHeight="1" s="75">
      <c r="A20" s="124" t="n"/>
      <c r="B20" s="124" t="n"/>
      <c r="C20" s="127" t="n"/>
      <c r="D20" s="127" t="n"/>
      <c r="E20" s="132" t="n"/>
      <c r="F20" s="130" t="n"/>
    </row>
    <row r="21" ht="15" customHeight="1" s="75">
      <c r="A21" s="124" t="n"/>
      <c r="B21" s="124" t="n"/>
      <c r="C21" s="127" t="n"/>
      <c r="D21" s="127" t="n"/>
      <c r="E21" s="132" t="n"/>
      <c r="F21" s="130" t="n"/>
    </row>
    <row r="22" ht="15" customHeight="1" s="75">
      <c r="A22" s="124" t="n"/>
      <c r="B22" s="124" t="n"/>
      <c r="C22" s="127" t="n"/>
      <c r="D22" s="127" t="n"/>
      <c r="E22" s="132" t="n"/>
      <c r="F22" s="130" t="n"/>
    </row>
    <row r="23" ht="15" customHeight="1" s="75">
      <c r="A23" s="124" t="n"/>
      <c r="B23" s="124" t="n"/>
      <c r="C23" s="127" t="n"/>
      <c r="D23" s="127" t="n"/>
      <c r="E23" s="132" t="n"/>
      <c r="F23" s="130" t="n"/>
    </row>
    <row r="24" ht="15" customHeight="1" s="75">
      <c r="A24" s="124" t="n"/>
      <c r="B24" s="124" t="n"/>
      <c r="C24" s="127" t="n"/>
      <c r="D24" s="127" t="n"/>
      <c r="E24" s="132" t="n"/>
      <c r="F24" s="130" t="n"/>
    </row>
    <row r="25" ht="15" customHeight="1" s="75">
      <c r="A25" s="124" t="n"/>
      <c r="B25" s="124" t="n"/>
      <c r="C25" s="127" t="n"/>
      <c r="D25" s="127" t="n"/>
      <c r="E25" s="132" t="n"/>
      <c r="F25" s="130" t="n"/>
    </row>
    <row r="26" ht="15" customHeight="1" s="75">
      <c r="A26" s="124" t="n"/>
      <c r="B26" s="124" t="n"/>
      <c r="C26" s="127" t="n"/>
      <c r="D26" s="127" t="n"/>
      <c r="E26" s="132" t="n"/>
      <c r="F26" s="130" t="n"/>
    </row>
    <row r="27" ht="15" customHeight="1" s="75">
      <c r="A27" s="124" t="n"/>
      <c r="B27" s="124" t="n"/>
      <c r="C27" s="127" t="n"/>
      <c r="D27" s="127" t="n"/>
      <c r="E27" s="132" t="n"/>
      <c r="F27" s="130" t="n"/>
    </row>
    <row r="28" ht="15" customHeight="1" s="75">
      <c r="A28" s="124" t="n"/>
      <c r="B28" s="124" t="n"/>
      <c r="C28" s="127" t="n"/>
      <c r="D28" s="127" t="n"/>
      <c r="E28" s="132" t="n"/>
      <c r="F28" s="130" t="n"/>
    </row>
    <row r="29" ht="15" customHeight="1" s="75">
      <c r="A29" s="124" t="n"/>
      <c r="B29" s="124" t="n"/>
      <c r="C29" s="127" t="n"/>
      <c r="D29" s="127" t="n"/>
      <c r="E29" s="132" t="n"/>
      <c r="F29" s="130" t="n"/>
    </row>
    <row r="30" ht="15" customHeight="1" s="75">
      <c r="A30" s="124" t="n"/>
      <c r="B30" s="124" t="n"/>
      <c r="C30" s="127" t="n"/>
      <c r="D30" s="127" t="n"/>
      <c r="E30" s="132" t="n"/>
      <c r="F30" s="130" t="n"/>
    </row>
    <row r="31" ht="15" customHeight="1" s="75">
      <c r="A31" s="124" t="n"/>
      <c r="B31" s="124" t="n"/>
      <c r="C31" s="127" t="n"/>
      <c r="D31" s="127" t="n"/>
      <c r="E31" s="132" t="n"/>
      <c r="F31" s="130" t="n"/>
    </row>
    <row r="32" ht="15" customHeight="1" s="75">
      <c r="A32" s="124" t="n"/>
      <c r="B32" s="124" t="n"/>
      <c r="C32" s="127" t="n"/>
      <c r="D32" s="127" t="n"/>
      <c r="E32" s="132" t="n"/>
      <c r="F32" s="130" t="n"/>
    </row>
    <row r="33" ht="15" customHeight="1" s="75">
      <c r="A33" s="124" t="n"/>
      <c r="B33" s="124" t="n"/>
      <c r="C33" s="127" t="n"/>
      <c r="D33" s="127" t="n"/>
      <c r="E33" s="132" t="n"/>
      <c r="F33" s="130" t="n"/>
    </row>
    <row r="34" ht="15" customHeight="1" s="75">
      <c r="A34" s="124" t="n"/>
      <c r="B34" s="124" t="n"/>
      <c r="C34" s="127" t="n"/>
      <c r="D34" s="127" t="n"/>
      <c r="E34" s="132" t="n"/>
      <c r="F34" s="130" t="n"/>
    </row>
    <row r="35" ht="15" customHeight="1" s="75">
      <c r="A35" s="124" t="n"/>
      <c r="B35" s="124" t="n"/>
      <c r="C35" s="127" t="n"/>
      <c r="D35" s="127" t="n"/>
      <c r="E35" s="132" t="n"/>
      <c r="F35" s="130" t="n"/>
    </row>
    <row r="36" ht="15" customHeight="1" s="75">
      <c r="A36" s="124" t="n"/>
      <c r="B36" s="124" t="n"/>
      <c r="C36" s="127" t="n"/>
      <c r="D36" s="127" t="n"/>
      <c r="E36" s="132" t="n"/>
      <c r="F36" s="130" t="n"/>
    </row>
    <row r="37" ht="15" customHeight="1" s="75">
      <c r="A37" s="124" t="n"/>
      <c r="B37" s="124" t="n"/>
      <c r="C37" s="127" t="n"/>
      <c r="D37" s="127" t="n"/>
      <c r="E37" s="132" t="n"/>
      <c r="F37" s="130" t="n"/>
    </row>
    <row r="38" ht="15" customHeight="1" s="75">
      <c r="A38" s="124" t="n"/>
      <c r="B38" s="124" t="n"/>
      <c r="C38" s="127" t="n"/>
      <c r="D38" s="127" t="n"/>
      <c r="E38" s="132" t="n"/>
      <c r="F38" s="130" t="n"/>
    </row>
    <row r="39" ht="15" customHeight="1" s="75">
      <c r="A39" s="124" t="n"/>
      <c r="B39" s="124" t="n"/>
      <c r="C39" s="127" t="n"/>
      <c r="D39" s="127" t="n"/>
      <c r="E39" s="132" t="n"/>
      <c r="F39" s="130" t="n"/>
    </row>
    <row r="40" ht="15" customHeight="1" s="75">
      <c r="A40" s="124" t="n"/>
      <c r="B40" s="124" t="n"/>
      <c r="C40" s="127" t="n"/>
      <c r="D40" s="127" t="n"/>
      <c r="E40" s="132" t="n"/>
      <c r="F40" s="130" t="n"/>
    </row>
    <row r="41" ht="15" customHeight="1" s="75">
      <c r="A41" s="124" t="n"/>
      <c r="B41" s="124" t="n"/>
      <c r="C41" s="127" t="n"/>
      <c r="D41" s="127" t="n"/>
      <c r="E41" s="132" t="n"/>
      <c r="F41" s="130" t="n"/>
    </row>
    <row r="42" ht="15" customHeight="1" s="75">
      <c r="A42" s="124" t="n"/>
      <c r="B42" s="124" t="n"/>
      <c r="C42" s="127" t="n"/>
      <c r="D42" s="127" t="n"/>
      <c r="E42" s="132" t="n"/>
      <c r="F42" s="130" t="n"/>
    </row>
    <row r="43" ht="15" customHeight="1" s="75">
      <c r="A43" s="124" t="n"/>
      <c r="B43" s="124" t="n"/>
      <c r="C43" s="127" t="n"/>
      <c r="D43" s="127" t="n"/>
      <c r="E43" s="132" t="n"/>
      <c r="F43" s="130" t="n"/>
    </row>
    <row r="44" ht="15" customHeight="1" s="75">
      <c r="A44" s="124" t="n"/>
      <c r="B44" s="124" t="n"/>
      <c r="C44" s="127" t="n"/>
      <c r="D44" s="127" t="n"/>
      <c r="E44" s="132" t="n"/>
      <c r="F44" s="130" t="n"/>
    </row>
    <row r="45" ht="15" customHeight="1" s="75">
      <c r="A45" s="124" t="n"/>
      <c r="B45" s="124" t="n"/>
      <c r="C45" s="127" t="n"/>
      <c r="D45" s="127" t="n"/>
      <c r="E45" s="132" t="n"/>
      <c r="F45" s="130" t="n"/>
    </row>
    <row r="46" ht="15" customHeight="1" s="75">
      <c r="A46" s="124" t="n"/>
      <c r="B46" s="124" t="n"/>
      <c r="C46" s="127" t="n"/>
      <c r="D46" s="127" t="n"/>
      <c r="E46" s="132" t="n"/>
      <c r="F46" s="130" t="n"/>
    </row>
    <row r="47" ht="15" customHeight="1" s="75">
      <c r="A47" s="124" t="n"/>
      <c r="B47" s="124" t="n"/>
      <c r="C47" s="127" t="n"/>
      <c r="D47" s="127" t="n"/>
      <c r="E47" s="132" t="n"/>
      <c r="F47" s="130" t="n"/>
    </row>
    <row r="48" ht="15" customHeight="1" s="75">
      <c r="A48" s="124" t="n"/>
      <c r="B48" s="124" t="n"/>
      <c r="C48" s="127" t="n"/>
      <c r="D48" s="127" t="n"/>
      <c r="E48" s="132" t="n"/>
      <c r="F48" s="130" t="n"/>
    </row>
    <row r="49" ht="15" customHeight="1" s="75">
      <c r="A49" s="124" t="n"/>
      <c r="B49" s="124" t="n"/>
      <c r="C49" s="127" t="n"/>
      <c r="D49" s="127" t="n"/>
      <c r="E49" s="132" t="n"/>
      <c r="F49" s="130" t="n"/>
    </row>
    <row r="50" ht="15" customHeight="1" s="75">
      <c r="A50" s="124" t="n"/>
      <c r="B50" s="124" t="n"/>
      <c r="C50" s="127" t="n"/>
      <c r="D50" s="127" t="n"/>
      <c r="E50" s="132" t="n"/>
      <c r="F50" s="130" t="n"/>
    </row>
    <row r="51" ht="15" customHeight="1" s="75">
      <c r="A51" s="124" t="n"/>
      <c r="B51" s="124" t="n"/>
      <c r="C51" s="127" t="n"/>
      <c r="D51" s="127" t="n"/>
      <c r="E51" s="132" t="n"/>
      <c r="F51" s="130" t="n"/>
    </row>
    <row r="52" ht="15" customHeight="1" s="75">
      <c r="A52" s="124" t="n"/>
      <c r="B52" s="124" t="n"/>
      <c r="C52" s="127" t="n"/>
      <c r="D52" s="127" t="n"/>
      <c r="E52" s="132" t="n"/>
      <c r="F52" s="130" t="n"/>
    </row>
    <row r="53" ht="15" customHeight="1" s="75">
      <c r="A53" s="124" t="n"/>
      <c r="B53" s="124" t="n"/>
      <c r="C53" s="127" t="n"/>
      <c r="D53" s="127" t="n"/>
      <c r="E53" s="132" t="n"/>
      <c r="F53" s="130" t="n"/>
    </row>
    <row r="54" ht="15" customHeight="1" s="75">
      <c r="A54" s="124" t="n"/>
      <c r="B54" s="124" t="n"/>
      <c r="C54" s="127" t="n"/>
      <c r="D54" s="127" t="n"/>
      <c r="E54" s="132" t="n"/>
      <c r="F54" s="130" t="n"/>
    </row>
    <row r="55" ht="15" customHeight="1" s="75">
      <c r="A55" s="124" t="n"/>
      <c r="B55" s="124" t="n"/>
      <c r="C55" s="127" t="n"/>
      <c r="D55" s="127" t="n"/>
      <c r="E55" s="132" t="n"/>
      <c r="F55" s="130" t="n"/>
    </row>
    <row r="56" ht="15" customHeight="1" s="75">
      <c r="A56" s="124" t="n"/>
      <c r="B56" s="124" t="n"/>
      <c r="C56" s="127" t="n"/>
      <c r="D56" s="127" t="n"/>
      <c r="E56" s="132" t="n"/>
      <c r="F56" s="130" t="n"/>
    </row>
    <row r="57" ht="15" customHeight="1" s="75">
      <c r="A57" s="124" t="n"/>
      <c r="B57" s="124" t="n"/>
      <c r="C57" s="127" t="n"/>
      <c r="D57" s="127" t="n"/>
      <c r="E57" s="132" t="n"/>
      <c r="F57" s="130" t="n"/>
    </row>
    <row r="58" ht="15" customHeight="1" s="75">
      <c r="A58" s="124" t="n"/>
      <c r="B58" s="124" t="n"/>
      <c r="C58" s="127" t="n"/>
      <c r="D58" s="127" t="n"/>
      <c r="E58" s="132" t="n"/>
      <c r="F58" s="130" t="n"/>
    </row>
    <row r="59" ht="15" customHeight="1" s="75">
      <c r="A59" s="124" t="n"/>
      <c r="B59" s="124" t="n"/>
      <c r="C59" s="127" t="n"/>
      <c r="D59" s="127" t="n"/>
      <c r="E59" s="132" t="n"/>
      <c r="F59" s="130" t="n"/>
    </row>
    <row r="60" ht="15" customHeight="1" s="75">
      <c r="A60" s="124" t="n"/>
      <c r="B60" s="124" t="n"/>
      <c r="C60" s="127" t="n"/>
      <c r="D60" s="127" t="n"/>
      <c r="E60" s="132" t="n"/>
      <c r="F60" s="130" t="n"/>
    </row>
    <row r="61" ht="15" customHeight="1" s="75">
      <c r="A61" s="124" t="n"/>
      <c r="B61" s="124" t="n"/>
      <c r="C61" s="127" t="n"/>
      <c r="D61" s="127" t="n"/>
      <c r="E61" s="132" t="n"/>
      <c r="F61" s="130" t="n"/>
    </row>
    <row r="62" ht="15" customHeight="1" s="75">
      <c r="A62" s="124" t="n"/>
      <c r="B62" s="124" t="n"/>
      <c r="C62" s="127" t="n"/>
      <c r="D62" s="127" t="n"/>
      <c r="E62" s="132" t="n"/>
      <c r="F62" s="130" t="n"/>
    </row>
    <row r="63" ht="15" customHeight="1" s="75">
      <c r="A63" s="124" t="n"/>
      <c r="B63" s="124" t="n"/>
      <c r="C63" s="127" t="n"/>
      <c r="D63" s="127" t="n"/>
      <c r="E63" s="132" t="n"/>
      <c r="F63" s="130" t="n"/>
    </row>
    <row r="64" ht="15" customHeight="1" s="75">
      <c r="A64" s="124" t="n"/>
      <c r="B64" s="124" t="n"/>
      <c r="C64" s="127" t="n"/>
      <c r="D64" s="127" t="n"/>
      <c r="E64" s="132" t="n"/>
      <c r="F64" s="130" t="n"/>
    </row>
    <row r="65" ht="15" customHeight="1" s="75">
      <c r="A65" s="124" t="n"/>
      <c r="B65" s="124" t="n"/>
      <c r="C65" s="127" t="n"/>
      <c r="D65" s="127" t="n"/>
      <c r="E65" s="132" t="n"/>
      <c r="F65" s="130" t="n"/>
    </row>
    <row r="66" ht="15" customHeight="1" s="75">
      <c r="A66" s="124" t="n"/>
      <c r="B66" s="124" t="n"/>
      <c r="C66" s="127" t="n"/>
      <c r="D66" s="127" t="n"/>
      <c r="E66" s="132" t="n"/>
      <c r="F66" s="130" t="n"/>
    </row>
    <row r="67" ht="15" customHeight="1" s="75">
      <c r="A67" s="124" t="n"/>
      <c r="B67" s="124" t="n"/>
      <c r="C67" s="127" t="n"/>
      <c r="D67" s="127" t="n"/>
      <c r="E67" s="132" t="n"/>
      <c r="F67" s="130" t="n"/>
    </row>
    <row r="68" ht="15" customHeight="1" s="75">
      <c r="A68" s="124" t="n"/>
      <c r="B68" s="124" t="n"/>
      <c r="C68" s="127" t="n"/>
      <c r="D68" s="127" t="n"/>
      <c r="E68" s="132" t="n"/>
      <c r="F68" s="130" t="n"/>
    </row>
    <row r="69" ht="15" customHeight="1" s="75">
      <c r="A69" s="124" t="n"/>
      <c r="B69" s="124" t="n"/>
      <c r="C69" s="127" t="n"/>
      <c r="D69" s="127" t="n"/>
      <c r="E69" s="132" t="n"/>
      <c r="F69" s="130" t="n"/>
    </row>
    <row r="70" ht="15" customHeight="1" s="75">
      <c r="A70" s="124" t="n"/>
      <c r="B70" s="124" t="n"/>
      <c r="C70" s="127" t="n"/>
      <c r="D70" s="127" t="n"/>
      <c r="E70" s="132" t="n"/>
      <c r="F70" s="130" t="n"/>
    </row>
    <row r="71" ht="15" customHeight="1" s="75">
      <c r="A71" s="124" t="n"/>
      <c r="B71" s="124" t="n"/>
      <c r="C71" s="127" t="n"/>
      <c r="D71" s="127" t="n"/>
      <c r="E71" s="132" t="n"/>
      <c r="F71" s="130" t="n"/>
    </row>
    <row r="72" ht="15" customHeight="1" s="75">
      <c r="A72" s="124" t="n"/>
      <c r="B72" s="124" t="n"/>
      <c r="C72" s="127" t="n"/>
      <c r="D72" s="127" t="n"/>
      <c r="E72" s="132" t="n"/>
      <c r="F72" s="130" t="n"/>
    </row>
    <row r="73" ht="15" customHeight="1" s="75">
      <c r="A73" s="124" t="n"/>
      <c r="B73" s="124" t="n"/>
      <c r="C73" s="127" t="n"/>
      <c r="D73" s="127" t="n"/>
      <c r="E73" s="132" t="n"/>
      <c r="F73" s="130" t="n"/>
    </row>
    <row r="74" ht="15" customHeight="1" s="75">
      <c r="A74" s="124" t="n"/>
      <c r="B74" s="124" t="n"/>
      <c r="C74" s="127" t="n"/>
      <c r="D74" s="127" t="n"/>
      <c r="E74" s="132" t="n"/>
      <c r="F74" s="130" t="n"/>
    </row>
    <row r="75" ht="15" customHeight="1" s="75">
      <c r="A75" s="124" t="n"/>
      <c r="B75" s="124" t="n"/>
      <c r="C75" s="127" t="n"/>
      <c r="D75" s="127" t="n"/>
      <c r="E75" s="132" t="n"/>
      <c r="F75" s="130" t="n"/>
    </row>
    <row r="76" ht="15" customHeight="1" s="75">
      <c r="A76" s="124" t="n"/>
      <c r="B76" s="124" t="n"/>
      <c r="C76" s="127" t="n"/>
      <c r="D76" s="127" t="n"/>
      <c r="E76" s="132" t="n"/>
      <c r="F76" s="130" t="n"/>
    </row>
    <row r="77" ht="15" customHeight="1" s="75">
      <c r="A77" s="124" t="n"/>
      <c r="B77" s="124" t="n"/>
      <c r="C77" s="127" t="n"/>
      <c r="D77" s="127" t="n"/>
      <c r="E77" s="132" t="n"/>
      <c r="F77" s="130" t="n"/>
    </row>
    <row r="78" ht="15" customHeight="1" s="75">
      <c r="A78" s="124" t="n"/>
      <c r="B78" s="124" t="n"/>
      <c r="C78" s="127" t="n"/>
      <c r="D78" s="127" t="n"/>
      <c r="E78" s="132" t="n"/>
      <c r="F78" s="130" t="n"/>
    </row>
    <row r="79" ht="15" customHeight="1" s="75">
      <c r="A79" s="124" t="n"/>
      <c r="B79" s="124" t="n"/>
      <c r="C79" s="127" t="n"/>
      <c r="D79" s="127" t="n"/>
      <c r="E79" s="132" t="n"/>
      <c r="F79" s="130" t="n"/>
    </row>
    <row r="80" ht="15" customHeight="1" s="75">
      <c r="A80" s="124" t="n"/>
      <c r="B80" s="124" t="n"/>
      <c r="C80" s="127" t="n"/>
      <c r="D80" s="127" t="n"/>
      <c r="E80" s="132" t="n"/>
      <c r="F80" s="130" t="n"/>
    </row>
    <row r="81" ht="15" customHeight="1" s="75">
      <c r="A81" s="124" t="n"/>
      <c r="B81" s="124" t="n"/>
      <c r="C81" s="127" t="n"/>
      <c r="D81" s="127" t="n"/>
      <c r="E81" s="132" t="n"/>
      <c r="F81" s="130" t="n"/>
    </row>
    <row r="82" ht="15" customHeight="1" s="75">
      <c r="A82" s="124" t="n"/>
      <c r="B82" s="124" t="n"/>
      <c r="C82" s="127" t="n"/>
      <c r="D82" s="127" t="n"/>
      <c r="E82" s="132" t="n"/>
      <c r="F82" s="130" t="n"/>
    </row>
    <row r="83" ht="15" customHeight="1" s="75">
      <c r="A83" s="124" t="n"/>
      <c r="B83" s="124" t="n"/>
      <c r="C83" s="127" t="n"/>
      <c r="D83" s="127" t="n"/>
      <c r="E83" s="132" t="n"/>
      <c r="F83" s="130" t="n"/>
    </row>
    <row r="84" ht="15" customHeight="1" s="75">
      <c r="A84" s="124" t="n"/>
      <c r="B84" s="124" t="n"/>
      <c r="C84" s="127" t="n"/>
      <c r="D84" s="127" t="n"/>
      <c r="E84" s="132" t="n"/>
      <c r="F84" s="130" t="n"/>
    </row>
    <row r="85" ht="15" customHeight="1" s="75">
      <c r="A85" s="124" t="n"/>
      <c r="B85" s="124" t="n"/>
      <c r="C85" s="127" t="n"/>
      <c r="D85" s="127" t="n"/>
      <c r="E85" s="132" t="n"/>
      <c r="F85" s="130" t="n"/>
    </row>
    <row r="86" ht="15" customHeight="1" s="75">
      <c r="A86" s="124" t="n"/>
      <c r="B86" s="124" t="n"/>
      <c r="C86" s="127" t="n"/>
      <c r="D86" s="127" t="n"/>
      <c r="E86" s="132" t="n"/>
      <c r="F86" s="130" t="n"/>
    </row>
    <row r="87" ht="15" customHeight="1" s="75">
      <c r="A87" s="124" t="n"/>
      <c r="B87" s="124" t="n"/>
      <c r="C87" s="127" t="n"/>
      <c r="D87" s="127" t="n"/>
      <c r="E87" s="132" t="n"/>
      <c r="F87" s="130" t="n"/>
    </row>
    <row r="88" ht="15" customHeight="1" s="75">
      <c r="A88" s="124" t="n"/>
      <c r="B88" s="124" t="n"/>
      <c r="C88" s="127" t="n"/>
      <c r="D88" s="127" t="n"/>
      <c r="E88" s="132" t="n"/>
      <c r="F88" s="130" t="n"/>
    </row>
    <row r="89" ht="15" customHeight="1" s="75">
      <c r="A89" s="124" t="n"/>
      <c r="B89" s="124" t="n"/>
      <c r="C89" s="127" t="n"/>
      <c r="D89" s="127" t="n"/>
      <c r="E89" s="132" t="n"/>
      <c r="F89" s="130" t="n"/>
    </row>
    <row r="90" ht="15" customHeight="1" s="75">
      <c r="A90" s="124" t="n"/>
      <c r="B90" s="124" t="n"/>
      <c r="C90" s="127" t="n"/>
      <c r="D90" s="127" t="n"/>
      <c r="E90" s="132" t="n"/>
      <c r="F90" s="130" t="n"/>
    </row>
    <row r="91" ht="15" customHeight="1" s="75">
      <c r="A91" s="124" t="n"/>
      <c r="B91" s="124" t="n"/>
      <c r="C91" s="127" t="n"/>
      <c r="D91" s="127" t="n"/>
      <c r="E91" s="132" t="n"/>
      <c r="F91" s="130" t="n"/>
    </row>
    <row r="92" ht="15" customHeight="1" s="75">
      <c r="A92" s="124" t="n"/>
      <c r="B92" s="124" t="n"/>
      <c r="C92" s="127" t="n"/>
      <c r="D92" s="127" t="n"/>
      <c r="E92" s="132" t="n"/>
      <c r="F92" s="130" t="n"/>
    </row>
    <row r="93" ht="15" customHeight="1" s="75">
      <c r="A93" s="124" t="n"/>
      <c r="B93" s="124" t="n"/>
      <c r="C93" s="127" t="n"/>
      <c r="D93" s="127" t="n"/>
      <c r="E93" s="132" t="n"/>
      <c r="F93" s="130" t="n"/>
    </row>
    <row r="94" ht="15" customHeight="1" s="75">
      <c r="A94" s="124" t="n"/>
      <c r="B94" s="124" t="n"/>
      <c r="C94" s="127" t="n"/>
      <c r="D94" s="127" t="n"/>
      <c r="E94" s="132" t="n"/>
      <c r="F94" s="130" t="n"/>
    </row>
    <row r="95" ht="15" customHeight="1" s="75">
      <c r="A95" s="124" t="n"/>
      <c r="B95" s="124" t="n"/>
      <c r="C95" s="127" t="n"/>
      <c r="D95" s="127" t="n"/>
      <c r="E95" s="132" t="n"/>
      <c r="F95" s="130" t="n"/>
    </row>
    <row r="96" ht="15" customHeight="1" s="75">
      <c r="A96" s="124" t="n"/>
      <c r="B96" s="124" t="n"/>
      <c r="C96" s="127" t="n"/>
      <c r="D96" s="127" t="n"/>
      <c r="E96" s="132" t="n"/>
      <c r="F96" s="130" t="n"/>
    </row>
    <row r="97" ht="15" customHeight="1" s="75">
      <c r="A97" s="124" t="n"/>
      <c r="B97" s="124" t="n"/>
      <c r="C97" s="127" t="n"/>
      <c r="D97" s="127" t="n"/>
      <c r="E97" s="132" t="n"/>
      <c r="F97" s="130" t="n"/>
    </row>
    <row r="98" ht="15" customHeight="1" s="75">
      <c r="A98" s="124" t="n"/>
      <c r="B98" s="124" t="n"/>
      <c r="C98" s="127" t="n"/>
      <c r="D98" s="127" t="n"/>
      <c r="E98" s="132" t="n"/>
      <c r="F98" s="130" t="n"/>
    </row>
    <row r="99" ht="15" customHeight="1" s="75">
      <c r="A99" s="124" t="n"/>
      <c r="B99" s="124" t="n"/>
      <c r="C99" s="127" t="n"/>
      <c r="D99" s="127" t="n"/>
      <c r="E99" s="132" t="n"/>
      <c r="F99" s="130" t="n"/>
    </row>
    <row r="100" ht="15" customHeight="1" s="75">
      <c r="A100" s="124" t="n"/>
      <c r="B100" s="124" t="n"/>
      <c r="C100" s="127" t="n"/>
      <c r="D100" s="127" t="n"/>
      <c r="E100" s="132" t="n"/>
      <c r="F100" s="130" t="n"/>
    </row>
    <row r="101" ht="15" customHeight="1" s="75">
      <c r="A101" s="124" t="n"/>
      <c r="B101" s="124" t="n"/>
      <c r="C101" s="127" t="n"/>
      <c r="D101" s="127" t="n"/>
      <c r="E101" s="132" t="n"/>
      <c r="F101" s="130" t="n"/>
    </row>
    <row r="102" ht="15" customHeight="1" s="75">
      <c r="A102" s="124" t="n"/>
      <c r="B102" s="124" t="n"/>
      <c r="C102" s="127" t="n"/>
      <c r="D102" s="127" t="n"/>
      <c r="E102" s="132" t="n"/>
      <c r="F102" s="130" t="n"/>
    </row>
    <row r="103" ht="15" customHeight="1" s="75">
      <c r="A103" s="124" t="n"/>
      <c r="B103" s="124" t="n"/>
      <c r="C103" s="127" t="n"/>
      <c r="D103" s="127" t="n"/>
      <c r="E103" s="132" t="n"/>
      <c r="F103" s="130" t="n"/>
    </row>
    <row r="104" ht="15" customHeight="1" s="75">
      <c r="A104" s="124" t="n"/>
      <c r="B104" s="124" t="n"/>
      <c r="C104" s="127" t="n"/>
      <c r="D104" s="127" t="n"/>
      <c r="E104" s="132" t="n"/>
      <c r="F104" s="130" t="n"/>
    </row>
    <row r="105" ht="15" customHeight="1" s="75">
      <c r="A105" s="124" t="n"/>
      <c r="B105" s="124" t="n"/>
      <c r="C105" s="127" t="n"/>
      <c r="D105" s="127" t="n"/>
      <c r="E105" s="132" t="n"/>
      <c r="F105" s="130" t="n"/>
    </row>
    <row r="106" ht="15" customHeight="1" s="75">
      <c r="A106" s="124" t="n"/>
      <c r="B106" s="124" t="n"/>
      <c r="C106" s="127" t="n"/>
      <c r="D106" s="127" t="n"/>
      <c r="E106" s="132" t="n"/>
      <c r="F106" s="130" t="n"/>
    </row>
    <row r="107" ht="15" customHeight="1" s="75">
      <c r="A107" s="124" t="n"/>
      <c r="B107" s="124" t="n"/>
      <c r="C107" s="127" t="n"/>
      <c r="D107" s="127" t="n"/>
      <c r="E107" s="132" t="n"/>
      <c r="F107" s="130" t="n"/>
    </row>
    <row r="108" ht="15" customHeight="1" s="75">
      <c r="A108" s="124" t="n"/>
      <c r="B108" s="124" t="n"/>
      <c r="C108" s="127" t="n"/>
      <c r="D108" s="127" t="n"/>
      <c r="E108" s="132" t="n"/>
      <c r="F108" s="130" t="n"/>
    </row>
    <row r="109" ht="15" customHeight="1" s="75">
      <c r="A109" s="124" t="n"/>
      <c r="B109" s="124" t="n"/>
      <c r="C109" s="127" t="n"/>
      <c r="D109" s="127" t="n"/>
      <c r="E109" s="132" t="n"/>
      <c r="F109" s="130" t="n"/>
    </row>
    <row r="110" ht="15" customHeight="1" s="75">
      <c r="A110" s="124" t="n"/>
      <c r="B110" s="124" t="n"/>
      <c r="C110" s="127" t="n"/>
      <c r="D110" s="127" t="n"/>
      <c r="E110" s="132" t="n"/>
      <c r="F110" s="130" t="n"/>
    </row>
    <row r="111" ht="15" customHeight="1" s="75">
      <c r="A111" s="124" t="n"/>
      <c r="B111" s="124" t="n"/>
      <c r="C111" s="127" t="n"/>
      <c r="D111" s="127" t="n"/>
      <c r="E111" s="132" t="n"/>
      <c r="F111" s="130" t="n"/>
    </row>
    <row r="112" ht="15" customHeight="1" s="75">
      <c r="A112" s="124" t="n"/>
      <c r="B112" s="124" t="n"/>
      <c r="C112" s="127" t="n"/>
      <c r="D112" s="127" t="n"/>
      <c r="E112" s="132" t="n"/>
      <c r="F112" s="130" t="n"/>
    </row>
    <row r="113" ht="15" customHeight="1" s="75">
      <c r="A113" s="124" t="n"/>
      <c r="B113" s="124" t="n"/>
      <c r="C113" s="127" t="n"/>
      <c r="D113" s="127" t="n"/>
      <c r="E113" s="132" t="n"/>
      <c r="F113" s="130" t="n"/>
    </row>
    <row r="114" ht="15" customHeight="1" s="75">
      <c r="A114" s="124" t="n"/>
      <c r="B114" s="124" t="n"/>
      <c r="C114" s="127" t="n"/>
      <c r="D114" s="127" t="n"/>
      <c r="E114" s="132" t="n"/>
      <c r="F114" s="130" t="n"/>
    </row>
    <row r="115" ht="15" customHeight="1" s="75">
      <c r="A115" s="124" t="n"/>
      <c r="B115" s="124" t="n"/>
      <c r="C115" s="127" t="n"/>
      <c r="D115" s="127" t="n"/>
      <c r="E115" s="132" t="n"/>
      <c r="F115" s="130" t="n"/>
    </row>
    <row r="116" ht="15" customHeight="1" s="75">
      <c r="A116" s="124" t="n"/>
      <c r="B116" s="124" t="n"/>
      <c r="C116" s="127" t="n"/>
      <c r="D116" s="127" t="n"/>
      <c r="E116" s="132" t="n"/>
      <c r="F116" s="130" t="n"/>
    </row>
    <row r="117" ht="15" customHeight="1" s="75">
      <c r="A117" s="124" t="n"/>
      <c r="B117" s="124" t="n"/>
      <c r="C117" s="127" t="n"/>
      <c r="D117" s="127" t="n"/>
      <c r="E117" s="132" t="n"/>
      <c r="F117" s="130" t="n"/>
    </row>
    <row r="118" ht="15" customHeight="1" s="75">
      <c r="A118" s="124" t="n"/>
      <c r="B118" s="124" t="n"/>
      <c r="C118" s="127" t="n"/>
      <c r="D118" s="127" t="n"/>
      <c r="E118" s="132" t="n"/>
      <c r="F118" s="130" t="n"/>
    </row>
    <row r="119" ht="15" customHeight="1" s="75">
      <c r="A119" s="124" t="n"/>
      <c r="B119" s="124" t="n"/>
      <c r="C119" s="127" t="n"/>
      <c r="D119" s="127" t="n"/>
      <c r="E119" s="132" t="n"/>
      <c r="F119" s="130" t="n"/>
    </row>
    <row r="120" ht="15" customHeight="1" s="75">
      <c r="A120" s="124" t="n"/>
      <c r="B120" s="124" t="n"/>
      <c r="C120" s="127" t="n"/>
      <c r="D120" s="127" t="n"/>
      <c r="E120" s="132" t="n"/>
      <c r="F120" s="130" t="n"/>
    </row>
    <row r="121" ht="15" customHeight="1" s="75">
      <c r="A121" s="124" t="n"/>
      <c r="B121" s="124" t="n"/>
      <c r="C121" s="127" t="n"/>
      <c r="D121" s="127" t="n"/>
      <c r="E121" s="132" t="n"/>
      <c r="F121" s="130" t="n"/>
    </row>
    <row r="122" ht="15" customHeight="1" s="75">
      <c r="A122" s="124" t="n"/>
      <c r="B122" s="124" t="n"/>
      <c r="C122" s="127" t="n"/>
      <c r="D122" s="127" t="n"/>
      <c r="E122" s="132" t="n"/>
      <c r="F122" s="130" t="n"/>
    </row>
    <row r="123" ht="15" customHeight="1" s="75">
      <c r="A123" s="124" t="n"/>
      <c r="B123" s="124" t="n"/>
      <c r="C123" s="127" t="n"/>
      <c r="D123" s="127" t="n"/>
      <c r="E123" s="132" t="n"/>
      <c r="F123" s="130" t="n"/>
    </row>
    <row r="124" ht="15" customHeight="1" s="75">
      <c r="A124" s="124" t="n"/>
      <c r="B124" s="124" t="n"/>
      <c r="C124" s="127" t="n"/>
      <c r="D124" s="127" t="n"/>
      <c r="E124" s="132" t="n"/>
      <c r="F124" s="130" t="n"/>
    </row>
    <row r="125" ht="15" customHeight="1" s="75">
      <c r="A125" s="124" t="n"/>
      <c r="B125" s="124" t="n"/>
      <c r="C125" s="127" t="n"/>
      <c r="D125" s="127" t="n"/>
      <c r="E125" s="132" t="n"/>
      <c r="F125" s="130" t="n"/>
    </row>
    <row r="126" ht="15" customHeight="1" s="75">
      <c r="A126" s="124" t="n"/>
      <c r="B126" s="124" t="n"/>
      <c r="C126" s="127" t="n"/>
      <c r="D126" s="127" t="n"/>
      <c r="E126" s="132" t="n"/>
      <c r="F126" s="130" t="n"/>
    </row>
    <row r="127" ht="15" customHeight="1" s="75">
      <c r="A127" s="124" t="n"/>
      <c r="B127" s="124" t="n"/>
      <c r="C127" s="127" t="n"/>
      <c r="D127" s="127" t="n"/>
      <c r="E127" s="132" t="n"/>
      <c r="F127" s="130" t="n"/>
    </row>
    <row r="128" ht="15" customHeight="1" s="75">
      <c r="A128" s="124" t="n"/>
      <c r="B128" s="124" t="n"/>
      <c r="C128" s="127" t="n"/>
      <c r="D128" s="127" t="n"/>
      <c r="E128" s="132" t="n"/>
      <c r="F128" s="130" t="n"/>
    </row>
    <row r="129" ht="15" customHeight="1" s="75">
      <c r="A129" s="124" t="n"/>
      <c r="B129" s="124" t="n"/>
      <c r="C129" s="127" t="n"/>
      <c r="D129" s="127" t="n"/>
      <c r="E129" s="132" t="n"/>
      <c r="F129" s="130" t="n"/>
    </row>
    <row r="130" ht="15" customHeight="1" s="75">
      <c r="A130" s="124" t="n"/>
      <c r="B130" s="124" t="n"/>
      <c r="C130" s="127" t="n"/>
      <c r="D130" s="127" t="n"/>
      <c r="E130" s="132" t="n"/>
      <c r="F130" s="130" t="n"/>
    </row>
    <row r="131" ht="15" customHeight="1" s="75">
      <c r="A131" s="124" t="n"/>
      <c r="B131" s="124" t="n"/>
      <c r="C131" s="127" t="n"/>
      <c r="D131" s="127" t="n"/>
      <c r="E131" s="132" t="n"/>
      <c r="F131" s="130" t="n"/>
    </row>
    <row r="132" ht="15" customHeight="1" s="75">
      <c r="A132" s="124" t="n"/>
      <c r="B132" s="124" t="n"/>
      <c r="C132" s="127" t="n"/>
      <c r="D132" s="127" t="n"/>
      <c r="E132" s="132" t="n"/>
      <c r="F132" s="130" t="n"/>
    </row>
    <row r="133" ht="15" customHeight="1" s="75">
      <c r="A133" s="124" t="n"/>
      <c r="B133" s="124" t="n"/>
      <c r="C133" s="127" t="n"/>
      <c r="D133" s="127" t="n"/>
      <c r="E133" s="132" t="n"/>
      <c r="F133" s="130" t="n"/>
    </row>
    <row r="134" ht="15" customHeight="1" s="75">
      <c r="A134" s="124" t="n"/>
      <c r="B134" s="124" t="n"/>
      <c r="C134" s="127" t="n"/>
      <c r="D134" s="127" t="n"/>
      <c r="E134" s="132" t="n"/>
      <c r="F134" s="130" t="n"/>
    </row>
    <row r="135" ht="15" customHeight="1" s="75">
      <c r="A135" s="124" t="n"/>
      <c r="B135" s="124" t="n"/>
      <c r="C135" s="127" t="n"/>
      <c r="D135" s="127" t="n"/>
      <c r="E135" s="132" t="n"/>
      <c r="F135" s="130" t="n"/>
    </row>
    <row r="136" ht="15" customHeight="1" s="75">
      <c r="A136" s="124" t="n"/>
      <c r="B136" s="124" t="n"/>
      <c r="C136" s="127" t="n"/>
      <c r="D136" s="127" t="n"/>
      <c r="E136" s="132" t="n"/>
      <c r="F136" s="130" t="n"/>
    </row>
    <row r="137" ht="15" customHeight="1" s="75">
      <c r="A137" s="124" t="n"/>
      <c r="B137" s="124" t="n"/>
      <c r="C137" s="127" t="n"/>
      <c r="D137" s="127" t="n"/>
      <c r="E137" s="132" t="n"/>
      <c r="F137" s="130" t="n"/>
    </row>
    <row r="138" ht="15" customHeight="1" s="75">
      <c r="A138" s="124" t="n"/>
      <c r="B138" s="124" t="n"/>
      <c r="C138" s="127" t="n"/>
      <c r="D138" s="127" t="n"/>
      <c r="E138" s="132" t="n"/>
      <c r="F138" s="130" t="n"/>
    </row>
    <row r="139" ht="15" customHeight="1" s="75">
      <c r="A139" s="124" t="n"/>
      <c r="B139" s="124" t="n"/>
      <c r="C139" s="127" t="n"/>
      <c r="D139" s="127" t="n"/>
      <c r="E139" s="132" t="n"/>
      <c r="F139" s="130" t="n"/>
    </row>
    <row r="140" ht="15" customHeight="1" s="75">
      <c r="A140" s="124" t="n"/>
      <c r="B140" s="124" t="n"/>
      <c r="C140" s="127" t="n"/>
      <c r="D140" s="127" t="n"/>
      <c r="E140" s="132" t="n"/>
      <c r="F140" s="130" t="n"/>
    </row>
    <row r="141" ht="15" customHeight="1" s="75">
      <c r="A141" s="124" t="n"/>
      <c r="B141" s="124" t="n"/>
      <c r="C141" s="127" t="n"/>
      <c r="D141" s="127" t="n"/>
      <c r="E141" s="132" t="n"/>
      <c r="F141" s="130" t="n"/>
    </row>
    <row r="142" ht="15" customHeight="1" s="75">
      <c r="A142" s="124" t="n"/>
      <c r="B142" s="124" t="n"/>
      <c r="C142" s="127" t="n"/>
      <c r="D142" s="127" t="n"/>
      <c r="E142" s="132" t="n"/>
      <c r="F142" s="130" t="n"/>
    </row>
    <row r="143" ht="15" customHeight="1" s="75">
      <c r="A143" s="124" t="n"/>
      <c r="B143" s="124" t="n"/>
      <c r="C143" s="127" t="n"/>
      <c r="D143" s="127" t="n"/>
      <c r="E143" s="132" t="n"/>
      <c r="F143" s="130" t="n"/>
    </row>
    <row r="144" ht="15" customHeight="1" s="75">
      <c r="A144" s="124" t="n"/>
      <c r="B144" s="124" t="n"/>
      <c r="C144" s="127" t="n"/>
      <c r="D144" s="127" t="n"/>
      <c r="E144" s="132" t="n"/>
      <c r="F144" s="130" t="n"/>
    </row>
    <row r="145" ht="15" customHeight="1" s="75">
      <c r="A145" s="124" t="n"/>
      <c r="B145" s="124" t="n"/>
      <c r="C145" s="127" t="n"/>
      <c r="D145" s="127" t="n"/>
      <c r="E145" s="132" t="n"/>
      <c r="F145" s="130" t="n"/>
    </row>
    <row r="146" ht="15" customHeight="1" s="75">
      <c r="A146" s="124" t="n"/>
      <c r="B146" s="124" t="n"/>
      <c r="C146" s="127" t="n"/>
      <c r="D146" s="127" t="n"/>
      <c r="E146" s="132" t="n"/>
      <c r="F146" s="130" t="n"/>
    </row>
    <row r="147" ht="15" customHeight="1" s="75">
      <c r="A147" s="124" t="n"/>
      <c r="B147" s="124" t="n"/>
      <c r="C147" s="127" t="n"/>
      <c r="D147" s="127" t="n"/>
      <c r="E147" s="132" t="n"/>
      <c r="F147" s="130" t="n"/>
    </row>
    <row r="148" ht="15" customHeight="1" s="75">
      <c r="A148" s="124" t="n"/>
      <c r="B148" s="124" t="n"/>
      <c r="C148" s="127" t="n"/>
      <c r="D148" s="127" t="n"/>
      <c r="E148" s="132" t="n"/>
      <c r="F148" s="130" t="n"/>
    </row>
    <row r="149" ht="15" customHeight="1" s="75">
      <c r="A149" s="124" t="n"/>
      <c r="B149" s="124" t="n"/>
      <c r="C149" s="127" t="n"/>
      <c r="D149" s="127" t="n"/>
      <c r="E149" s="132" t="n"/>
      <c r="F149" s="130" t="n"/>
    </row>
    <row r="150" ht="15" customHeight="1" s="75">
      <c r="A150" s="124" t="n"/>
      <c r="B150" s="124" t="n"/>
      <c r="C150" s="127" t="n"/>
      <c r="D150" s="127" t="n"/>
      <c r="E150" s="132" t="n"/>
      <c r="F150" s="130" t="n"/>
    </row>
    <row r="151" ht="15" customHeight="1" s="75">
      <c r="A151" s="124" t="n"/>
      <c r="B151" s="124" t="n"/>
      <c r="C151" s="127" t="n"/>
      <c r="D151" s="127" t="n"/>
      <c r="E151" s="132" t="n"/>
      <c r="F151" s="130" t="n"/>
    </row>
    <row r="152" ht="15" customHeight="1" s="75">
      <c r="A152" s="124" t="n"/>
      <c r="B152" s="124" t="n"/>
      <c r="C152" s="127" t="n"/>
      <c r="D152" s="127" t="n"/>
      <c r="E152" s="132" t="n"/>
      <c r="F152" s="130" t="n"/>
    </row>
    <row r="153" ht="15" customHeight="1" s="75">
      <c r="A153" s="124" t="n"/>
      <c r="B153" s="124" t="n"/>
      <c r="C153" s="127" t="n"/>
      <c r="D153" s="127" t="n"/>
      <c r="E153" s="132" t="n"/>
      <c r="F153" s="130" t="n"/>
    </row>
    <row r="154" ht="15" customHeight="1" s="75">
      <c r="A154" s="124" t="n"/>
      <c r="B154" s="124" t="n"/>
      <c r="C154" s="127" t="n"/>
      <c r="D154" s="127" t="n"/>
      <c r="E154" s="132" t="n"/>
      <c r="F154" s="130" t="n"/>
    </row>
    <row r="155" ht="15" customHeight="1" s="75">
      <c r="A155" s="124" t="n"/>
      <c r="B155" s="124" t="n"/>
      <c r="C155" s="127" t="n"/>
      <c r="D155" s="127" t="n"/>
      <c r="E155" s="132" t="n"/>
      <c r="F155" s="130" t="n"/>
    </row>
    <row r="156" ht="15" customHeight="1" s="75">
      <c r="A156" s="124" t="n"/>
      <c r="B156" s="124" t="n"/>
      <c r="C156" s="127" t="n"/>
      <c r="D156" s="127" t="n"/>
      <c r="E156" s="132" t="n"/>
      <c r="F156" s="130" t="n"/>
    </row>
    <row r="157" ht="15" customHeight="1" s="75">
      <c r="A157" s="124" t="n"/>
      <c r="B157" s="124" t="n"/>
      <c r="C157" s="127" t="n"/>
      <c r="D157" s="127" t="n"/>
      <c r="E157" s="132" t="n"/>
      <c r="F157" s="130" t="n"/>
    </row>
    <row r="158" ht="15" customHeight="1" s="75">
      <c r="A158" s="124" t="n"/>
      <c r="B158" s="124" t="n"/>
      <c r="C158" s="127" t="n"/>
      <c r="D158" s="127" t="n"/>
      <c r="E158" s="132" t="n"/>
      <c r="F158" s="130" t="n"/>
    </row>
    <row r="159" ht="15" customHeight="1" s="75">
      <c r="A159" s="124" t="n"/>
      <c r="B159" s="124" t="n"/>
      <c r="C159" s="127" t="n"/>
      <c r="D159" s="127" t="n"/>
      <c r="E159" s="132" t="n"/>
      <c r="F159" s="130" t="n"/>
    </row>
    <row r="160" ht="15" customHeight="1" s="75">
      <c r="A160" s="124" t="n"/>
      <c r="B160" s="124" t="n"/>
      <c r="C160" s="127" t="n"/>
      <c r="D160" s="127" t="n"/>
      <c r="E160" s="132" t="n"/>
      <c r="F160" s="130" t="n"/>
    </row>
    <row r="161" ht="15" customHeight="1" s="75">
      <c r="A161" s="124" t="n"/>
      <c r="B161" s="124" t="n"/>
      <c r="C161" s="127" t="n"/>
      <c r="D161" s="127" t="n"/>
      <c r="E161" s="132" t="n"/>
      <c r="F161" s="130" t="n"/>
    </row>
    <row r="162" ht="15" customHeight="1" s="75">
      <c r="A162" s="124" t="n"/>
      <c r="B162" s="124" t="n"/>
      <c r="C162" s="127" t="n"/>
      <c r="D162" s="127" t="n"/>
      <c r="E162" s="132" t="n"/>
      <c r="F162" s="130" t="n"/>
    </row>
    <row r="163" ht="15" customHeight="1" s="75">
      <c r="A163" s="124" t="n"/>
      <c r="B163" s="124" t="n"/>
      <c r="C163" s="127" t="n"/>
      <c r="D163" s="127" t="n"/>
      <c r="E163" s="132" t="n"/>
      <c r="F163" s="130" t="n"/>
    </row>
    <row r="164" ht="15" customHeight="1" s="75">
      <c r="A164" s="124" t="n"/>
      <c r="B164" s="124" t="n"/>
      <c r="C164" s="127" t="n"/>
      <c r="D164" s="127" t="n"/>
      <c r="E164" s="132" t="n"/>
      <c r="F164" s="130" t="n"/>
    </row>
    <row r="165" ht="15" customHeight="1" s="75">
      <c r="A165" s="124" t="n"/>
      <c r="B165" s="124" t="n"/>
      <c r="C165" s="127" t="n"/>
      <c r="D165" s="127" t="n"/>
      <c r="E165" s="132" t="n"/>
      <c r="F165" s="130" t="n"/>
    </row>
    <row r="166" ht="15" customHeight="1" s="75">
      <c r="A166" s="124" t="n"/>
      <c r="B166" s="124" t="n"/>
      <c r="C166" s="127" t="n"/>
      <c r="D166" s="127" t="n"/>
      <c r="E166" s="132" t="n"/>
      <c r="F166" s="130" t="n"/>
    </row>
    <row r="167" ht="15" customHeight="1" s="75">
      <c r="A167" s="124" t="n"/>
      <c r="B167" s="124" t="n"/>
      <c r="C167" s="127" t="n"/>
      <c r="D167" s="127" t="n"/>
      <c r="E167" s="132" t="n"/>
      <c r="F167" s="130" t="n"/>
    </row>
    <row r="168" ht="15" customHeight="1" s="75">
      <c r="A168" s="124" t="n"/>
      <c r="B168" s="124" t="n"/>
      <c r="C168" s="127" t="n"/>
      <c r="D168" s="127" t="n"/>
      <c r="E168" s="132" t="n"/>
      <c r="F168" s="130" t="n"/>
    </row>
    <row r="169" ht="15" customHeight="1" s="75">
      <c r="A169" s="124" t="n"/>
      <c r="B169" s="124" t="n"/>
      <c r="C169" s="127" t="n"/>
      <c r="D169" s="127" t="n"/>
      <c r="E169" s="132" t="n"/>
      <c r="F169" s="130" t="n"/>
    </row>
    <row r="170" ht="15" customHeight="1" s="75">
      <c r="A170" s="124" t="n"/>
      <c r="B170" s="124" t="n"/>
      <c r="C170" s="127" t="n"/>
      <c r="D170" s="127" t="n"/>
      <c r="E170" s="132" t="n"/>
      <c r="F170" s="130" t="n"/>
    </row>
    <row r="171" ht="15" customHeight="1" s="75">
      <c r="A171" s="124" t="n"/>
      <c r="B171" s="124" t="n"/>
      <c r="C171" s="127" t="n"/>
      <c r="D171" s="127" t="n"/>
      <c r="E171" s="132" t="n"/>
      <c r="F171" s="130" t="n"/>
    </row>
    <row r="172" ht="15" customHeight="1" s="75">
      <c r="A172" s="124" t="n"/>
      <c r="B172" s="124" t="n"/>
      <c r="C172" s="127" t="n"/>
      <c r="D172" s="127" t="n"/>
      <c r="E172" s="132" t="n"/>
      <c r="F172" s="130" t="n"/>
    </row>
    <row r="173" ht="15" customHeight="1" s="75">
      <c r="A173" s="124" t="n"/>
      <c r="B173" s="124" t="n"/>
      <c r="C173" s="127" t="n"/>
      <c r="D173" s="127" t="n"/>
      <c r="E173" s="132" t="n"/>
      <c r="F173" s="130" t="n"/>
    </row>
    <row r="174" ht="15" customHeight="1" s="75">
      <c r="A174" s="124" t="n"/>
      <c r="B174" s="124" t="n"/>
      <c r="C174" s="127" t="n"/>
      <c r="D174" s="127" t="n"/>
      <c r="E174" s="132" t="n"/>
      <c r="F174" s="130" t="n"/>
    </row>
    <row r="175" ht="15" customHeight="1" s="75">
      <c r="A175" s="124" t="n"/>
      <c r="B175" s="124" t="n"/>
      <c r="C175" s="127" t="n"/>
      <c r="D175" s="127" t="n"/>
      <c r="E175" s="132" t="n"/>
      <c r="F175" s="130" t="n"/>
    </row>
    <row r="176" ht="15" customHeight="1" s="75">
      <c r="A176" s="124" t="n"/>
      <c r="B176" s="124" t="n"/>
      <c r="C176" s="127" t="n"/>
      <c r="D176" s="127" t="n"/>
      <c r="E176" s="132" t="n"/>
      <c r="F176" s="130" t="n"/>
    </row>
    <row r="177" ht="15" customHeight="1" s="75">
      <c r="A177" s="124" t="n"/>
      <c r="B177" s="124" t="n"/>
      <c r="C177" s="127" t="n"/>
      <c r="D177" s="127" t="n"/>
      <c r="E177" s="132" t="n"/>
      <c r="F177" s="130" t="n"/>
    </row>
    <row r="178" ht="15" customHeight="1" s="75">
      <c r="A178" s="124" t="n"/>
      <c r="B178" s="124" t="n"/>
      <c r="C178" s="127" t="n"/>
      <c r="D178" s="127" t="n"/>
      <c r="E178" s="132" t="n"/>
      <c r="F178" s="130" t="n"/>
    </row>
    <row r="179" ht="15" customHeight="1" s="75">
      <c r="A179" s="124" t="n"/>
      <c r="B179" s="124" t="n"/>
      <c r="C179" s="127" t="n"/>
      <c r="D179" s="127" t="n"/>
      <c r="E179" s="132" t="n"/>
      <c r="F179" s="130" t="n"/>
    </row>
    <row r="180" ht="15" customHeight="1" s="75">
      <c r="A180" s="124" t="n"/>
      <c r="B180" s="124" t="n"/>
      <c r="C180" s="127" t="n"/>
      <c r="D180" s="127" t="n"/>
      <c r="E180" s="132" t="n"/>
      <c r="F180" s="130" t="n"/>
    </row>
    <row r="181" ht="15" customHeight="1" s="75">
      <c r="A181" s="124" t="n"/>
      <c r="B181" s="124" t="n"/>
      <c r="C181" s="127" t="n"/>
      <c r="D181" s="127" t="n"/>
      <c r="E181" s="132" t="n"/>
      <c r="F181" s="130" t="n"/>
    </row>
    <row r="182" ht="15" customHeight="1" s="75">
      <c r="A182" s="124" t="n"/>
      <c r="B182" s="124" t="n"/>
      <c r="C182" s="127" t="n"/>
      <c r="D182" s="127" t="n"/>
      <c r="E182" s="132" t="n"/>
      <c r="F182" s="130" t="n"/>
    </row>
    <row r="183" ht="15" customHeight="1" s="75">
      <c r="A183" s="124" t="n"/>
      <c r="B183" s="124" t="n"/>
      <c r="C183" s="127" t="n"/>
      <c r="D183" s="127" t="n"/>
      <c r="E183" s="132" t="n"/>
      <c r="F183" s="130" t="n"/>
    </row>
    <row r="184" ht="15" customHeight="1" s="75">
      <c r="A184" s="124" t="n"/>
      <c r="B184" s="124" t="n"/>
      <c r="C184" s="127" t="n"/>
      <c r="D184" s="127" t="n"/>
      <c r="E184" s="132" t="n"/>
      <c r="F184" s="130" t="n"/>
    </row>
    <row r="185" ht="15" customHeight="1" s="75">
      <c r="A185" s="124" t="n"/>
      <c r="B185" s="124" t="n"/>
      <c r="C185" s="127" t="n"/>
      <c r="D185" s="127" t="n"/>
      <c r="E185" s="132" t="n"/>
      <c r="F185" s="130" t="n"/>
    </row>
    <row r="186" ht="15" customHeight="1" s="75">
      <c r="A186" s="124" t="n"/>
      <c r="B186" s="124" t="n"/>
      <c r="C186" s="127" t="n"/>
      <c r="D186" s="127" t="n"/>
      <c r="E186" s="132" t="n"/>
      <c r="F186" s="130" t="n"/>
    </row>
    <row r="187" ht="15" customHeight="1" s="75">
      <c r="A187" s="124" t="n"/>
      <c r="B187" s="124" t="n"/>
      <c r="C187" s="127" t="n"/>
      <c r="D187" s="127" t="n"/>
      <c r="E187" s="132" t="n"/>
      <c r="F187" s="130" t="n"/>
    </row>
    <row r="188" ht="15" customHeight="1" s="75">
      <c r="A188" s="124" t="n"/>
      <c r="B188" s="124" t="n"/>
      <c r="C188" s="127" t="n"/>
      <c r="D188" s="127" t="n"/>
      <c r="E188" s="132" t="n"/>
      <c r="F188" s="130" t="n"/>
    </row>
    <row r="189" ht="15" customHeight="1" s="75">
      <c r="A189" s="124" t="n"/>
      <c r="B189" s="124" t="n"/>
      <c r="C189" s="127" t="n"/>
      <c r="D189" s="127" t="n"/>
      <c r="E189" s="132" t="n"/>
      <c r="F189" s="130" t="n"/>
    </row>
    <row r="190" ht="15" customHeight="1" s="75">
      <c r="A190" s="124" t="n"/>
      <c r="B190" s="124" t="n"/>
      <c r="C190" s="127" t="n"/>
      <c r="D190" s="127" t="n"/>
      <c r="E190" s="132" t="n"/>
      <c r="F190" s="130" t="n"/>
    </row>
    <row r="191" ht="15" customHeight="1" s="75">
      <c r="A191" s="124" t="n"/>
      <c r="B191" s="124" t="n"/>
      <c r="C191" s="127" t="n"/>
      <c r="D191" s="127" t="n"/>
      <c r="E191" s="132" t="n"/>
      <c r="F191" s="130" t="n"/>
    </row>
    <row r="192" ht="15" customHeight="1" s="75">
      <c r="A192" s="124" t="n"/>
      <c r="B192" s="124" t="n"/>
      <c r="C192" s="127" t="n"/>
      <c r="D192" s="127" t="n"/>
      <c r="E192" s="132" t="n"/>
      <c r="F192" s="130" t="n"/>
    </row>
    <row r="193" ht="15" customHeight="1" s="75">
      <c r="A193" s="124" t="n"/>
      <c r="B193" s="124" t="n"/>
      <c r="C193" s="127" t="n"/>
      <c r="D193" s="127" t="n"/>
      <c r="E193" s="132" t="n"/>
      <c r="F193" s="130" t="n"/>
    </row>
    <row r="194" ht="15" customHeight="1" s="75">
      <c r="A194" s="124" t="n"/>
      <c r="B194" s="124" t="n"/>
      <c r="C194" s="127" t="n"/>
      <c r="D194" s="127" t="n"/>
      <c r="E194" s="132" t="n"/>
      <c r="F194" s="130" t="n"/>
    </row>
    <row r="195" ht="15" customHeight="1" s="75">
      <c r="A195" s="124" t="n"/>
      <c r="B195" s="124" t="n"/>
      <c r="C195" s="127" t="n"/>
      <c r="D195" s="127" t="n"/>
      <c r="E195" s="132" t="n"/>
      <c r="F195" s="130" t="n"/>
    </row>
    <row r="196" ht="15" customHeight="1" s="75">
      <c r="A196" s="124" t="n"/>
      <c r="B196" s="124" t="n"/>
      <c r="C196" s="127" t="n"/>
      <c r="D196" s="127" t="n"/>
      <c r="E196" s="132" t="n"/>
      <c r="F196" s="130" t="n"/>
    </row>
    <row r="197" ht="15" customHeight="1" s="75">
      <c r="A197" s="124" t="n"/>
      <c r="B197" s="124" t="n"/>
      <c r="C197" s="127" t="n"/>
      <c r="D197" s="127" t="n"/>
      <c r="E197" s="132" t="n"/>
      <c r="F197" s="130" t="n"/>
    </row>
    <row r="198" ht="15" customHeight="1" s="75">
      <c r="A198" s="124" t="n"/>
      <c r="B198" s="124" t="n"/>
      <c r="C198" s="127" t="n"/>
      <c r="D198" s="127" t="n"/>
      <c r="E198" s="132" t="n"/>
      <c r="F198" s="130" t="n"/>
    </row>
    <row r="199" ht="15" customHeight="1" s="75">
      <c r="A199" s="124" t="n"/>
      <c r="B199" s="124" t="n"/>
      <c r="C199" s="127" t="n"/>
      <c r="D199" s="127" t="n"/>
      <c r="E199" s="132" t="n"/>
      <c r="F199" s="130" t="n"/>
    </row>
    <row r="200" ht="15" customHeight="1" s="75">
      <c r="A200" s="124" t="n"/>
      <c r="B200" s="124" t="n"/>
      <c r="C200" s="127" t="n"/>
      <c r="D200" s="127" t="n"/>
      <c r="E200" s="132" t="n"/>
      <c r="F200" s="130" t="n"/>
    </row>
    <row r="201" ht="15" customHeight="1" s="75">
      <c r="A201" s="124" t="n"/>
      <c r="B201" s="124" t="n"/>
      <c r="C201" s="127" t="n"/>
      <c r="D201" s="127" t="n"/>
      <c r="E201" s="132" t="n"/>
      <c r="F201" s="130" t="n"/>
    </row>
    <row r="202" ht="15" customHeight="1" s="75">
      <c r="A202" s="124" t="n"/>
      <c r="B202" s="124" t="n"/>
      <c r="C202" s="127" t="n"/>
      <c r="D202" s="127" t="n"/>
      <c r="E202" s="132" t="n"/>
      <c r="F202" s="130" t="n"/>
    </row>
    <row r="203" ht="15" customHeight="1" s="75">
      <c r="A203" s="124" t="n"/>
      <c r="B203" s="124" t="n"/>
      <c r="C203" s="127" t="n"/>
      <c r="D203" s="127" t="n"/>
      <c r="E203" s="132" t="n"/>
      <c r="F203" s="130" t="n"/>
    </row>
    <row r="204" ht="15" customHeight="1" s="75">
      <c r="A204" s="124" t="n"/>
      <c r="B204" s="124" t="n"/>
      <c r="C204" s="127" t="n"/>
      <c r="D204" s="127" t="n"/>
      <c r="E204" s="132" t="n"/>
      <c r="F204" s="130" t="n"/>
    </row>
    <row r="205" ht="15" customHeight="1" s="75">
      <c r="A205" s="124" t="n"/>
      <c r="B205" s="124" t="n"/>
      <c r="C205" s="127" t="n"/>
      <c r="D205" s="127" t="n"/>
      <c r="E205" s="132" t="n"/>
      <c r="F205" s="130" t="n"/>
    </row>
    <row r="206" ht="15" customHeight="1" s="75">
      <c r="A206" s="124" t="n"/>
      <c r="B206" s="124" t="n"/>
      <c r="C206" s="127" t="n"/>
      <c r="D206" s="127" t="n"/>
      <c r="E206" s="132" t="n"/>
      <c r="F206" s="130" t="n"/>
    </row>
    <row r="207" ht="15" customHeight="1" s="75">
      <c r="A207" s="124" t="n"/>
      <c r="B207" s="124" t="n"/>
      <c r="C207" s="127" t="n"/>
      <c r="D207" s="127" t="n"/>
      <c r="E207" s="132" t="n"/>
      <c r="F207" s="130" t="n"/>
    </row>
    <row r="208" ht="15" customHeight="1" s="75">
      <c r="A208" s="124" t="n"/>
      <c r="B208" s="124" t="n"/>
      <c r="C208" s="127" t="n"/>
      <c r="D208" s="127" t="n"/>
      <c r="E208" s="132" t="n"/>
      <c r="F208" s="130" t="n"/>
    </row>
    <row r="209" ht="15" customHeight="1" s="75">
      <c r="A209" s="124" t="n"/>
      <c r="B209" s="124" t="n"/>
      <c r="C209" s="127" t="n"/>
      <c r="D209" s="127" t="n"/>
      <c r="E209" s="132" t="n"/>
      <c r="F209" s="130" t="n"/>
    </row>
    <row r="210" ht="15" customHeight="1" s="75">
      <c r="A210" s="124" t="n"/>
      <c r="B210" s="124" t="n"/>
      <c r="C210" s="127" t="n"/>
      <c r="D210" s="127" t="n"/>
      <c r="E210" s="132" t="n"/>
      <c r="F210" s="130" t="n"/>
    </row>
    <row r="211" ht="15" customHeight="1" s="75">
      <c r="A211" s="124" t="n"/>
      <c r="B211" s="124" t="n"/>
      <c r="C211" s="127" t="n"/>
      <c r="D211" s="127" t="n"/>
      <c r="E211" s="132" t="n"/>
      <c r="F211" s="130" t="n"/>
    </row>
    <row r="212" ht="15" customHeight="1" s="75">
      <c r="A212" s="124" t="n"/>
      <c r="B212" s="124" t="n"/>
      <c r="C212" s="127" t="n"/>
      <c r="D212" s="127" t="n"/>
      <c r="E212" s="132" t="n"/>
      <c r="F212" s="130" t="n"/>
    </row>
    <row r="213" ht="15" customHeight="1" s="75">
      <c r="A213" s="124" t="n"/>
      <c r="B213" s="124" t="n"/>
      <c r="C213" s="127" t="n"/>
      <c r="D213" s="127" t="n"/>
      <c r="E213" s="132" t="n"/>
      <c r="F213" s="130" t="n"/>
    </row>
    <row r="214" ht="15" customHeight="1" s="75">
      <c r="A214" s="124" t="n"/>
      <c r="B214" s="124" t="n"/>
      <c r="C214" s="127" t="n"/>
      <c r="D214" s="127" t="n"/>
      <c r="E214" s="132" t="n"/>
      <c r="F214" s="130" t="n"/>
    </row>
    <row r="215" ht="15" customHeight="1" s="75">
      <c r="A215" s="124" t="n"/>
      <c r="B215" s="124" t="n"/>
      <c r="C215" s="127" t="n"/>
      <c r="D215" s="127" t="n"/>
      <c r="E215" s="132" t="n"/>
      <c r="F215" s="130" t="n"/>
    </row>
    <row r="216" ht="15" customHeight="1" s="75">
      <c r="A216" s="124" t="n"/>
      <c r="B216" s="124" t="n"/>
      <c r="C216" s="127" t="n"/>
      <c r="D216" s="127" t="n"/>
      <c r="E216" s="132" t="n"/>
      <c r="F216" s="130" t="n"/>
    </row>
    <row r="217" ht="15" customHeight="1" s="75">
      <c r="A217" s="124" t="n"/>
      <c r="B217" s="124" t="n"/>
      <c r="C217" s="127" t="n"/>
      <c r="D217" s="127" t="n"/>
      <c r="E217" s="132" t="n"/>
      <c r="F217" s="130" t="n"/>
    </row>
    <row r="218" ht="15" customHeight="1" s="75">
      <c r="A218" s="124" t="n"/>
      <c r="B218" s="124" t="n"/>
      <c r="C218" s="127" t="n"/>
      <c r="D218" s="127" t="n"/>
      <c r="E218" s="132" t="n"/>
      <c r="F218" s="130" t="n"/>
    </row>
    <row r="219" ht="15" customHeight="1" s="75">
      <c r="A219" s="124" t="n"/>
      <c r="B219" s="124" t="n"/>
      <c r="C219" s="127" t="n"/>
      <c r="D219" s="127" t="n"/>
      <c r="E219" s="132" t="n"/>
      <c r="F219" s="130" t="n"/>
    </row>
    <row r="220" ht="15" customHeight="1" s="75">
      <c r="A220" s="124" t="n"/>
      <c r="B220" s="124" t="n"/>
      <c r="C220" s="127" t="n"/>
      <c r="D220" s="127" t="n"/>
      <c r="E220" s="132" t="n"/>
      <c r="F220" s="130" t="n"/>
    </row>
    <row r="221" ht="15" customHeight="1" s="75">
      <c r="A221" s="124" t="n"/>
      <c r="B221" s="124" t="n"/>
      <c r="C221" s="127" t="n"/>
      <c r="D221" s="127" t="n"/>
      <c r="E221" s="132" t="n"/>
      <c r="F221" s="130" t="n"/>
    </row>
    <row r="222" ht="15" customHeight="1" s="75">
      <c r="A222" s="124" t="n"/>
      <c r="B222" s="124" t="n"/>
      <c r="C222" s="127" t="n"/>
      <c r="D222" s="127" t="n"/>
      <c r="E222" s="132" t="n"/>
      <c r="F222" s="130" t="n"/>
    </row>
    <row r="223" ht="15" customHeight="1" s="75">
      <c r="A223" s="124" t="n"/>
      <c r="B223" s="124" t="n"/>
      <c r="C223" s="127" t="n"/>
      <c r="D223" s="127" t="n"/>
      <c r="E223" s="132" t="n"/>
      <c r="F223" s="130" t="n"/>
    </row>
    <row r="224" ht="15" customHeight="1" s="75">
      <c r="A224" s="124" t="n"/>
      <c r="B224" s="124" t="n"/>
      <c r="C224" s="127" t="n"/>
      <c r="D224" s="127" t="n"/>
      <c r="E224" s="132" t="n"/>
      <c r="F224" s="130" t="n"/>
    </row>
    <row r="225" ht="15" customHeight="1" s="75">
      <c r="A225" s="124" t="n"/>
      <c r="B225" s="124" t="n"/>
      <c r="C225" s="127" t="n"/>
      <c r="D225" s="127" t="n"/>
      <c r="E225" s="132" t="n"/>
      <c r="F225" s="130" t="n"/>
    </row>
    <row r="226" ht="15" customHeight="1" s="75">
      <c r="A226" s="124" t="n"/>
      <c r="B226" s="124" t="n"/>
      <c r="C226" s="127" t="n"/>
      <c r="D226" s="127" t="n"/>
      <c r="E226" s="132" t="n"/>
      <c r="F226" s="130" t="n"/>
    </row>
    <row r="227" ht="15" customHeight="1" s="75">
      <c r="A227" s="124" t="n"/>
      <c r="B227" s="124" t="n"/>
      <c r="C227" s="127" t="n"/>
      <c r="D227" s="127" t="n"/>
      <c r="E227" s="132" t="n"/>
      <c r="F227" s="130" t="n"/>
    </row>
    <row r="228" ht="15" customHeight="1" s="75">
      <c r="A228" s="124" t="n"/>
      <c r="B228" s="124" t="n"/>
      <c r="C228" s="127" t="n"/>
      <c r="D228" s="127" t="n"/>
      <c r="E228" s="132" t="n"/>
      <c r="F228" s="130" t="n"/>
    </row>
    <row r="229" ht="15" customHeight="1" s="75">
      <c r="A229" s="124" t="n"/>
      <c r="B229" s="124" t="n"/>
      <c r="C229" s="127" t="n"/>
      <c r="D229" s="127" t="n"/>
      <c r="E229" s="132" t="n"/>
      <c r="F229" s="130" t="n"/>
    </row>
    <row r="230" ht="15" customHeight="1" s="75">
      <c r="A230" s="124" t="n"/>
      <c r="B230" s="124" t="n"/>
      <c r="C230" s="127" t="n"/>
      <c r="D230" s="127" t="n"/>
      <c r="E230" s="132" t="n"/>
      <c r="F230" s="130" t="n"/>
    </row>
    <row r="231" ht="15" customHeight="1" s="75">
      <c r="A231" s="124" t="n"/>
      <c r="B231" s="124" t="n"/>
      <c r="C231" s="127" t="n"/>
      <c r="D231" s="127" t="n"/>
      <c r="E231" s="132" t="n"/>
      <c r="F231" s="130" t="n"/>
    </row>
    <row r="232" ht="15" customHeight="1" s="75">
      <c r="A232" s="124" t="n"/>
      <c r="B232" s="124" t="n"/>
      <c r="C232" s="127" t="n"/>
      <c r="D232" s="127" t="n"/>
      <c r="E232" s="132" t="n"/>
      <c r="F232" s="130" t="n"/>
    </row>
    <row r="233" ht="15" customHeight="1" s="75">
      <c r="A233" s="124" t="n"/>
      <c r="B233" s="124" t="n"/>
      <c r="C233" s="127" t="n"/>
      <c r="D233" s="127" t="n"/>
      <c r="E233" s="132" t="n"/>
      <c r="F233" s="130" t="n"/>
    </row>
    <row r="234" ht="15" customHeight="1" s="75">
      <c r="A234" s="124" t="n"/>
      <c r="B234" s="124" t="n"/>
      <c r="C234" s="127" t="n"/>
      <c r="D234" s="127" t="n"/>
      <c r="E234" s="132" t="n"/>
      <c r="F234" s="130" t="n"/>
    </row>
    <row r="235" ht="15" customHeight="1" s="75">
      <c r="A235" s="124" t="n"/>
      <c r="B235" s="124" t="n"/>
      <c r="C235" s="127" t="n"/>
      <c r="D235" s="127" t="n"/>
      <c r="E235" s="132" t="n"/>
      <c r="F235" s="130" t="n"/>
    </row>
    <row r="236" ht="15" customHeight="1" s="75">
      <c r="A236" s="124" t="n"/>
      <c r="B236" s="124" t="n"/>
      <c r="C236" s="127" t="n"/>
      <c r="D236" s="127" t="n"/>
      <c r="E236" s="132" t="n"/>
      <c r="F236" s="130" t="n"/>
    </row>
    <row r="237" ht="15" customHeight="1" s="75">
      <c r="A237" s="124" t="n"/>
      <c r="B237" s="124" t="n"/>
      <c r="C237" s="127" t="n"/>
      <c r="D237" s="127" t="n"/>
      <c r="E237" s="132" t="n"/>
      <c r="F237" s="130" t="n"/>
    </row>
    <row r="238" ht="15" customHeight="1" s="75">
      <c r="A238" s="124" t="n"/>
      <c r="B238" s="124" t="n"/>
      <c r="C238" s="127" t="n"/>
      <c r="D238" s="127" t="n"/>
      <c r="E238" s="132" t="n"/>
      <c r="F238" s="130" t="n"/>
    </row>
    <row r="239" ht="15" customHeight="1" s="75">
      <c r="A239" s="124" t="n"/>
      <c r="B239" s="124" t="n"/>
      <c r="C239" s="127" t="n"/>
      <c r="D239" s="127" t="n"/>
      <c r="E239" s="132" t="n"/>
      <c r="F239" s="130" t="n"/>
    </row>
    <row r="240" ht="15" customHeight="1" s="75">
      <c r="A240" s="124" t="n"/>
      <c r="B240" s="124" t="n"/>
      <c r="C240" s="127" t="n"/>
      <c r="D240" s="127" t="n"/>
      <c r="E240" s="132" t="n"/>
      <c r="F240" s="130" t="n"/>
    </row>
    <row r="241" ht="15" customHeight="1" s="75">
      <c r="A241" s="124" t="n"/>
      <c r="B241" s="124" t="n"/>
      <c r="C241" s="127" t="n"/>
      <c r="D241" s="127" t="n"/>
      <c r="E241" s="132" t="n"/>
      <c r="F241" s="130" t="n"/>
    </row>
    <row r="242" ht="15" customHeight="1" s="75">
      <c r="A242" s="124" t="n"/>
      <c r="B242" s="124" t="n"/>
      <c r="C242" s="127" t="n"/>
      <c r="D242" s="127" t="n"/>
      <c r="E242" s="132" t="n"/>
      <c r="F242" s="130" t="n"/>
    </row>
    <row r="243" ht="15" customHeight="1" s="75">
      <c r="A243" s="124" t="n"/>
      <c r="B243" s="124" t="n"/>
      <c r="C243" s="127" t="n"/>
      <c r="D243" s="127" t="n"/>
      <c r="E243" s="132" t="n"/>
      <c r="F243" s="130" t="n"/>
    </row>
    <row r="244" ht="15" customHeight="1" s="75">
      <c r="A244" s="124" t="n"/>
      <c r="B244" s="124" t="n"/>
      <c r="C244" s="127" t="n"/>
      <c r="D244" s="127" t="n"/>
      <c r="E244" s="132" t="n"/>
      <c r="F244" s="130" t="n"/>
    </row>
    <row r="245" ht="15" customHeight="1" s="75">
      <c r="A245" s="124" t="n"/>
      <c r="B245" s="124" t="n"/>
      <c r="C245" s="127" t="n"/>
      <c r="D245" s="127" t="n"/>
      <c r="E245" s="132" t="n"/>
      <c r="F245" s="130" t="n"/>
    </row>
    <row r="246" ht="15" customHeight="1" s="75">
      <c r="A246" s="124" t="n"/>
      <c r="B246" s="124" t="n"/>
      <c r="C246" s="127" t="n"/>
      <c r="D246" s="127" t="n"/>
      <c r="E246" s="132" t="n"/>
      <c r="F246" s="130" t="n"/>
    </row>
    <row r="247" ht="15" customHeight="1" s="75">
      <c r="A247" s="124" t="n"/>
      <c r="B247" s="124" t="n"/>
      <c r="C247" s="127" t="n"/>
      <c r="D247" s="127" t="n"/>
      <c r="E247" s="132" t="n"/>
      <c r="F247" s="130" t="n"/>
    </row>
    <row r="248" ht="15" customHeight="1" s="75">
      <c r="A248" s="124" t="n"/>
      <c r="B248" s="124" t="n"/>
      <c r="C248" s="127" t="n"/>
      <c r="D248" s="127" t="n"/>
      <c r="E248" s="132" t="n"/>
      <c r="F248" s="130" t="n"/>
    </row>
    <row r="249" ht="15" customHeight="1" s="75">
      <c r="A249" s="124" t="n"/>
      <c r="B249" s="124" t="n"/>
      <c r="C249" s="127" t="n"/>
      <c r="D249" s="127" t="n"/>
      <c r="E249" s="132" t="n"/>
      <c r="F249" s="130" t="n"/>
    </row>
    <row r="250" ht="15" customHeight="1" s="75">
      <c r="A250" s="124" t="n"/>
      <c r="B250" s="124" t="n"/>
      <c r="C250" s="127" t="n"/>
      <c r="D250" s="127" t="n"/>
      <c r="E250" s="132" t="n"/>
      <c r="F250" s="130" t="n"/>
    </row>
    <row r="251" ht="15" customHeight="1" s="75">
      <c r="A251" s="124" t="n"/>
      <c r="B251" s="124" t="n"/>
      <c r="C251" s="127" t="n"/>
      <c r="D251" s="127" t="n"/>
      <c r="E251" s="132" t="n"/>
      <c r="F251" s="130" t="n"/>
    </row>
    <row r="252" ht="15" customHeight="1" s="75">
      <c r="A252" s="124" t="n"/>
      <c r="B252" s="124" t="n"/>
      <c r="C252" s="127" t="n"/>
      <c r="D252" s="127" t="n"/>
      <c r="E252" s="132" t="n"/>
      <c r="F252" s="130" t="n"/>
    </row>
    <row r="253" ht="15" customHeight="1" s="75">
      <c r="A253" s="124" t="n"/>
      <c r="B253" s="124" t="n"/>
      <c r="C253" s="127" t="n"/>
      <c r="D253" s="127" t="n"/>
      <c r="E253" s="132" t="n"/>
      <c r="F253" s="130" t="n"/>
    </row>
    <row r="254" ht="15" customHeight="1" s="75">
      <c r="A254" s="124" t="n"/>
      <c r="B254" s="124" t="n"/>
      <c r="C254" s="127" t="n"/>
      <c r="D254" s="127" t="n"/>
      <c r="E254" s="132" t="n"/>
      <c r="F254" s="130" t="n"/>
    </row>
    <row r="255" ht="15" customHeight="1" s="75">
      <c r="A255" s="124" t="n"/>
      <c r="B255" s="124" t="n"/>
      <c r="C255" s="127" t="n"/>
      <c r="D255" s="127" t="n"/>
      <c r="E255" s="132" t="n"/>
      <c r="F255" s="130" t="n"/>
    </row>
    <row r="256" ht="15" customHeight="1" s="75">
      <c r="A256" s="124" t="n"/>
      <c r="B256" s="124" t="n"/>
      <c r="C256" s="127" t="n"/>
      <c r="D256" s="127" t="n"/>
      <c r="E256" s="132" t="n"/>
      <c r="F256" s="130" t="n"/>
    </row>
    <row r="257" ht="15" customHeight="1" s="75">
      <c r="A257" s="124" t="n"/>
      <c r="B257" s="124" t="n"/>
      <c r="C257" s="127" t="n"/>
      <c r="D257" s="127" t="n"/>
      <c r="E257" s="132" t="n"/>
      <c r="F257" s="130" t="n"/>
    </row>
    <row r="258" ht="15" customHeight="1" s="75">
      <c r="A258" s="124" t="n"/>
      <c r="B258" s="124" t="n"/>
      <c r="C258" s="127" t="n"/>
      <c r="D258" s="127" t="n"/>
      <c r="E258" s="132" t="n"/>
      <c r="F258" s="130" t="n"/>
    </row>
    <row r="259" ht="15" customHeight="1" s="75">
      <c r="A259" s="124" t="n"/>
      <c r="B259" s="124" t="n"/>
      <c r="C259" s="127" t="n"/>
      <c r="D259" s="127" t="n"/>
      <c r="E259" s="132" t="n"/>
      <c r="F259" s="130" t="n"/>
    </row>
    <row r="260" ht="15" customHeight="1" s="75">
      <c r="A260" s="124" t="n"/>
      <c r="B260" s="124" t="n"/>
      <c r="C260" s="127" t="n"/>
      <c r="D260" s="127" t="n"/>
      <c r="E260" s="132" t="n"/>
      <c r="F260" s="130" t="n"/>
    </row>
    <row r="261" ht="15" customHeight="1" s="75">
      <c r="A261" s="124" t="n"/>
      <c r="B261" s="124" t="n"/>
      <c r="C261" s="127" t="n"/>
      <c r="D261" s="127" t="n"/>
      <c r="E261" s="132" t="n"/>
      <c r="F261" s="130" t="n"/>
    </row>
    <row r="262" ht="15" customHeight="1" s="75">
      <c r="A262" s="124" t="n"/>
      <c r="B262" s="124" t="n"/>
      <c r="C262" s="127" t="n"/>
      <c r="D262" s="127" t="n"/>
      <c r="E262" s="132" t="n"/>
      <c r="F262" s="130" t="n"/>
    </row>
    <row r="263" ht="15" customHeight="1" s="75">
      <c r="A263" s="124" t="n"/>
      <c r="B263" s="124" t="n"/>
      <c r="C263" s="127" t="n"/>
      <c r="D263" s="127" t="n"/>
      <c r="E263" s="132" t="n"/>
      <c r="F263" s="130" t="n"/>
    </row>
    <row r="264" ht="15" customHeight="1" s="75">
      <c r="A264" s="124" t="n"/>
      <c r="B264" s="124" t="n"/>
      <c r="C264" s="127" t="n"/>
      <c r="D264" s="127" t="n"/>
      <c r="E264" s="132" t="n"/>
      <c r="F264" s="130" t="n"/>
    </row>
    <row r="265" ht="15" customHeight="1" s="75">
      <c r="A265" s="124" t="n"/>
      <c r="B265" s="124" t="n"/>
      <c r="C265" s="127" t="n"/>
      <c r="D265" s="127" t="n"/>
      <c r="E265" s="132" t="n"/>
      <c r="F265" s="130" t="n"/>
    </row>
    <row r="266" ht="15" customHeight="1" s="75">
      <c r="A266" s="124" t="n"/>
      <c r="B266" s="124" t="n"/>
      <c r="C266" s="127" t="n"/>
      <c r="D266" s="127" t="n"/>
      <c r="E266" s="132" t="n"/>
      <c r="F266" s="130" t="n"/>
    </row>
    <row r="267" ht="15" customHeight="1" s="75">
      <c r="A267" s="124" t="n"/>
      <c r="B267" s="124" t="n"/>
      <c r="C267" s="127" t="n"/>
      <c r="D267" s="127" t="n"/>
      <c r="E267" s="132" t="n"/>
      <c r="F267" s="130" t="n"/>
    </row>
    <row r="268" ht="15" customHeight="1" s="75">
      <c r="A268" s="124" t="n"/>
      <c r="B268" s="124" t="n"/>
      <c r="C268" s="127" t="n"/>
      <c r="D268" s="127" t="n"/>
      <c r="E268" s="132" t="n"/>
      <c r="F268" s="130" t="n"/>
    </row>
    <row r="269" ht="15" customHeight="1" s="75">
      <c r="A269" s="124" t="n"/>
      <c r="B269" s="124" t="n"/>
      <c r="C269" s="127" t="n"/>
      <c r="D269" s="127" t="n"/>
      <c r="E269" s="132" t="n"/>
      <c r="F269" s="130" t="n"/>
    </row>
    <row r="270" ht="15" customHeight="1" s="75">
      <c r="A270" s="124" t="n"/>
      <c r="B270" s="124" t="n"/>
      <c r="C270" s="127" t="n"/>
      <c r="D270" s="127" t="n"/>
      <c r="E270" s="132" t="n"/>
      <c r="F270" s="130" t="n"/>
    </row>
    <row r="271" ht="15" customHeight="1" s="75">
      <c r="A271" s="124" t="n"/>
      <c r="B271" s="124" t="n"/>
      <c r="C271" s="127" t="n"/>
      <c r="D271" s="127" t="n"/>
      <c r="E271" s="132" t="n"/>
      <c r="F271" s="130" t="n"/>
    </row>
    <row r="272" ht="15" customHeight="1" s="75">
      <c r="A272" s="124" t="n"/>
      <c r="B272" s="124" t="n"/>
      <c r="C272" s="127" t="n"/>
      <c r="D272" s="127" t="n"/>
      <c r="E272" s="132" t="n"/>
      <c r="F272" s="130" t="n"/>
    </row>
    <row r="273" ht="15" customHeight="1" s="75">
      <c r="A273" s="124" t="n"/>
      <c r="B273" s="124" t="n"/>
      <c r="C273" s="127" t="n"/>
      <c r="D273" s="127" t="n"/>
      <c r="E273" s="132" t="n"/>
      <c r="F273" s="130" t="n"/>
    </row>
    <row r="274" ht="15" customHeight="1" s="75">
      <c r="A274" s="124" t="n"/>
      <c r="B274" s="124" t="n"/>
      <c r="C274" s="127" t="n"/>
      <c r="D274" s="127" t="n"/>
      <c r="E274" s="132" t="n"/>
      <c r="F274" s="130" t="n"/>
    </row>
    <row r="275" ht="15" customHeight="1" s="75">
      <c r="A275" s="124" t="n"/>
      <c r="B275" s="124" t="n"/>
      <c r="C275" s="127" t="n"/>
      <c r="D275" s="127" t="n"/>
      <c r="E275" s="132" t="n"/>
      <c r="F275" s="130" t="n"/>
    </row>
    <row r="276" ht="15" customHeight="1" s="75">
      <c r="A276" s="124" t="n"/>
      <c r="B276" s="124" t="n"/>
      <c r="C276" s="127" t="n"/>
      <c r="D276" s="127" t="n"/>
      <c r="E276" s="132" t="n"/>
      <c r="F276" s="130" t="n"/>
    </row>
    <row r="277" ht="15" customHeight="1" s="75">
      <c r="A277" s="124" t="n"/>
      <c r="B277" s="124" t="n"/>
      <c r="C277" s="127" t="n"/>
      <c r="D277" s="127" t="n"/>
      <c r="E277" s="132" t="n"/>
      <c r="F277" s="130" t="n"/>
    </row>
    <row r="278" ht="15" customHeight="1" s="75">
      <c r="A278" s="124" t="n"/>
      <c r="B278" s="124" t="n"/>
      <c r="C278" s="127" t="n"/>
      <c r="D278" s="127" t="n"/>
      <c r="E278" s="132" t="n"/>
      <c r="F278" s="130" t="n"/>
    </row>
    <row r="279" ht="15" customHeight="1" s="75">
      <c r="A279" s="124" t="n"/>
      <c r="B279" s="124" t="n"/>
      <c r="C279" s="127" t="n"/>
      <c r="D279" s="127" t="n"/>
      <c r="E279" s="132" t="n"/>
      <c r="F279" s="130" t="n"/>
    </row>
    <row r="280" ht="15" customHeight="1" s="75">
      <c r="A280" s="124" t="n"/>
      <c r="B280" s="124" t="n"/>
      <c r="C280" s="127" t="n"/>
      <c r="D280" s="127" t="n"/>
      <c r="E280" s="132" t="n"/>
      <c r="F280" s="130" t="n"/>
    </row>
    <row r="281" ht="15" customHeight="1" s="75">
      <c r="A281" s="124" t="n"/>
      <c r="B281" s="124" t="n"/>
      <c r="C281" s="127" t="n"/>
      <c r="D281" s="127" t="n"/>
      <c r="E281" s="132" t="n"/>
      <c r="F281" s="130" t="n"/>
    </row>
    <row r="282" ht="15" customHeight="1" s="75">
      <c r="A282" s="124" t="n"/>
      <c r="B282" s="124" t="n"/>
      <c r="C282" s="127" t="n"/>
      <c r="D282" s="127" t="n"/>
      <c r="E282" s="132" t="n"/>
      <c r="F282" s="130" t="n"/>
    </row>
    <row r="283" ht="15" customHeight="1" s="75">
      <c r="A283" s="124" t="n"/>
      <c r="B283" s="124" t="n"/>
      <c r="C283" s="127" t="n"/>
      <c r="D283" s="127" t="n"/>
      <c r="E283" s="132" t="n"/>
      <c r="F283" s="130" t="n"/>
    </row>
    <row r="284" ht="15" customHeight="1" s="75">
      <c r="A284" s="124" t="n"/>
      <c r="B284" s="124" t="n"/>
      <c r="C284" s="127" t="n"/>
      <c r="D284" s="127" t="n"/>
      <c r="E284" s="132" t="n"/>
      <c r="F284" s="130" t="n"/>
    </row>
    <row r="285" ht="15" customHeight="1" s="75">
      <c r="A285" s="124" t="n"/>
      <c r="B285" s="124" t="n"/>
      <c r="C285" s="127" t="n"/>
      <c r="D285" s="127" t="n"/>
      <c r="E285" s="132" t="n"/>
      <c r="F285" s="130" t="n"/>
    </row>
    <row r="286" ht="15" customHeight="1" s="75">
      <c r="A286" s="124" t="n"/>
      <c r="B286" s="124" t="n"/>
      <c r="C286" s="127" t="n"/>
      <c r="D286" s="127" t="n"/>
      <c r="E286" s="132" t="n"/>
      <c r="F286" s="130" t="n"/>
    </row>
    <row r="287" ht="15" customHeight="1" s="75">
      <c r="A287" s="124" t="n"/>
      <c r="B287" s="124" t="n"/>
      <c r="C287" s="127" t="n"/>
      <c r="D287" s="127" t="n"/>
      <c r="E287" s="132" t="n"/>
      <c r="F287" s="130" t="n"/>
    </row>
    <row r="288" ht="15" customHeight="1" s="75">
      <c r="A288" s="124" t="n"/>
      <c r="B288" s="124" t="n"/>
      <c r="C288" s="127" t="n"/>
      <c r="D288" s="127" t="n"/>
      <c r="E288" s="132" t="n"/>
      <c r="F288" s="130" t="n"/>
    </row>
    <row r="289" ht="15" customHeight="1" s="75">
      <c r="A289" s="124" t="n"/>
      <c r="B289" s="124" t="n"/>
      <c r="C289" s="127" t="n"/>
      <c r="D289" s="127" t="n"/>
      <c r="E289" s="132" t="n"/>
      <c r="F289" s="130" t="n"/>
    </row>
    <row r="290" ht="15" customHeight="1" s="75">
      <c r="A290" s="124" t="n"/>
      <c r="B290" s="124" t="n"/>
      <c r="C290" s="127" t="n"/>
      <c r="D290" s="127" t="n"/>
      <c r="E290" s="132" t="n"/>
      <c r="F290" s="130" t="n"/>
    </row>
    <row r="291" ht="15" customHeight="1" s="75">
      <c r="A291" s="124" t="n"/>
      <c r="B291" s="124" t="n"/>
      <c r="C291" s="127" t="n"/>
      <c r="D291" s="127" t="n"/>
      <c r="E291" s="132" t="n"/>
      <c r="F291" s="130" t="n"/>
    </row>
    <row r="292" ht="15" customHeight="1" s="75">
      <c r="A292" s="124" t="n"/>
      <c r="B292" s="124" t="n"/>
      <c r="C292" s="127" t="n"/>
      <c r="D292" s="127" t="n"/>
      <c r="E292" s="132" t="n"/>
      <c r="F292" s="130" t="n"/>
    </row>
    <row r="293" ht="15" customHeight="1" s="75">
      <c r="A293" s="124" t="n"/>
      <c r="B293" s="124" t="n"/>
      <c r="C293" s="127" t="n"/>
      <c r="D293" s="127" t="n"/>
      <c r="E293" s="132" t="n"/>
      <c r="F293" s="130" t="n"/>
    </row>
    <row r="294" ht="15" customHeight="1" s="75">
      <c r="A294" s="124" t="n"/>
      <c r="B294" s="124" t="n"/>
      <c r="C294" s="127" t="n"/>
      <c r="D294" s="127" t="n"/>
      <c r="E294" s="132" t="n"/>
      <c r="F294" s="130" t="n"/>
    </row>
    <row r="295" ht="15" customHeight="1" s="75">
      <c r="A295" s="124" t="n"/>
      <c r="B295" s="124" t="n"/>
      <c r="C295" s="127" t="n"/>
      <c r="D295" s="127" t="n"/>
      <c r="E295" s="132" t="n"/>
      <c r="F295" s="130" t="n"/>
    </row>
    <row r="296" ht="15" customHeight="1" s="75">
      <c r="A296" s="124" t="n"/>
      <c r="B296" s="124" t="n"/>
      <c r="C296" s="127" t="n"/>
      <c r="D296" s="127" t="n"/>
      <c r="E296" s="132" t="n"/>
      <c r="F296" s="130" t="n"/>
    </row>
    <row r="297" ht="15" customHeight="1" s="75">
      <c r="A297" s="124" t="n"/>
      <c r="B297" s="124" t="n"/>
      <c r="C297" s="127" t="n"/>
      <c r="D297" s="127" t="n"/>
      <c r="E297" s="132" t="n"/>
      <c r="F297" s="130" t="n"/>
    </row>
    <row r="298" ht="15" customHeight="1" s="75">
      <c r="A298" s="124" t="n"/>
      <c r="B298" s="124" t="n"/>
      <c r="C298" s="127" t="n"/>
      <c r="D298" s="127" t="n"/>
      <c r="E298" s="132" t="n"/>
      <c r="F298" s="130" t="n"/>
    </row>
    <row r="299" ht="15" customHeight="1" s="75">
      <c r="A299" s="124" t="n"/>
      <c r="B299" s="124" t="n"/>
      <c r="C299" s="127" t="n"/>
      <c r="D299" s="127" t="n"/>
      <c r="E299" s="132" t="n"/>
      <c r="F299" s="130" t="n"/>
    </row>
    <row r="300" ht="15" customHeight="1" s="75">
      <c r="A300" s="124" t="n"/>
      <c r="B300" s="124" t="n"/>
      <c r="C300" s="127" t="n"/>
      <c r="D300" s="127" t="n"/>
      <c r="E300" s="132" t="n"/>
      <c r="F300" s="130" t="n"/>
    </row>
    <row r="301" ht="15" customHeight="1" s="75">
      <c r="A301" s="124" t="n"/>
      <c r="B301" s="124" t="n"/>
      <c r="C301" s="127" t="n"/>
      <c r="D301" s="127" t="n"/>
      <c r="E301" s="132" t="n"/>
      <c r="F301" s="130" t="n"/>
    </row>
    <row r="302" ht="15" customHeight="1" s="75">
      <c r="A302" s="124" t="n"/>
      <c r="B302" s="124" t="n"/>
      <c r="C302" s="127" t="n"/>
      <c r="D302" s="127" t="n"/>
      <c r="E302" s="132" t="n"/>
      <c r="F302" s="130" t="n"/>
    </row>
    <row r="303" ht="15" customHeight="1" s="75">
      <c r="A303" s="124" t="n"/>
      <c r="B303" s="124" t="n"/>
      <c r="C303" s="127" t="n"/>
      <c r="D303" s="127" t="n"/>
      <c r="E303" s="132" t="n"/>
      <c r="F303" s="130" t="n"/>
    </row>
    <row r="304" ht="15" customHeight="1" s="75">
      <c r="A304" s="124" t="n"/>
      <c r="B304" s="124" t="n"/>
      <c r="C304" s="127" t="n"/>
      <c r="D304" s="127" t="n"/>
      <c r="E304" s="132" t="n"/>
      <c r="F304" s="130" t="n"/>
    </row>
    <row r="305" ht="15" customHeight="1" s="75">
      <c r="A305" s="124" t="n"/>
      <c r="B305" s="124" t="n"/>
      <c r="C305" s="127" t="n"/>
      <c r="D305" s="127" t="n"/>
      <c r="E305" s="132" t="n"/>
      <c r="F305" s="130" t="n"/>
    </row>
    <row r="306" ht="15" customHeight="1" s="75">
      <c r="A306" s="124" t="n"/>
      <c r="B306" s="124" t="n"/>
      <c r="C306" s="127" t="n"/>
      <c r="D306" s="127" t="n"/>
      <c r="E306" s="132" t="n"/>
      <c r="F306" s="130" t="n"/>
    </row>
    <row r="307" ht="15" customHeight="1" s="75">
      <c r="A307" s="124" t="n"/>
      <c r="B307" s="124" t="n"/>
      <c r="C307" s="127" t="n"/>
      <c r="D307" s="127" t="n"/>
      <c r="E307" s="132" t="n"/>
      <c r="F307" s="130" t="n"/>
    </row>
    <row r="308" ht="15" customHeight="1" s="75">
      <c r="A308" s="124" t="n"/>
      <c r="B308" s="124" t="n"/>
      <c r="C308" s="127" t="n"/>
      <c r="D308" s="127" t="n"/>
      <c r="E308" s="132" t="n"/>
      <c r="F308" s="130" t="n"/>
    </row>
    <row r="309" ht="15" customHeight="1" s="75">
      <c r="A309" s="124" t="n"/>
      <c r="B309" s="124" t="n"/>
      <c r="C309" s="127" t="n"/>
      <c r="D309" s="127" t="n"/>
      <c r="E309" s="132" t="n"/>
      <c r="F309" s="130" t="n"/>
    </row>
    <row r="310" ht="15" customHeight="1" s="75">
      <c r="A310" s="124" t="n"/>
      <c r="B310" s="124" t="n"/>
      <c r="C310" s="127" t="n"/>
      <c r="D310" s="127" t="n"/>
      <c r="E310" s="132" t="n"/>
      <c r="F310" s="130" t="n"/>
    </row>
    <row r="311" ht="15" customHeight="1" s="75">
      <c r="A311" s="124" t="n"/>
      <c r="B311" s="124" t="n"/>
      <c r="C311" s="127" t="n"/>
      <c r="D311" s="127" t="n"/>
      <c r="E311" s="132" t="n"/>
      <c r="F311" s="130" t="n"/>
    </row>
    <row r="312" ht="15" customHeight="1" s="75">
      <c r="A312" s="124" t="n"/>
      <c r="B312" s="124" t="n"/>
      <c r="C312" s="127" t="n"/>
      <c r="D312" s="127" t="n"/>
      <c r="E312" s="132" t="n"/>
      <c r="F312" s="130" t="n"/>
    </row>
    <row r="313" ht="15" customHeight="1" s="75">
      <c r="A313" s="124" t="n"/>
      <c r="B313" s="124" t="n"/>
      <c r="C313" s="127" t="n"/>
      <c r="D313" s="127" t="n"/>
      <c r="E313" s="132" t="n"/>
      <c r="F313" s="130" t="n"/>
    </row>
    <row r="314" ht="15" customHeight="1" s="75">
      <c r="A314" s="124" t="n"/>
      <c r="B314" s="124" t="n"/>
      <c r="C314" s="127" t="n"/>
      <c r="D314" s="127" t="n"/>
      <c r="E314" s="132" t="n"/>
      <c r="F314" s="130" t="n"/>
    </row>
    <row r="315" ht="15" customHeight="1" s="75">
      <c r="A315" s="124" t="n"/>
      <c r="B315" s="124" t="n"/>
      <c r="C315" s="127" t="n"/>
      <c r="D315" s="127" t="n"/>
      <c r="E315" s="132" t="n"/>
      <c r="F315" s="130" t="n"/>
    </row>
    <row r="316" ht="15" customHeight="1" s="75">
      <c r="A316" s="124" t="n"/>
      <c r="B316" s="124" t="n"/>
      <c r="C316" s="127" t="n"/>
      <c r="D316" s="127" t="n"/>
      <c r="E316" s="132" t="n"/>
      <c r="F316" s="130" t="n"/>
    </row>
    <row r="317" ht="15" customHeight="1" s="75">
      <c r="A317" s="124" t="n"/>
      <c r="B317" s="124" t="n"/>
      <c r="C317" s="127" t="n"/>
      <c r="D317" s="127" t="n"/>
      <c r="E317" s="132" t="n"/>
      <c r="F317" s="130" t="n"/>
    </row>
    <row r="318" ht="15" customHeight="1" s="75">
      <c r="A318" s="124" t="n"/>
      <c r="B318" s="124" t="n"/>
      <c r="C318" s="127" t="n"/>
      <c r="D318" s="127" t="n"/>
      <c r="E318" s="132" t="n"/>
      <c r="F318" s="130" t="n"/>
    </row>
    <row r="319" ht="15" customHeight="1" s="75">
      <c r="A319" s="124" t="n"/>
      <c r="B319" s="124" t="n"/>
      <c r="C319" s="127" t="n"/>
      <c r="D319" s="127" t="n"/>
      <c r="E319" s="132" t="n"/>
      <c r="F319" s="130" t="n"/>
    </row>
    <row r="320" ht="15" customHeight="1" s="75">
      <c r="A320" s="124" t="n"/>
      <c r="B320" s="124" t="n"/>
      <c r="C320" s="127" t="n"/>
      <c r="D320" s="127" t="n"/>
      <c r="E320" s="132" t="n"/>
      <c r="F320" s="130" t="n"/>
    </row>
    <row r="321" ht="15" customHeight="1" s="75">
      <c r="A321" s="124" t="n"/>
      <c r="B321" s="124" t="n"/>
      <c r="C321" s="127" t="n"/>
      <c r="D321" s="127" t="n"/>
      <c r="E321" s="132" t="n"/>
      <c r="F321" s="130" t="n"/>
    </row>
    <row r="322" ht="15" customHeight="1" s="75">
      <c r="A322" s="124" t="n"/>
      <c r="B322" s="124" t="n"/>
      <c r="C322" s="127" t="n"/>
      <c r="D322" s="127" t="n"/>
      <c r="E322" s="132" t="n"/>
      <c r="F322" s="130" t="n"/>
    </row>
    <row r="323" ht="15" customHeight="1" s="75">
      <c r="A323" s="124" t="n"/>
      <c r="B323" s="124" t="n"/>
      <c r="C323" s="127" t="n"/>
      <c r="D323" s="127" t="n"/>
      <c r="E323" s="132" t="n"/>
      <c r="F323" s="130" t="n"/>
    </row>
    <row r="324" ht="15" customHeight="1" s="75">
      <c r="A324" s="124" t="n"/>
      <c r="B324" s="124" t="n"/>
      <c r="C324" s="127" t="n"/>
      <c r="D324" s="127" t="n"/>
      <c r="E324" s="132" t="n"/>
      <c r="F324" s="130" t="n"/>
    </row>
    <row r="325" ht="15" customHeight="1" s="75">
      <c r="A325" s="124" t="n"/>
      <c r="B325" s="124" t="n"/>
      <c r="C325" s="127" t="n"/>
      <c r="D325" s="127" t="n"/>
      <c r="E325" s="132" t="n"/>
      <c r="F325" s="130" t="n"/>
    </row>
    <row r="326" ht="15" customHeight="1" s="75">
      <c r="A326" s="124" t="n"/>
      <c r="B326" s="124" t="n"/>
      <c r="C326" s="127" t="n"/>
      <c r="D326" s="127" t="n"/>
      <c r="E326" s="132" t="n"/>
      <c r="F326" s="130" t="n"/>
    </row>
    <row r="327" ht="15" customHeight="1" s="75">
      <c r="A327" s="124" t="n"/>
      <c r="B327" s="124" t="n"/>
      <c r="C327" s="127" t="n"/>
      <c r="D327" s="127" t="n"/>
      <c r="E327" s="132" t="n"/>
      <c r="F327" s="130" t="n"/>
    </row>
    <row r="328" ht="15" customHeight="1" s="75">
      <c r="A328" s="124" t="n"/>
      <c r="B328" s="124" t="n"/>
      <c r="C328" s="127" t="n"/>
      <c r="D328" s="127" t="n"/>
      <c r="E328" s="132" t="n"/>
      <c r="F328" s="130" t="n"/>
    </row>
    <row r="329" ht="15" customHeight="1" s="75">
      <c r="A329" s="124" t="n"/>
      <c r="B329" s="124" t="n"/>
      <c r="C329" s="127" t="n"/>
      <c r="D329" s="127" t="n"/>
      <c r="E329" s="132" t="n"/>
      <c r="F329" s="130" t="n"/>
    </row>
    <row r="330" ht="15" customHeight="1" s="75">
      <c r="A330" s="124" t="n"/>
      <c r="B330" s="124" t="n"/>
      <c r="C330" s="127" t="n"/>
      <c r="D330" s="127" t="n"/>
      <c r="E330" s="132" t="n"/>
      <c r="F330" s="130" t="n"/>
    </row>
    <row r="331" ht="15" customHeight="1" s="75">
      <c r="A331" s="124" t="n"/>
      <c r="B331" s="124" t="n"/>
      <c r="C331" s="127" t="n"/>
      <c r="D331" s="127" t="n"/>
      <c r="E331" s="132" t="n"/>
      <c r="F331" s="130" t="n"/>
    </row>
    <row r="332" ht="15" customHeight="1" s="75">
      <c r="A332" s="124" t="n"/>
      <c r="B332" s="124" t="n"/>
      <c r="C332" s="127" t="n"/>
      <c r="D332" s="127" t="n"/>
      <c r="E332" s="132" t="n"/>
      <c r="F332" s="130" t="n"/>
    </row>
    <row r="333" ht="15" customHeight="1" s="75">
      <c r="A333" s="124" t="n"/>
      <c r="B333" s="124" t="n"/>
      <c r="C333" s="127" t="n"/>
      <c r="D333" s="127" t="n"/>
      <c r="E333" s="132" t="n"/>
      <c r="F333" s="130" t="n"/>
    </row>
    <row r="334" ht="15" customHeight="1" s="75">
      <c r="A334" s="124" t="n"/>
      <c r="B334" s="124" t="n"/>
      <c r="C334" s="127" t="n"/>
      <c r="D334" s="127" t="n"/>
      <c r="E334" s="132" t="n"/>
      <c r="F334" s="130" t="n"/>
    </row>
    <row r="335" ht="15" customHeight="1" s="75">
      <c r="A335" s="124" t="n"/>
      <c r="B335" s="124" t="n"/>
      <c r="C335" s="127" t="n"/>
      <c r="D335" s="127" t="n"/>
      <c r="E335" s="132" t="n"/>
      <c r="F335" s="130" t="n"/>
    </row>
    <row r="336" ht="15" customHeight="1" s="75">
      <c r="A336" s="124" t="n"/>
      <c r="B336" s="124" t="n"/>
      <c r="C336" s="127" t="n"/>
      <c r="D336" s="127" t="n"/>
      <c r="E336" s="132" t="n"/>
      <c r="F336" s="130" t="n"/>
    </row>
    <row r="337" ht="15" customHeight="1" s="75">
      <c r="A337" s="124" t="n"/>
      <c r="B337" s="124" t="n"/>
      <c r="C337" s="127" t="n"/>
      <c r="D337" s="127" t="n"/>
      <c r="E337" s="132" t="n"/>
      <c r="F337" s="130" t="n"/>
    </row>
    <row r="338" ht="15" customHeight="1" s="75">
      <c r="A338" s="124" t="n"/>
      <c r="B338" s="124" t="n"/>
      <c r="C338" s="127" t="n"/>
      <c r="D338" s="127" t="n"/>
      <c r="E338" s="132" t="n"/>
      <c r="F338" s="130" t="n"/>
    </row>
    <row r="339" ht="15" customHeight="1" s="75">
      <c r="A339" s="124" t="n"/>
      <c r="B339" s="124" t="n"/>
      <c r="C339" s="127" t="n"/>
      <c r="D339" s="127" t="n"/>
      <c r="E339" s="132" t="n"/>
      <c r="F339" s="130" t="n"/>
    </row>
    <row r="340" ht="15" customHeight="1" s="75">
      <c r="A340" s="124" t="n"/>
      <c r="B340" s="124" t="n"/>
      <c r="C340" s="127" t="n"/>
      <c r="D340" s="127" t="n"/>
      <c r="E340" s="132" t="n"/>
      <c r="F340" s="130" t="n"/>
    </row>
    <row r="341" ht="15" customHeight="1" s="75">
      <c r="A341" s="124" t="n"/>
      <c r="B341" s="124" t="n"/>
      <c r="C341" s="127" t="n"/>
      <c r="D341" s="127" t="n"/>
      <c r="E341" s="132" t="n"/>
      <c r="F341" s="130" t="n"/>
    </row>
    <row r="342" ht="15" customHeight="1" s="75">
      <c r="A342" s="124" t="n"/>
      <c r="B342" s="124" t="n"/>
      <c r="C342" s="127" t="n"/>
      <c r="D342" s="127" t="n"/>
      <c r="E342" s="132" t="n"/>
      <c r="F342" s="130" t="n"/>
    </row>
    <row r="343" ht="15" customHeight="1" s="75">
      <c r="A343" s="124" t="n"/>
      <c r="B343" s="124" t="n"/>
      <c r="C343" s="127" t="n"/>
      <c r="D343" s="127" t="n"/>
      <c r="E343" s="132" t="n"/>
      <c r="F343" s="130" t="n"/>
    </row>
    <row r="344" ht="15" customHeight="1" s="75">
      <c r="A344" s="124" t="n"/>
      <c r="B344" s="124" t="n"/>
      <c r="C344" s="127" t="n"/>
      <c r="D344" s="127" t="n"/>
      <c r="E344" s="132" t="n"/>
      <c r="F344" s="130" t="n"/>
    </row>
    <row r="345" ht="15" customHeight="1" s="75">
      <c r="A345" s="124" t="n"/>
      <c r="B345" s="124" t="n"/>
      <c r="C345" s="127" t="n"/>
      <c r="D345" s="127" t="n"/>
      <c r="E345" s="132" t="n"/>
      <c r="F345" s="130" t="n"/>
    </row>
    <row r="346" ht="15" customHeight="1" s="75">
      <c r="A346" s="124" t="n"/>
      <c r="B346" s="124" t="n"/>
      <c r="C346" s="127" t="n"/>
      <c r="D346" s="127" t="n"/>
      <c r="E346" s="132" t="n"/>
      <c r="F346" s="130" t="n"/>
    </row>
    <row r="347" ht="15" customHeight="1" s="75">
      <c r="A347" s="124" t="n"/>
      <c r="B347" s="124" t="n"/>
      <c r="C347" s="127" t="n"/>
      <c r="D347" s="127" t="n"/>
      <c r="E347" s="132" t="n"/>
      <c r="F347" s="130" t="n"/>
    </row>
    <row r="348" ht="15" customHeight="1" s="75">
      <c r="A348" s="124" t="n"/>
      <c r="B348" s="124" t="n"/>
      <c r="C348" s="127" t="n"/>
      <c r="D348" s="127" t="n"/>
      <c r="E348" s="132" t="n"/>
      <c r="F348" s="130" t="n"/>
    </row>
    <row r="349" ht="15" customHeight="1" s="75">
      <c r="A349" s="124" t="n"/>
      <c r="B349" s="124" t="n"/>
      <c r="C349" s="127" t="n"/>
      <c r="D349" s="127" t="n"/>
      <c r="E349" s="132" t="n"/>
      <c r="F349" s="130" t="n"/>
    </row>
    <row r="350" ht="15" customHeight="1" s="75">
      <c r="A350" s="124" t="n"/>
      <c r="B350" s="124" t="n"/>
      <c r="C350" s="127" t="n"/>
      <c r="D350" s="127" t="n"/>
      <c r="E350" s="132" t="n"/>
      <c r="F350" s="130" t="n"/>
    </row>
    <row r="351" ht="15" customHeight="1" s="75">
      <c r="A351" s="124" t="n"/>
      <c r="B351" s="124" t="n"/>
      <c r="C351" s="127" t="n"/>
      <c r="D351" s="127" t="n"/>
      <c r="E351" s="132" t="n"/>
      <c r="F351" s="130" t="n"/>
    </row>
    <row r="352" ht="15" customHeight="1" s="75">
      <c r="A352" s="124" t="n"/>
      <c r="B352" s="124" t="n"/>
      <c r="C352" s="127" t="n"/>
      <c r="D352" s="127" t="n"/>
      <c r="E352" s="132" t="n"/>
      <c r="F352" s="130" t="n"/>
    </row>
    <row r="353" ht="15" customHeight="1" s="75">
      <c r="A353" s="124" t="n"/>
      <c r="B353" s="124" t="n"/>
      <c r="C353" s="127" t="n"/>
      <c r="D353" s="127" t="n"/>
      <c r="E353" s="132" t="n"/>
      <c r="F353" s="130" t="n"/>
    </row>
    <row r="354" ht="15" customHeight="1" s="75">
      <c r="A354" s="124" t="n"/>
      <c r="B354" s="124" t="n"/>
      <c r="C354" s="127" t="n"/>
      <c r="D354" s="127" t="n"/>
      <c r="E354" s="132" t="n"/>
      <c r="F354" s="130" t="n"/>
    </row>
    <row r="355" ht="15" customHeight="1" s="75">
      <c r="A355" s="124" t="n"/>
      <c r="B355" s="124" t="n"/>
      <c r="C355" s="127" t="n"/>
      <c r="D355" s="127" t="n"/>
      <c r="E355" s="132" t="n"/>
      <c r="F355" s="130" t="n"/>
    </row>
    <row r="356" ht="15" customHeight="1" s="75">
      <c r="A356" s="124" t="n"/>
      <c r="B356" s="124" t="n"/>
      <c r="C356" s="127" t="n"/>
      <c r="D356" s="127" t="n"/>
      <c r="E356" s="132" t="n"/>
      <c r="F356" s="130" t="n"/>
    </row>
    <row r="357" ht="15" customHeight="1" s="75">
      <c r="A357" s="124" t="n"/>
      <c r="B357" s="124" t="n"/>
      <c r="C357" s="127" t="n"/>
      <c r="D357" s="127" t="n"/>
      <c r="E357" s="132" t="n"/>
      <c r="F357" s="130" t="n"/>
    </row>
    <row r="358" ht="15" customHeight="1" s="75">
      <c r="A358" s="124" t="n"/>
      <c r="B358" s="124" t="n"/>
      <c r="C358" s="127" t="n"/>
      <c r="D358" s="127" t="n"/>
      <c r="E358" s="132" t="n"/>
      <c r="F358" s="130" t="n"/>
    </row>
    <row r="359" ht="15" customHeight="1" s="75">
      <c r="A359" s="124" t="n"/>
      <c r="B359" s="124" t="n"/>
      <c r="C359" s="127" t="n"/>
      <c r="D359" s="127" t="n"/>
      <c r="E359" s="132" t="n"/>
      <c r="F359" s="130" t="n"/>
    </row>
    <row r="360" ht="15" customHeight="1" s="75">
      <c r="A360" s="124" t="n"/>
      <c r="B360" s="124" t="n"/>
      <c r="C360" s="127" t="n"/>
      <c r="D360" s="127" t="n"/>
      <c r="E360" s="132" t="n"/>
      <c r="F360" s="130" t="n"/>
    </row>
    <row r="361" ht="15" customHeight="1" s="75">
      <c r="A361" s="124" t="n"/>
      <c r="B361" s="124" t="n"/>
      <c r="C361" s="127" t="n"/>
      <c r="D361" s="127" t="n"/>
      <c r="E361" s="132" t="n"/>
      <c r="F361" s="130" t="n"/>
    </row>
    <row r="362" ht="15" customHeight="1" s="75">
      <c r="A362" s="124" t="n"/>
      <c r="B362" s="124" t="n"/>
      <c r="C362" s="127" t="n"/>
      <c r="D362" s="127" t="n"/>
      <c r="E362" s="132" t="n"/>
      <c r="F362" s="130" t="n"/>
    </row>
    <row r="363" ht="15" customHeight="1" s="75">
      <c r="A363" s="124" t="n"/>
      <c r="B363" s="124" t="n"/>
      <c r="C363" s="127" t="n"/>
      <c r="D363" s="127" t="n"/>
      <c r="E363" s="132" t="n"/>
      <c r="F363" s="130" t="n"/>
    </row>
    <row r="364" ht="15" customHeight="1" s="75">
      <c r="A364" s="124" t="n"/>
      <c r="B364" s="124" t="n"/>
      <c r="C364" s="127" t="n"/>
      <c r="D364" s="127" t="n"/>
      <c r="E364" s="132" t="n"/>
      <c r="F364" s="130" t="n"/>
    </row>
    <row r="365" ht="15" customHeight="1" s="75">
      <c r="A365" s="124" t="n"/>
      <c r="B365" s="124" t="n"/>
      <c r="C365" s="127" t="n"/>
      <c r="D365" s="127" t="n"/>
      <c r="E365" s="132" t="n"/>
      <c r="F365" s="130" t="n"/>
    </row>
    <row r="366" ht="15" customHeight="1" s="75">
      <c r="A366" s="124" t="n"/>
      <c r="B366" s="124" t="n"/>
      <c r="C366" s="127" t="n"/>
      <c r="D366" s="127" t="n"/>
      <c r="E366" s="132" t="n"/>
      <c r="F366" s="130" t="n"/>
    </row>
    <row r="367" ht="15" customHeight="1" s="75">
      <c r="A367" s="124" t="n"/>
      <c r="B367" s="124" t="n"/>
      <c r="C367" s="127" t="n"/>
      <c r="D367" s="127" t="n"/>
      <c r="E367" s="132" t="n"/>
      <c r="F367" s="130" t="n"/>
    </row>
    <row r="368" ht="15" customHeight="1" s="75">
      <c r="A368" s="124" t="n"/>
      <c r="B368" s="124" t="n"/>
      <c r="C368" s="127" t="n"/>
      <c r="D368" s="127" t="n"/>
      <c r="E368" s="132" t="n"/>
      <c r="F368" s="130" t="n"/>
    </row>
    <row r="369" ht="15" customHeight="1" s="75">
      <c r="A369" s="124" t="n"/>
      <c r="B369" s="124" t="n"/>
      <c r="C369" s="127" t="n"/>
      <c r="D369" s="127" t="n"/>
      <c r="E369" s="132" t="n"/>
      <c r="F369" s="130" t="n"/>
    </row>
    <row r="370" ht="15" customHeight="1" s="75">
      <c r="A370" s="124" t="n"/>
      <c r="B370" s="124" t="n"/>
      <c r="C370" s="127" t="n"/>
      <c r="D370" s="127" t="n"/>
      <c r="E370" s="132" t="n"/>
      <c r="F370" s="130" t="n"/>
    </row>
    <row r="371" ht="15" customHeight="1" s="75">
      <c r="A371" s="124" t="n"/>
      <c r="B371" s="124" t="n"/>
      <c r="C371" s="127" t="n"/>
      <c r="D371" s="127" t="n"/>
      <c r="E371" s="132" t="n"/>
      <c r="F371" s="130" t="n"/>
    </row>
    <row r="372" ht="15" customHeight="1" s="75">
      <c r="A372" s="124" t="n"/>
      <c r="B372" s="124" t="n"/>
      <c r="C372" s="127" t="n"/>
      <c r="D372" s="127" t="n"/>
      <c r="E372" s="132" t="n"/>
      <c r="F372" s="130" t="n"/>
    </row>
    <row r="373" ht="15" customHeight="1" s="75">
      <c r="A373" s="124" t="n"/>
      <c r="B373" s="124" t="n"/>
      <c r="C373" s="127" t="n"/>
      <c r="D373" s="127" t="n"/>
      <c r="E373" s="132" t="n"/>
      <c r="F373" s="130" t="n"/>
    </row>
    <row r="374" ht="15" customHeight="1" s="75">
      <c r="A374" s="124" t="n"/>
      <c r="B374" s="124" t="n"/>
      <c r="C374" s="127" t="n"/>
      <c r="D374" s="127" t="n"/>
      <c r="E374" s="132" t="n"/>
      <c r="F374" s="130" t="n"/>
    </row>
    <row r="375" ht="15" customHeight="1" s="75">
      <c r="A375" s="124" t="n"/>
      <c r="B375" s="124" t="n"/>
      <c r="C375" s="127" t="n"/>
      <c r="D375" s="127" t="n"/>
      <c r="E375" s="132" t="n"/>
      <c r="F375" s="130" t="n"/>
    </row>
    <row r="376" ht="15" customHeight="1" s="75">
      <c r="A376" s="124" t="n"/>
      <c r="B376" s="124" t="n"/>
      <c r="C376" s="127" t="n"/>
      <c r="D376" s="127" t="n"/>
      <c r="E376" s="132" t="n"/>
      <c r="F376" s="130" t="n"/>
    </row>
    <row r="377" ht="15" customHeight="1" s="75">
      <c r="A377" s="124" t="n"/>
      <c r="B377" s="124" t="n"/>
      <c r="C377" s="127" t="n"/>
      <c r="D377" s="127" t="n"/>
      <c r="E377" s="132" t="n"/>
      <c r="F377" s="130" t="n"/>
    </row>
    <row r="378" ht="15" customHeight="1" s="75">
      <c r="A378" s="124" t="n"/>
      <c r="B378" s="124" t="n"/>
      <c r="C378" s="127" t="n"/>
      <c r="D378" s="127" t="n"/>
      <c r="E378" s="132" t="n"/>
      <c r="F378" s="130" t="n"/>
    </row>
    <row r="379" ht="15" customHeight="1" s="75">
      <c r="A379" s="124" t="n"/>
      <c r="B379" s="124" t="n"/>
      <c r="C379" s="127" t="n"/>
      <c r="D379" s="127" t="n"/>
      <c r="E379" s="132" t="n"/>
      <c r="F379" s="130" t="n"/>
    </row>
    <row r="380" ht="15" customHeight="1" s="75">
      <c r="A380" s="124" t="n"/>
      <c r="B380" s="124" t="n"/>
      <c r="C380" s="127" t="n"/>
      <c r="D380" s="127" t="n"/>
      <c r="E380" s="132" t="n"/>
      <c r="F380" s="130" t="n"/>
    </row>
    <row r="381" ht="15" customHeight="1" s="75">
      <c r="A381" s="124" t="n"/>
      <c r="B381" s="124" t="n"/>
      <c r="C381" s="127" t="n"/>
      <c r="D381" s="127" t="n"/>
      <c r="E381" s="132" t="n"/>
      <c r="F381" s="130" t="n"/>
    </row>
    <row r="382" ht="15" customHeight="1" s="75">
      <c r="A382" s="124" t="n"/>
      <c r="B382" s="124" t="n"/>
      <c r="C382" s="127" t="n"/>
      <c r="D382" s="127" t="n"/>
      <c r="E382" s="132" t="n"/>
      <c r="F382" s="130" t="n"/>
    </row>
    <row r="383" ht="15" customHeight="1" s="75">
      <c r="A383" s="124" t="n"/>
      <c r="B383" s="124" t="n"/>
      <c r="C383" s="127" t="n"/>
      <c r="D383" s="127" t="n"/>
      <c r="E383" s="132" t="n"/>
      <c r="F383" s="130" t="n"/>
    </row>
    <row r="384" ht="15" customHeight="1" s="75">
      <c r="A384" s="124" t="n"/>
      <c r="B384" s="124" t="n"/>
      <c r="C384" s="127" t="n"/>
      <c r="D384" s="127" t="n"/>
      <c r="E384" s="132" t="n"/>
      <c r="F384" s="130" t="n"/>
    </row>
    <row r="385" ht="15" customHeight="1" s="75">
      <c r="A385" s="124" t="n"/>
      <c r="B385" s="124" t="n"/>
      <c r="C385" s="127" t="n"/>
      <c r="D385" s="127" t="n"/>
      <c r="E385" s="132" t="n"/>
      <c r="F385" s="130" t="n"/>
    </row>
    <row r="386" ht="15" customHeight="1" s="75">
      <c r="A386" s="124" t="n"/>
      <c r="B386" s="124" t="n"/>
      <c r="C386" s="127" t="n"/>
      <c r="D386" s="127" t="n"/>
      <c r="E386" s="132" t="n"/>
      <c r="F386" s="130" t="n"/>
    </row>
    <row r="387" ht="15" customHeight="1" s="75">
      <c r="A387" s="124" t="n"/>
      <c r="B387" s="124" t="n"/>
      <c r="C387" s="127" t="n"/>
      <c r="D387" s="127" t="n"/>
      <c r="E387" s="132" t="n"/>
      <c r="F387" s="130" t="n"/>
    </row>
    <row r="388" ht="15" customHeight="1" s="75">
      <c r="A388" s="124" t="n"/>
      <c r="B388" s="124" t="n"/>
      <c r="C388" s="127" t="n"/>
      <c r="D388" s="127" t="n"/>
      <c r="E388" s="132" t="n"/>
      <c r="F388" s="130" t="n"/>
    </row>
    <row r="389" ht="15" customHeight="1" s="75">
      <c r="A389" s="124" t="n"/>
      <c r="B389" s="124" t="n"/>
      <c r="C389" s="127" t="n"/>
      <c r="D389" s="127" t="n"/>
      <c r="E389" s="132" t="n"/>
      <c r="F389" s="130" t="n"/>
    </row>
    <row r="390" ht="15" customHeight="1" s="75">
      <c r="A390" s="124" t="n"/>
      <c r="B390" s="124" t="n"/>
      <c r="C390" s="127" t="n"/>
      <c r="D390" s="127" t="n"/>
      <c r="E390" s="132" t="n"/>
      <c r="F390" s="130" t="n"/>
    </row>
    <row r="391" ht="15" customHeight="1" s="75">
      <c r="A391" s="124" t="n"/>
      <c r="B391" s="124" t="n"/>
      <c r="C391" s="127" t="n"/>
      <c r="D391" s="127" t="n"/>
      <c r="E391" s="132" t="n"/>
      <c r="F391" s="130" t="n"/>
    </row>
    <row r="392" ht="15" customHeight="1" s="75">
      <c r="A392" s="124" t="n"/>
      <c r="B392" s="124" t="n"/>
      <c r="C392" s="127" t="n"/>
      <c r="D392" s="127" t="n"/>
      <c r="E392" s="132" t="n"/>
      <c r="F392" s="130" t="n"/>
    </row>
    <row r="393" ht="15" customHeight="1" s="75">
      <c r="A393" s="124" t="n"/>
      <c r="B393" s="124" t="n"/>
      <c r="C393" s="127" t="n"/>
      <c r="D393" s="127" t="n"/>
      <c r="E393" s="132" t="n"/>
      <c r="F393" s="130" t="n"/>
    </row>
    <row r="394" ht="15" customHeight="1" s="75">
      <c r="A394" s="124" t="n"/>
      <c r="B394" s="124" t="n"/>
      <c r="C394" s="127" t="n"/>
      <c r="D394" s="127" t="n"/>
      <c r="E394" s="132" t="n"/>
      <c r="F394" s="130" t="n"/>
    </row>
    <row r="395" ht="15" customHeight="1" s="75">
      <c r="A395" s="124" t="n"/>
      <c r="B395" s="124" t="n"/>
      <c r="C395" s="127" t="n"/>
      <c r="D395" s="127" t="n"/>
      <c r="E395" s="132" t="n"/>
      <c r="F395" s="130" t="n"/>
    </row>
    <row r="396" ht="15" customHeight="1" s="75">
      <c r="A396" s="124" t="n"/>
      <c r="B396" s="124" t="n"/>
      <c r="C396" s="127" t="n"/>
      <c r="D396" s="127" t="n"/>
      <c r="E396" s="132" t="n"/>
      <c r="F396" s="130" t="n"/>
    </row>
    <row r="397" ht="15" customHeight="1" s="75">
      <c r="A397" s="124" t="n"/>
      <c r="B397" s="124" t="n"/>
      <c r="C397" s="127" t="n"/>
      <c r="D397" s="127" t="n"/>
      <c r="E397" s="132" t="n"/>
      <c r="F397" s="130" t="n"/>
    </row>
    <row r="398" ht="15" customHeight="1" s="75">
      <c r="A398" s="124" t="n"/>
      <c r="B398" s="124" t="n"/>
      <c r="C398" s="127" t="n"/>
      <c r="D398" s="127" t="n"/>
      <c r="E398" s="132" t="n"/>
      <c r="F398" s="130" t="n"/>
    </row>
    <row r="399" ht="15" customHeight="1" s="75">
      <c r="A399" s="124" t="n"/>
      <c r="B399" s="124" t="n"/>
      <c r="C399" s="127" t="n"/>
      <c r="D399" s="127" t="n"/>
      <c r="E399" s="132" t="n"/>
      <c r="F399" s="130" t="n"/>
    </row>
    <row r="400" ht="15" customHeight="1" s="75">
      <c r="A400" s="124" t="n"/>
      <c r="B400" s="124" t="n"/>
      <c r="C400" s="127" t="n"/>
      <c r="D400" s="127" t="n"/>
      <c r="E400" s="132" t="n"/>
      <c r="F400" s="130" t="n"/>
    </row>
    <row r="401" ht="15" customHeight="1" s="75">
      <c r="A401" s="124" t="n"/>
      <c r="B401" s="124" t="n"/>
      <c r="C401" s="127" t="n"/>
      <c r="D401" s="127" t="n"/>
      <c r="E401" s="132" t="n"/>
      <c r="F401" s="130" t="n"/>
    </row>
    <row r="402" ht="15" customHeight="1" s="75">
      <c r="A402" s="124" t="n"/>
      <c r="B402" s="124" t="n"/>
      <c r="C402" s="127" t="n"/>
      <c r="D402" s="127" t="n"/>
      <c r="E402" s="132" t="n"/>
      <c r="F402" s="130" t="n"/>
    </row>
    <row r="403" ht="15" customHeight="1" s="75">
      <c r="A403" s="124" t="n"/>
      <c r="B403" s="124" t="n"/>
      <c r="C403" s="127" t="n"/>
      <c r="D403" s="127" t="n"/>
      <c r="E403" s="132" t="n"/>
      <c r="F403" s="130" t="n"/>
    </row>
    <row r="404" ht="15" customHeight="1" s="75">
      <c r="A404" s="124" t="n"/>
      <c r="B404" s="124" t="n"/>
      <c r="C404" s="127" t="n"/>
      <c r="D404" s="127" t="n"/>
      <c r="E404" s="132" t="n"/>
      <c r="F404" s="130" t="n"/>
    </row>
    <row r="405" ht="15" customHeight="1" s="75">
      <c r="A405" s="124" t="n"/>
      <c r="B405" s="124" t="n"/>
      <c r="C405" s="127" t="n"/>
      <c r="D405" s="127" t="n"/>
      <c r="E405" s="132" t="n"/>
      <c r="F405" s="130" t="n"/>
    </row>
    <row r="406" ht="15" customHeight="1" s="75">
      <c r="A406" s="124" t="n"/>
      <c r="B406" s="124" t="n"/>
      <c r="C406" s="127" t="n"/>
      <c r="D406" s="127" t="n"/>
      <c r="E406" s="132" t="n"/>
      <c r="F406" s="130" t="n"/>
    </row>
    <row r="407" ht="15" customHeight="1" s="75">
      <c r="A407" s="124" t="n"/>
      <c r="B407" s="124" t="n"/>
      <c r="C407" s="127" t="n"/>
      <c r="D407" s="127" t="n"/>
      <c r="E407" s="132" t="n"/>
      <c r="F407" s="130" t="n"/>
    </row>
    <row r="408" ht="15" customHeight="1" s="75">
      <c r="A408" s="124" t="n"/>
      <c r="B408" s="124" t="n"/>
      <c r="C408" s="127" t="n"/>
      <c r="D408" s="127" t="n"/>
      <c r="E408" s="132" t="n"/>
      <c r="F408" s="130" t="n"/>
    </row>
    <row r="409" ht="15" customHeight="1" s="75">
      <c r="A409" s="124" t="n"/>
      <c r="B409" s="124" t="n"/>
      <c r="C409" s="127" t="n"/>
      <c r="D409" s="127" t="n"/>
      <c r="E409" s="132" t="n"/>
      <c r="F409" s="130" t="n"/>
    </row>
    <row r="410" ht="15" customHeight="1" s="75">
      <c r="A410" s="124" t="n"/>
      <c r="B410" s="124" t="n"/>
      <c r="C410" s="127" t="n"/>
      <c r="D410" s="127" t="n"/>
      <c r="E410" s="132" t="n"/>
      <c r="F410" s="130" t="n"/>
    </row>
    <row r="411" ht="15" customHeight="1" s="75">
      <c r="A411" s="124" t="n"/>
      <c r="B411" s="124" t="n"/>
      <c r="C411" s="127" t="n"/>
      <c r="D411" s="127" t="n"/>
      <c r="E411" s="132" t="n"/>
      <c r="F411" s="130" t="n"/>
    </row>
    <row r="412" ht="15" customHeight="1" s="75">
      <c r="A412" s="124" t="n"/>
      <c r="B412" s="124" t="n"/>
      <c r="C412" s="127" t="n"/>
      <c r="D412" s="127" t="n"/>
      <c r="E412" s="132" t="n"/>
      <c r="F412" s="130" t="n"/>
    </row>
    <row r="413" ht="15" customHeight="1" s="75">
      <c r="A413" s="124" t="n"/>
      <c r="B413" s="124" t="n"/>
      <c r="C413" s="127" t="n"/>
      <c r="D413" s="127" t="n"/>
      <c r="E413" s="132" t="n"/>
      <c r="F413" s="130" t="n"/>
    </row>
    <row r="414" ht="15" customHeight="1" s="75">
      <c r="A414" s="124" t="n"/>
      <c r="B414" s="124" t="n"/>
      <c r="C414" s="127" t="n"/>
      <c r="D414" s="127" t="n"/>
      <c r="E414" s="132" t="n"/>
      <c r="F414" s="130" t="n"/>
    </row>
    <row r="415" ht="15" customHeight="1" s="75">
      <c r="A415" s="124" t="n"/>
      <c r="B415" s="124" t="n"/>
      <c r="C415" s="127" t="n"/>
      <c r="D415" s="127" t="n"/>
      <c r="E415" s="132" t="n"/>
      <c r="F415" s="130" t="n"/>
    </row>
    <row r="416" ht="15" customHeight="1" s="75">
      <c r="A416" s="124" t="n"/>
      <c r="B416" s="124" t="n"/>
      <c r="C416" s="127" t="n"/>
      <c r="D416" s="127" t="n"/>
      <c r="E416" s="132" t="n"/>
      <c r="F416" s="130" t="n"/>
    </row>
    <row r="417" ht="15" customHeight="1" s="75">
      <c r="A417" s="124" t="n"/>
      <c r="B417" s="124" t="n"/>
      <c r="C417" s="127" t="n"/>
      <c r="D417" s="127" t="n"/>
      <c r="E417" s="132" t="n"/>
      <c r="F417" s="130" t="n"/>
    </row>
    <row r="418" ht="15" customHeight="1" s="75">
      <c r="A418" s="124" t="n"/>
      <c r="B418" s="124" t="n"/>
      <c r="C418" s="127" t="n"/>
      <c r="D418" s="127" t="n"/>
      <c r="E418" s="132" t="n"/>
      <c r="F418" s="130" t="n"/>
    </row>
    <row r="419" ht="15" customHeight="1" s="75">
      <c r="A419" s="124" t="n"/>
      <c r="B419" s="124" t="n"/>
      <c r="C419" s="127" t="n"/>
      <c r="D419" s="127" t="n"/>
      <c r="E419" s="132" t="n"/>
      <c r="F419" s="130" t="n"/>
    </row>
    <row r="420" ht="15" customHeight="1" s="75">
      <c r="A420" s="124" t="n"/>
      <c r="B420" s="124" t="n"/>
      <c r="C420" s="127" t="n"/>
      <c r="D420" s="127" t="n"/>
      <c r="E420" s="132" t="n"/>
      <c r="F420" s="130" t="n"/>
    </row>
    <row r="421" ht="15" customHeight="1" s="75">
      <c r="A421" s="124" t="n"/>
      <c r="B421" s="124" t="n"/>
      <c r="C421" s="127" t="n"/>
      <c r="D421" s="127" t="n"/>
      <c r="E421" s="132" t="n"/>
      <c r="F421" s="130" t="n"/>
    </row>
    <row r="422" ht="15" customHeight="1" s="75">
      <c r="A422" s="124" t="n"/>
      <c r="B422" s="124" t="n"/>
      <c r="C422" s="127" t="n"/>
      <c r="D422" s="127" t="n"/>
      <c r="E422" s="132" t="n"/>
      <c r="F422" s="130" t="n"/>
    </row>
    <row r="423" ht="15" customHeight="1" s="75">
      <c r="A423" s="124" t="n"/>
      <c r="B423" s="124" t="n"/>
      <c r="C423" s="127" t="n"/>
      <c r="D423" s="127" t="n"/>
      <c r="E423" s="132" t="n"/>
      <c r="F423" s="130" t="n"/>
    </row>
    <row r="424" ht="15" customHeight="1" s="75">
      <c r="A424" s="124" t="n"/>
      <c r="B424" s="124" t="n"/>
      <c r="C424" s="127" t="n"/>
      <c r="D424" s="127" t="n"/>
      <c r="E424" s="132" t="n"/>
      <c r="F424" s="130" t="n"/>
    </row>
    <row r="425" ht="15" customHeight="1" s="75">
      <c r="A425" s="124" t="n"/>
      <c r="B425" s="124" t="n"/>
      <c r="C425" s="127" t="n"/>
      <c r="D425" s="127" t="n"/>
      <c r="E425" s="132" t="n"/>
      <c r="F425" s="130" t="n"/>
    </row>
    <row r="426" ht="15" customHeight="1" s="75">
      <c r="A426" s="124" t="n"/>
      <c r="B426" s="124" t="n"/>
      <c r="C426" s="127" t="n"/>
      <c r="D426" s="127" t="n"/>
      <c r="E426" s="132" t="n"/>
      <c r="F426" s="130" t="n"/>
    </row>
    <row r="427" ht="15" customHeight="1" s="75">
      <c r="A427" s="124" t="n"/>
      <c r="B427" s="124" t="n"/>
      <c r="C427" s="127" t="n"/>
      <c r="D427" s="127" t="n"/>
      <c r="E427" s="132" t="n"/>
      <c r="F427" s="130" t="n"/>
    </row>
    <row r="428" ht="15" customHeight="1" s="75">
      <c r="A428" s="124" t="n"/>
      <c r="B428" s="124" t="n"/>
      <c r="C428" s="127" t="n"/>
      <c r="D428" s="127" t="n"/>
      <c r="E428" s="132" t="n"/>
      <c r="F428" s="130" t="n"/>
    </row>
    <row r="429" ht="15" customHeight="1" s="75">
      <c r="A429" s="124" t="n"/>
      <c r="B429" s="124" t="n"/>
      <c r="C429" s="127" t="n"/>
      <c r="D429" s="127" t="n"/>
      <c r="E429" s="132" t="n"/>
      <c r="F429" s="130" t="n"/>
    </row>
    <row r="430" ht="15" customHeight="1" s="75">
      <c r="A430" s="124" t="n"/>
      <c r="B430" s="124" t="n"/>
      <c r="C430" s="127" t="n"/>
      <c r="D430" s="127" t="n"/>
      <c r="E430" s="132" t="n"/>
      <c r="F430" s="130" t="n"/>
    </row>
    <row r="431" ht="15" customHeight="1" s="75">
      <c r="A431" s="124" t="n"/>
      <c r="B431" s="124" t="n"/>
      <c r="C431" s="127" t="n"/>
      <c r="D431" s="127" t="n"/>
      <c r="E431" s="132" t="n"/>
      <c r="F431" s="130" t="n"/>
    </row>
    <row r="432" ht="15" customHeight="1" s="75">
      <c r="A432" s="124" t="n"/>
      <c r="B432" s="124" t="n"/>
      <c r="C432" s="127" t="n"/>
      <c r="D432" s="127" t="n"/>
      <c r="E432" s="132" t="n"/>
      <c r="F432" s="130" t="n"/>
    </row>
    <row r="433" ht="15" customHeight="1" s="75">
      <c r="A433" s="124" t="n"/>
      <c r="B433" s="124" t="n"/>
      <c r="C433" s="127" t="n"/>
      <c r="D433" s="127" t="n"/>
      <c r="E433" s="132" t="n"/>
      <c r="F433" s="130" t="n"/>
    </row>
    <row r="434" ht="15" customHeight="1" s="75">
      <c r="A434" s="124" t="n"/>
      <c r="B434" s="124" t="n"/>
      <c r="C434" s="127" t="n"/>
      <c r="D434" s="127" t="n"/>
      <c r="E434" s="132" t="n"/>
      <c r="F434" s="130" t="n"/>
    </row>
    <row r="435" ht="15" customHeight="1" s="75">
      <c r="A435" s="124" t="n"/>
      <c r="B435" s="124" t="n"/>
      <c r="C435" s="127" t="n"/>
      <c r="D435" s="127" t="n"/>
      <c r="E435" s="132" t="n"/>
      <c r="F435" s="130" t="n"/>
    </row>
    <row r="436" ht="15" customHeight="1" s="75">
      <c r="A436" s="124" t="n"/>
      <c r="B436" s="124" t="n"/>
      <c r="C436" s="127" t="n"/>
      <c r="D436" s="127" t="n"/>
      <c r="E436" s="132" t="n"/>
      <c r="F436" s="130" t="n"/>
    </row>
    <row r="437" ht="15" customHeight="1" s="75">
      <c r="A437" s="124" t="n"/>
      <c r="B437" s="124" t="n"/>
      <c r="C437" s="127" t="n"/>
      <c r="D437" s="127" t="n"/>
      <c r="E437" s="132" t="n"/>
      <c r="F437" s="130" t="n"/>
    </row>
    <row r="438" ht="15" customHeight="1" s="75">
      <c r="A438" s="124" t="n"/>
      <c r="B438" s="124" t="n"/>
      <c r="C438" s="127" t="n"/>
      <c r="D438" s="127" t="n"/>
      <c r="E438" s="132" t="n"/>
      <c r="F438" s="130" t="n"/>
    </row>
    <row r="439" ht="15" customHeight="1" s="75">
      <c r="A439" s="124" t="n"/>
      <c r="B439" s="124" t="n"/>
      <c r="C439" s="127" t="n"/>
      <c r="D439" s="127" t="n"/>
      <c r="E439" s="132" t="n"/>
      <c r="F439" s="130" t="n"/>
    </row>
    <row r="440" ht="15" customHeight="1" s="75">
      <c r="A440" s="124" t="n"/>
      <c r="B440" s="124" t="n"/>
      <c r="C440" s="127" t="n"/>
      <c r="D440" s="127" t="n"/>
      <c r="E440" s="132" t="n"/>
      <c r="F440" s="130" t="n"/>
    </row>
    <row r="441" ht="15" customHeight="1" s="75">
      <c r="A441" s="124" t="n"/>
      <c r="B441" s="124" t="n"/>
      <c r="C441" s="127" t="n"/>
      <c r="D441" s="127" t="n"/>
      <c r="E441" s="132" t="n"/>
      <c r="F441" s="130" t="n"/>
    </row>
    <row r="442" ht="15" customHeight="1" s="75">
      <c r="A442" s="124" t="n"/>
      <c r="B442" s="124" t="n"/>
      <c r="C442" s="127" t="n"/>
      <c r="D442" s="127" t="n"/>
      <c r="E442" s="132" t="n"/>
      <c r="F442" s="130" t="n"/>
    </row>
    <row r="443" ht="15" customHeight="1" s="75">
      <c r="A443" s="124" t="n"/>
      <c r="B443" s="124" t="n"/>
      <c r="C443" s="127" t="n"/>
      <c r="D443" s="127" t="n"/>
      <c r="E443" s="132" t="n"/>
      <c r="F443" s="130" t="n"/>
    </row>
    <row r="444" ht="15" customHeight="1" s="75">
      <c r="A444" s="124" t="n"/>
      <c r="B444" s="124" t="n"/>
      <c r="C444" s="127" t="n"/>
      <c r="D444" s="127" t="n"/>
      <c r="E444" s="132" t="n"/>
      <c r="F444" s="130" t="n"/>
    </row>
    <row r="445" ht="15" customHeight="1" s="75">
      <c r="A445" s="124" t="n"/>
      <c r="B445" s="124" t="n"/>
      <c r="C445" s="127" t="n"/>
      <c r="D445" s="127" t="n"/>
      <c r="E445" s="132" t="n"/>
      <c r="F445" s="130" t="n"/>
    </row>
    <row r="446" ht="15" customHeight="1" s="75">
      <c r="A446" s="124" t="n"/>
      <c r="B446" s="124" t="n"/>
      <c r="C446" s="127" t="n"/>
      <c r="D446" s="127" t="n"/>
      <c r="E446" s="132" t="n"/>
      <c r="F446" s="130" t="n"/>
    </row>
    <row r="447" ht="15" customHeight="1" s="75">
      <c r="A447" s="124" t="n"/>
      <c r="B447" s="124" t="n"/>
      <c r="C447" s="127" t="n"/>
      <c r="D447" s="127" t="n"/>
      <c r="E447" s="132" t="n"/>
      <c r="F447" s="130" t="n"/>
    </row>
    <row r="448" ht="15" customHeight="1" s="75">
      <c r="A448" s="124" t="n"/>
      <c r="B448" s="124" t="n"/>
      <c r="C448" s="127" t="n"/>
      <c r="D448" s="127" t="n"/>
      <c r="E448" s="132" t="n"/>
      <c r="F448" s="130" t="n"/>
    </row>
    <row r="449" ht="15" customHeight="1" s="75">
      <c r="A449" s="124" t="n"/>
      <c r="B449" s="124" t="n"/>
      <c r="C449" s="127" t="n"/>
      <c r="D449" s="127" t="n"/>
      <c r="E449" s="132" t="n"/>
      <c r="F449" s="130" t="n"/>
    </row>
    <row r="450" ht="15" customHeight="1" s="75">
      <c r="A450" s="124" t="n"/>
      <c r="B450" s="124" t="n"/>
      <c r="C450" s="127" t="n"/>
      <c r="D450" s="127" t="n"/>
      <c r="E450" s="132" t="n"/>
      <c r="F450" s="130" t="n"/>
    </row>
    <row r="451" ht="15" customHeight="1" s="75">
      <c r="A451" s="124" t="n"/>
      <c r="B451" s="124" t="n"/>
      <c r="C451" s="127" t="n"/>
      <c r="D451" s="127" t="n"/>
      <c r="E451" s="132" t="n"/>
      <c r="F451" s="130" t="n"/>
    </row>
    <row r="452" ht="15" customHeight="1" s="75">
      <c r="A452" s="124" t="n"/>
      <c r="B452" s="124" t="n"/>
      <c r="C452" s="127" t="n"/>
      <c r="D452" s="127" t="n"/>
      <c r="E452" s="132" t="n"/>
      <c r="F452" s="130" t="n"/>
    </row>
    <row r="453" ht="15" customHeight="1" s="75">
      <c r="A453" s="124" t="n"/>
      <c r="B453" s="124" t="n"/>
      <c r="C453" s="127" t="n"/>
      <c r="D453" s="127" t="n"/>
      <c r="E453" s="132" t="n"/>
      <c r="F453" s="130" t="n"/>
    </row>
    <row r="454" ht="15" customHeight="1" s="75">
      <c r="A454" s="124" t="n"/>
      <c r="B454" s="124" t="n"/>
      <c r="C454" s="127" t="n"/>
      <c r="D454" s="127" t="n"/>
      <c r="E454" s="132" t="n"/>
      <c r="F454" s="130" t="n"/>
    </row>
    <row r="455" ht="15" customHeight="1" s="75">
      <c r="A455" s="124" t="n"/>
      <c r="B455" s="124" t="n"/>
      <c r="C455" s="127" t="n"/>
      <c r="D455" s="127" t="n"/>
      <c r="E455" s="132" t="n"/>
      <c r="F455" s="130" t="n"/>
    </row>
    <row r="456" ht="15" customHeight="1" s="75">
      <c r="A456" s="124" t="n"/>
      <c r="B456" s="124" t="n"/>
      <c r="C456" s="127" t="n"/>
      <c r="D456" s="127" t="n"/>
      <c r="E456" s="132" t="n"/>
      <c r="F456" s="130" t="n"/>
    </row>
    <row r="457" ht="15" customHeight="1" s="75">
      <c r="A457" s="124" t="n"/>
      <c r="B457" s="124" t="n"/>
      <c r="C457" s="127" t="n"/>
      <c r="D457" s="127" t="n"/>
      <c r="E457" s="132" t="n"/>
      <c r="F457" s="130" t="n"/>
    </row>
    <row r="458" ht="15" customHeight="1" s="75">
      <c r="A458" s="124" t="n"/>
      <c r="B458" s="124" t="n"/>
      <c r="C458" s="127" t="n"/>
      <c r="D458" s="127" t="n"/>
      <c r="E458" s="132" t="n"/>
      <c r="F458" s="130" t="n"/>
    </row>
    <row r="459" ht="15" customHeight="1" s="75">
      <c r="A459" s="124" t="n"/>
      <c r="B459" s="124" t="n"/>
      <c r="C459" s="127" t="n"/>
      <c r="D459" s="127" t="n"/>
      <c r="E459" s="132" t="n"/>
      <c r="F459" s="130" t="n"/>
    </row>
    <row r="460" ht="15" customHeight="1" s="75">
      <c r="A460" s="124" t="n"/>
      <c r="B460" s="124" t="n"/>
      <c r="C460" s="127" t="n"/>
      <c r="D460" s="127" t="n"/>
      <c r="E460" s="132" t="n"/>
      <c r="F460" s="130" t="n"/>
    </row>
    <row r="461" ht="15" customHeight="1" s="75">
      <c r="A461" s="124" t="n"/>
      <c r="B461" s="124" t="n"/>
      <c r="C461" s="127" t="n"/>
      <c r="D461" s="127" t="n"/>
      <c r="E461" s="132" t="n"/>
      <c r="F461" s="130" t="n"/>
    </row>
    <row r="462" ht="15" customHeight="1" s="75">
      <c r="A462" s="124" t="n"/>
      <c r="B462" s="124" t="n"/>
      <c r="C462" s="127" t="n"/>
      <c r="D462" s="127" t="n"/>
      <c r="E462" s="132" t="n"/>
      <c r="F462" s="130" t="n"/>
    </row>
    <row r="463" ht="15" customHeight="1" s="75">
      <c r="A463" s="124" t="n"/>
      <c r="B463" s="124" t="n"/>
      <c r="C463" s="127" t="n"/>
      <c r="D463" s="127" t="n"/>
      <c r="E463" s="132" t="n"/>
      <c r="F463" s="130" t="n"/>
    </row>
    <row r="464" ht="15" customHeight="1" s="75">
      <c r="A464" s="124" t="n"/>
      <c r="B464" s="124" t="n"/>
      <c r="C464" s="127" t="n"/>
      <c r="D464" s="127" t="n"/>
      <c r="E464" s="132" t="n"/>
      <c r="F464" s="130" t="n"/>
    </row>
    <row r="465" ht="15" customHeight="1" s="75">
      <c r="A465" s="124" t="n"/>
      <c r="B465" s="124" t="n"/>
      <c r="C465" s="127" t="n"/>
      <c r="D465" s="127" t="n"/>
      <c r="E465" s="132" t="n"/>
      <c r="F465" s="130" t="n"/>
    </row>
    <row r="466" ht="15" customHeight="1" s="75">
      <c r="A466" s="124" t="n"/>
      <c r="B466" s="124" t="n"/>
      <c r="C466" s="127" t="n"/>
      <c r="D466" s="127" t="n"/>
      <c r="E466" s="132" t="n"/>
      <c r="F466" s="130" t="n"/>
    </row>
    <row r="467" ht="15" customHeight="1" s="75">
      <c r="A467" s="124" t="n"/>
      <c r="B467" s="124" t="n"/>
      <c r="C467" s="127" t="n"/>
      <c r="D467" s="127" t="n"/>
      <c r="E467" s="132" t="n"/>
      <c r="F467" s="130" t="n"/>
    </row>
    <row r="468" ht="15" customHeight="1" s="75">
      <c r="A468" s="124" t="n"/>
      <c r="B468" s="124" t="n"/>
      <c r="C468" s="127" t="n"/>
      <c r="D468" s="127" t="n"/>
      <c r="E468" s="132" t="n"/>
      <c r="F468" s="130" t="n"/>
    </row>
    <row r="469" ht="15" customHeight="1" s="75">
      <c r="A469" s="124" t="n"/>
      <c r="B469" s="124" t="n"/>
      <c r="C469" s="127" t="n"/>
      <c r="D469" s="127" t="n"/>
      <c r="E469" s="132" t="n"/>
      <c r="F469" s="130" t="n"/>
    </row>
    <row r="470" ht="15" customHeight="1" s="75">
      <c r="A470" s="124" t="n"/>
      <c r="B470" s="124" t="n"/>
      <c r="C470" s="127" t="n"/>
      <c r="D470" s="127" t="n"/>
      <c r="E470" s="132" t="n"/>
      <c r="F470" s="130" t="n"/>
    </row>
    <row r="471" ht="15" customHeight="1" s="75">
      <c r="A471" s="124" t="n"/>
      <c r="B471" s="124" t="n"/>
      <c r="C471" s="127" t="n"/>
      <c r="D471" s="127" t="n"/>
      <c r="E471" s="132" t="n"/>
      <c r="F471" s="130" t="n"/>
    </row>
    <row r="472" ht="15" customHeight="1" s="75">
      <c r="A472" s="124" t="n"/>
      <c r="B472" s="124" t="n"/>
      <c r="C472" s="127" t="n"/>
      <c r="D472" s="127" t="n"/>
      <c r="E472" s="132" t="n"/>
      <c r="F472" s="130" t="n"/>
    </row>
    <row r="473" ht="15" customHeight="1" s="75">
      <c r="A473" s="124" t="n"/>
      <c r="B473" s="124" t="n"/>
      <c r="C473" s="127" t="n"/>
      <c r="D473" s="127" t="n"/>
      <c r="E473" s="132" t="n"/>
      <c r="F473" s="130" t="n"/>
    </row>
    <row r="474" ht="15" customHeight="1" s="75">
      <c r="A474" s="124" t="n"/>
      <c r="B474" s="124" t="n"/>
      <c r="C474" s="127" t="n"/>
      <c r="D474" s="127" t="n"/>
      <c r="E474" s="132" t="n"/>
      <c r="F474" s="130" t="n"/>
    </row>
    <row r="475" ht="15" customHeight="1" s="75">
      <c r="A475" s="124" t="n"/>
      <c r="B475" s="124" t="n"/>
      <c r="C475" s="127" t="n"/>
      <c r="D475" s="127" t="n"/>
      <c r="E475" s="132" t="n"/>
      <c r="F475" s="130" t="n"/>
    </row>
    <row r="476" ht="15" customHeight="1" s="75">
      <c r="A476" s="124" t="n"/>
      <c r="B476" s="124" t="n"/>
      <c r="C476" s="127" t="n"/>
      <c r="D476" s="127" t="n"/>
      <c r="E476" s="132" t="n"/>
      <c r="F476" s="130" t="n"/>
    </row>
    <row r="477" ht="15" customHeight="1" s="75">
      <c r="A477" s="124" t="n"/>
      <c r="B477" s="124" t="n"/>
      <c r="C477" s="127" t="n"/>
      <c r="D477" s="127" t="n"/>
      <c r="E477" s="132" t="n"/>
      <c r="F477" s="130" t="n"/>
    </row>
    <row r="478" ht="15" customHeight="1" s="75">
      <c r="A478" s="124" t="n"/>
      <c r="B478" s="124" t="n"/>
      <c r="C478" s="127" t="n"/>
      <c r="D478" s="127" t="n"/>
      <c r="E478" s="132" t="n"/>
      <c r="F478" s="130" t="n"/>
    </row>
    <row r="479" ht="15" customHeight="1" s="75">
      <c r="A479" s="124" t="n"/>
      <c r="B479" s="124" t="n"/>
      <c r="C479" s="127" t="n"/>
      <c r="D479" s="127" t="n"/>
      <c r="E479" s="132" t="n"/>
      <c r="F479" s="130" t="n"/>
    </row>
    <row r="480" ht="15" customHeight="1" s="75">
      <c r="A480" s="124" t="n"/>
      <c r="B480" s="124" t="n"/>
      <c r="C480" s="127" t="n"/>
      <c r="D480" s="127" t="n"/>
      <c r="E480" s="132" t="n"/>
      <c r="F480" s="130" t="n"/>
    </row>
    <row r="481" ht="15" customHeight="1" s="75">
      <c r="A481" s="124" t="n"/>
      <c r="B481" s="124" t="n"/>
      <c r="C481" s="127" t="n"/>
      <c r="D481" s="127" t="n"/>
      <c r="E481" s="132" t="n"/>
      <c r="F481" s="130" t="n"/>
    </row>
    <row r="482" ht="15" customHeight="1" s="75">
      <c r="A482" s="124" t="n"/>
      <c r="B482" s="124" t="n"/>
      <c r="C482" s="127" t="n"/>
      <c r="D482" s="127" t="n"/>
      <c r="E482" s="132" t="n"/>
      <c r="F482" s="130" t="n"/>
    </row>
    <row r="483" ht="15" customHeight="1" s="75">
      <c r="A483" s="124" t="n"/>
      <c r="B483" s="124" t="n"/>
      <c r="C483" s="127" t="n"/>
      <c r="D483" s="127" t="n"/>
      <c r="E483" s="132" t="n"/>
      <c r="F483" s="130" t="n"/>
    </row>
    <row r="484" ht="15" customHeight="1" s="75">
      <c r="A484" s="124" t="n"/>
      <c r="B484" s="124" t="n"/>
      <c r="C484" s="127" t="n"/>
      <c r="D484" s="127" t="n"/>
      <c r="E484" s="132" t="n"/>
      <c r="F484" s="130" t="n"/>
    </row>
    <row r="485" ht="15" customHeight="1" s="75">
      <c r="A485" s="124" t="n"/>
      <c r="B485" s="124" t="n"/>
      <c r="C485" s="127" t="n"/>
      <c r="D485" s="127" t="n"/>
      <c r="E485" s="132" t="n"/>
      <c r="F485" s="130" t="n"/>
    </row>
    <row r="486" ht="15" customHeight="1" s="75">
      <c r="A486" s="124" t="n"/>
      <c r="B486" s="124" t="n"/>
      <c r="C486" s="127" t="n"/>
      <c r="D486" s="127" t="n"/>
      <c r="E486" s="132" t="n"/>
      <c r="F486" s="130" t="n"/>
    </row>
    <row r="487" ht="15" customHeight="1" s="75">
      <c r="A487" s="124" t="n"/>
      <c r="B487" s="124" t="n"/>
      <c r="C487" s="127" t="n"/>
      <c r="D487" s="127" t="n"/>
      <c r="E487" s="132" t="n"/>
      <c r="F487" s="130" t="n"/>
    </row>
    <row r="488" ht="15" customHeight="1" s="75">
      <c r="A488" s="124" t="n"/>
      <c r="B488" s="124" t="n"/>
      <c r="C488" s="127" t="n"/>
      <c r="D488" s="127" t="n"/>
      <c r="E488" s="132" t="n"/>
      <c r="F488" s="130" t="n"/>
    </row>
    <row r="489" ht="15" customHeight="1" s="75">
      <c r="A489" s="124" t="n"/>
      <c r="B489" s="124" t="n"/>
      <c r="C489" s="127" t="n"/>
      <c r="D489" s="127" t="n"/>
      <c r="E489" s="132" t="n"/>
      <c r="F489" s="130" t="n"/>
    </row>
    <row r="490" ht="15" customHeight="1" s="75">
      <c r="A490" s="124" t="n"/>
      <c r="B490" s="124" t="n"/>
      <c r="C490" s="127" t="n"/>
      <c r="D490" s="127" t="n"/>
      <c r="E490" s="132" t="n"/>
      <c r="F490" s="130" t="n"/>
    </row>
    <row r="491" ht="15" customHeight="1" s="75">
      <c r="A491" s="124" t="n"/>
      <c r="B491" s="124" t="n"/>
      <c r="C491" s="127" t="n"/>
      <c r="D491" s="127" t="n"/>
      <c r="E491" s="132" t="n"/>
      <c r="F491" s="130" t="n"/>
    </row>
    <row r="492" ht="15" customHeight="1" s="75">
      <c r="A492" s="124" t="n"/>
      <c r="B492" s="124" t="n"/>
      <c r="C492" s="127" t="n"/>
      <c r="D492" s="127" t="n"/>
      <c r="E492" s="132" t="n"/>
      <c r="F492" s="130" t="n"/>
    </row>
    <row r="493" ht="15" customHeight="1" s="75">
      <c r="A493" s="124" t="n"/>
      <c r="B493" s="124" t="n"/>
      <c r="C493" s="127" t="n"/>
      <c r="D493" s="127" t="n"/>
      <c r="E493" s="132" t="n"/>
      <c r="F493" s="130" t="n"/>
    </row>
    <row r="494" ht="15" customHeight="1" s="75">
      <c r="A494" s="124" t="n"/>
      <c r="B494" s="124" t="n"/>
      <c r="C494" s="127" t="n"/>
      <c r="D494" s="127" t="n"/>
      <c r="E494" s="132" t="n"/>
      <c r="F494" s="130" t="n"/>
    </row>
    <row r="495" ht="15" customHeight="1" s="75">
      <c r="A495" s="124" t="n"/>
      <c r="B495" s="124" t="n"/>
      <c r="C495" s="127" t="n"/>
      <c r="D495" s="127" t="n"/>
      <c r="E495" s="132" t="n"/>
      <c r="F495" s="130" t="n"/>
    </row>
    <row r="496" ht="15" customHeight="1" s="75">
      <c r="A496" s="124" t="n"/>
      <c r="B496" s="124" t="n"/>
      <c r="C496" s="127" t="n"/>
      <c r="D496" s="127" t="n"/>
      <c r="E496" s="132" t="n"/>
      <c r="F496" s="130" t="n"/>
    </row>
    <row r="497" ht="15" customHeight="1" s="75">
      <c r="A497" s="124" t="n"/>
      <c r="B497" s="124" t="n"/>
      <c r="C497" s="127" t="n"/>
      <c r="D497" s="127" t="n"/>
      <c r="E497" s="132" t="n"/>
      <c r="F497" s="130" t="n"/>
    </row>
    <row r="498" ht="15" customHeight="1" s="75">
      <c r="A498" s="124" t="n"/>
      <c r="B498" s="124" t="n"/>
      <c r="C498" s="127" t="n"/>
      <c r="D498" s="127" t="n"/>
      <c r="E498" s="132" t="n"/>
      <c r="F498" s="130" t="n"/>
    </row>
    <row r="499" ht="15" customHeight="1" s="75">
      <c r="A499" s="124" t="n"/>
      <c r="B499" s="124" t="n"/>
      <c r="C499" s="127" t="n"/>
      <c r="D499" s="127" t="n"/>
      <c r="E499" s="132" t="n"/>
      <c r="F499" s="130" t="n"/>
    </row>
    <row r="500" ht="15" customHeight="1" s="75">
      <c r="A500" s="124" t="n"/>
      <c r="B500" s="124" t="n"/>
      <c r="C500" s="127" t="n"/>
      <c r="D500" s="127" t="n"/>
      <c r="E500" s="132" t="n"/>
      <c r="F500" s="130" t="n"/>
    </row>
    <row r="501" ht="15" customHeight="1" s="75">
      <c r="A501" s="124" t="n"/>
      <c r="B501" s="124" t="n"/>
      <c r="C501" s="127" t="n"/>
      <c r="D501" s="127" t="n"/>
      <c r="E501" s="132" t="n"/>
      <c r="F501" s="130" t="n"/>
    </row>
    <row r="502" ht="15" customHeight="1" s="75">
      <c r="A502" s="124" t="n"/>
      <c r="B502" s="124" t="n"/>
      <c r="C502" s="127" t="n"/>
      <c r="D502" s="127" t="n"/>
      <c r="E502" s="132" t="n"/>
      <c r="F502" s="130" t="n"/>
    </row>
    <row r="503" ht="15" customHeight="1" s="75">
      <c r="A503" s="124" t="n"/>
      <c r="B503" s="124" t="n"/>
      <c r="C503" s="127" t="n"/>
      <c r="D503" s="127" t="n"/>
      <c r="E503" s="132" t="n"/>
      <c r="F503" s="130" t="n"/>
    </row>
    <row r="504" ht="15" customHeight="1" s="75">
      <c r="A504" s="124" t="n"/>
      <c r="B504" s="124" t="n"/>
      <c r="C504" s="127" t="n"/>
      <c r="D504" s="127" t="n"/>
      <c r="E504" s="132" t="n"/>
      <c r="F504" s="130" t="n"/>
    </row>
    <row r="505" ht="15" customHeight="1" s="75">
      <c r="A505" s="124" t="n"/>
      <c r="B505" s="124" t="n"/>
      <c r="C505" s="127" t="n"/>
      <c r="D505" s="127" t="n"/>
      <c r="E505" s="132" t="n"/>
      <c r="F505" s="130" t="n"/>
    </row>
    <row r="506" ht="15" customHeight="1" s="75">
      <c r="A506" s="124" t="n"/>
      <c r="B506" s="124" t="n"/>
      <c r="C506" s="127" t="n"/>
      <c r="D506" s="127" t="n"/>
      <c r="E506" s="132" t="n"/>
      <c r="F506" s="130" t="n"/>
    </row>
    <row r="507" ht="15" customHeight="1" s="75">
      <c r="A507" s="124" t="n"/>
      <c r="B507" s="124" t="n"/>
      <c r="C507" s="127" t="n"/>
      <c r="D507" s="127" t="n"/>
      <c r="E507" s="132" t="n"/>
      <c r="F507" s="130" t="n"/>
    </row>
    <row r="508" ht="15" customHeight="1" s="75">
      <c r="A508" s="124" t="n"/>
      <c r="B508" s="124" t="n"/>
      <c r="C508" s="127" t="n"/>
      <c r="D508" s="127" t="n"/>
      <c r="E508" s="132" t="n"/>
      <c r="F508" s="130" t="n"/>
    </row>
    <row r="509" ht="15" customHeight="1" s="75">
      <c r="A509" s="124" t="n"/>
      <c r="B509" s="124" t="n"/>
      <c r="C509" s="127" t="n"/>
      <c r="D509" s="127" t="n"/>
      <c r="E509" s="132" t="n"/>
      <c r="F509" s="130" t="n"/>
    </row>
    <row r="510" ht="15" customHeight="1" s="75">
      <c r="A510" s="124" t="n"/>
      <c r="B510" s="124" t="n"/>
      <c r="C510" s="127" t="n"/>
      <c r="D510" s="127" t="n"/>
      <c r="E510" s="132" t="n"/>
      <c r="F510" s="130" t="n"/>
    </row>
    <row r="511" ht="15" customHeight="1" s="75">
      <c r="A511" s="124" t="n"/>
      <c r="B511" s="124" t="n"/>
      <c r="C511" s="127" t="n"/>
      <c r="D511" s="127" t="n"/>
      <c r="E511" s="132" t="n"/>
      <c r="F511" s="130" t="n"/>
    </row>
    <row r="512" ht="15" customHeight="1" s="75">
      <c r="A512" s="124" t="n"/>
      <c r="B512" s="124" t="n"/>
      <c r="C512" s="127" t="n"/>
      <c r="D512" s="127" t="n"/>
      <c r="E512" s="132" t="n"/>
      <c r="F512" s="130" t="n"/>
    </row>
    <row r="513" ht="15" customHeight="1" s="75">
      <c r="A513" s="124" t="n"/>
      <c r="B513" s="124" t="n"/>
      <c r="C513" s="127" t="n"/>
      <c r="D513" s="127" t="n"/>
      <c r="E513" s="132" t="n"/>
      <c r="F513" s="130" t="n"/>
    </row>
    <row r="514" ht="15" customHeight="1" s="75">
      <c r="A514" s="124" t="n"/>
      <c r="B514" s="124" t="n"/>
      <c r="C514" s="127" t="n"/>
      <c r="D514" s="127" t="n"/>
      <c r="E514" s="132" t="n"/>
      <c r="F514" s="130" t="n"/>
    </row>
    <row r="515" ht="15" customHeight="1" s="75">
      <c r="A515" s="124" t="n"/>
      <c r="B515" s="124" t="n"/>
      <c r="C515" s="127" t="n"/>
      <c r="D515" s="127" t="n"/>
      <c r="E515" s="132" t="n"/>
      <c r="F515" s="130" t="n"/>
    </row>
    <row r="516" ht="15" customHeight="1" s="75">
      <c r="A516" s="124" t="n"/>
      <c r="B516" s="124" t="n"/>
      <c r="C516" s="127" t="n"/>
      <c r="D516" s="127" t="n"/>
      <c r="E516" s="132" t="n"/>
      <c r="F516" s="130" t="n"/>
    </row>
    <row r="517" ht="15" customHeight="1" s="75">
      <c r="A517" s="124" t="n"/>
      <c r="B517" s="124" t="n"/>
      <c r="C517" s="127" t="n"/>
      <c r="D517" s="127" t="n"/>
      <c r="E517" s="132" t="n"/>
      <c r="F517" s="130" t="n"/>
    </row>
    <row r="518" ht="15" customHeight="1" s="75">
      <c r="A518" s="124" t="n"/>
      <c r="B518" s="124" t="n"/>
      <c r="C518" s="127" t="n"/>
      <c r="D518" s="127" t="n"/>
      <c r="E518" s="132" t="n"/>
      <c r="F518" s="130" t="n"/>
    </row>
    <row r="519" ht="15" customHeight="1" s="75">
      <c r="A519" s="124" t="n"/>
      <c r="B519" s="124" t="n"/>
      <c r="C519" s="127" t="n"/>
      <c r="D519" s="127" t="n"/>
      <c r="E519" s="132" t="n"/>
      <c r="F519" s="130" t="n"/>
    </row>
    <row r="520" ht="15" customHeight="1" s="75">
      <c r="A520" s="124" t="n"/>
      <c r="B520" s="124" t="n"/>
      <c r="C520" s="127" t="n"/>
      <c r="D520" s="127" t="n"/>
      <c r="E520" s="132" t="n"/>
      <c r="F520" s="130" t="n"/>
    </row>
    <row r="521" ht="15" customHeight="1" s="75">
      <c r="A521" s="124" t="n"/>
      <c r="B521" s="124" t="n"/>
      <c r="C521" s="127" t="n"/>
      <c r="D521" s="127" t="n"/>
      <c r="E521" s="132" t="n"/>
      <c r="F521" s="130" t="n"/>
    </row>
    <row r="522" ht="15" customHeight="1" s="75">
      <c r="A522" s="124" t="n"/>
      <c r="B522" s="124" t="n"/>
      <c r="C522" s="127" t="n"/>
      <c r="D522" s="127" t="n"/>
      <c r="E522" s="132" t="n"/>
      <c r="F522" s="130" t="n"/>
    </row>
    <row r="523" ht="15" customHeight="1" s="75">
      <c r="A523" s="124" t="n"/>
      <c r="B523" s="124" t="n"/>
      <c r="C523" s="127" t="n"/>
      <c r="D523" s="127" t="n"/>
      <c r="E523" s="132" t="n"/>
      <c r="F523" s="130" t="n"/>
    </row>
    <row r="524" ht="15" customHeight="1" s="75">
      <c r="A524" s="124" t="n"/>
      <c r="B524" s="124" t="n"/>
      <c r="C524" s="127" t="n"/>
      <c r="D524" s="127" t="n"/>
      <c r="E524" s="132" t="n"/>
      <c r="F524" s="130" t="n"/>
    </row>
    <row r="525" ht="15" customHeight="1" s="75">
      <c r="A525" s="124" t="n"/>
      <c r="B525" s="124" t="n"/>
      <c r="C525" s="127" t="n"/>
      <c r="D525" s="127" t="n"/>
      <c r="E525" s="132" t="n"/>
      <c r="F525" s="130" t="n"/>
    </row>
    <row r="526" ht="15" customHeight="1" s="75">
      <c r="A526" s="124" t="n"/>
      <c r="B526" s="124" t="n"/>
      <c r="C526" s="127" t="n"/>
      <c r="D526" s="127" t="n"/>
      <c r="E526" s="132" t="n"/>
      <c r="F526" s="130" t="n"/>
    </row>
    <row r="527" ht="15" customHeight="1" s="75">
      <c r="A527" s="124" t="n"/>
      <c r="B527" s="124" t="n"/>
      <c r="C527" s="127" t="n"/>
      <c r="D527" s="127" t="n"/>
      <c r="E527" s="132" t="n"/>
      <c r="F527" s="130" t="n"/>
    </row>
    <row r="528" ht="15" customHeight="1" s="75">
      <c r="A528" s="124" t="n"/>
      <c r="B528" s="124" t="n"/>
      <c r="C528" s="127" t="n"/>
      <c r="D528" s="127" t="n"/>
      <c r="E528" s="132" t="n"/>
      <c r="F528" s="130" t="n"/>
    </row>
    <row r="529" ht="15" customHeight="1" s="75">
      <c r="A529" s="124" t="n"/>
      <c r="B529" s="124" t="n"/>
      <c r="C529" s="127" t="n"/>
      <c r="D529" s="127" t="n"/>
      <c r="E529" s="132" t="n"/>
      <c r="F529" s="130" t="n"/>
    </row>
    <row r="530" ht="15" customHeight="1" s="75">
      <c r="A530" s="124" t="n"/>
      <c r="B530" s="124" t="n"/>
      <c r="C530" s="127" t="n"/>
      <c r="D530" s="127" t="n"/>
      <c r="E530" s="132" t="n"/>
      <c r="F530" s="130" t="n"/>
    </row>
    <row r="531" ht="15" customHeight="1" s="75">
      <c r="A531" s="124" t="n"/>
      <c r="B531" s="124" t="n"/>
      <c r="C531" s="127" t="n"/>
      <c r="D531" s="127" t="n"/>
      <c r="E531" s="132" t="n"/>
      <c r="F531" s="130" t="n"/>
    </row>
    <row r="532" ht="15" customHeight="1" s="75">
      <c r="A532" s="124" t="n"/>
      <c r="B532" s="124" t="n"/>
      <c r="C532" s="127" t="n"/>
      <c r="D532" s="127" t="n"/>
      <c r="E532" s="132" t="n"/>
      <c r="F532" s="130" t="n"/>
    </row>
    <row r="533" ht="15" customHeight="1" s="75">
      <c r="A533" s="124" t="n"/>
      <c r="B533" s="124" t="n"/>
      <c r="C533" s="127" t="n"/>
      <c r="D533" s="127" t="n"/>
      <c r="E533" s="132" t="n"/>
      <c r="F533" s="130" t="n"/>
    </row>
    <row r="534" ht="15" customHeight="1" s="75">
      <c r="A534" s="124" t="n"/>
      <c r="B534" s="124" t="n"/>
      <c r="C534" s="127" t="n"/>
      <c r="D534" s="127" t="n"/>
      <c r="E534" s="132" t="n"/>
      <c r="F534" s="130" t="n"/>
    </row>
    <row r="535" ht="15" customHeight="1" s="75">
      <c r="A535" s="124" t="n"/>
      <c r="B535" s="124" t="n"/>
      <c r="C535" s="127" t="n"/>
      <c r="D535" s="127" t="n"/>
      <c r="E535" s="132" t="n"/>
      <c r="F535" s="130" t="n"/>
    </row>
    <row r="536" ht="15" customHeight="1" s="75">
      <c r="A536" s="124" t="n"/>
      <c r="B536" s="124" t="n"/>
      <c r="C536" s="127" t="n"/>
      <c r="D536" s="127" t="n"/>
      <c r="E536" s="132" t="n"/>
      <c r="F536" s="130" t="n"/>
    </row>
    <row r="537" ht="15" customHeight="1" s="75">
      <c r="A537" s="124" t="n"/>
      <c r="B537" s="124" t="n"/>
      <c r="C537" s="127" t="n"/>
      <c r="D537" s="127" t="n"/>
      <c r="E537" s="132" t="n"/>
      <c r="F537" s="130" t="n"/>
    </row>
    <row r="538" ht="15" customHeight="1" s="75">
      <c r="A538" s="124" t="n"/>
      <c r="B538" s="124" t="n"/>
      <c r="C538" s="127" t="n"/>
      <c r="D538" s="127" t="n"/>
      <c r="E538" s="132" t="n"/>
      <c r="F538" s="130" t="n"/>
    </row>
    <row r="539" ht="15" customHeight="1" s="75">
      <c r="A539" s="124" t="n"/>
      <c r="B539" s="124" t="n"/>
      <c r="C539" s="127" t="n"/>
      <c r="D539" s="127" t="n"/>
      <c r="E539" s="132" t="n"/>
      <c r="F539" s="130" t="n"/>
    </row>
    <row r="540" ht="15" customHeight="1" s="75">
      <c r="A540" s="124" t="n"/>
      <c r="B540" s="124" t="n"/>
      <c r="C540" s="127" t="n"/>
      <c r="D540" s="127" t="n"/>
      <c r="E540" s="132" t="n"/>
      <c r="F540" s="130" t="n"/>
    </row>
    <row r="541" ht="15" customHeight="1" s="75">
      <c r="A541" s="124" t="n"/>
      <c r="B541" s="124" t="n"/>
      <c r="C541" s="127" t="n"/>
      <c r="D541" s="127" t="n"/>
      <c r="E541" s="132" t="n"/>
      <c r="F541" s="130" t="n"/>
    </row>
    <row r="542" ht="15" customHeight="1" s="75">
      <c r="A542" s="124" t="n"/>
      <c r="B542" s="124" t="n"/>
      <c r="C542" s="127" t="n"/>
      <c r="D542" s="127" t="n"/>
      <c r="E542" s="132" t="n"/>
      <c r="F542" s="130" t="n"/>
    </row>
    <row r="543" ht="15" customHeight="1" s="75">
      <c r="A543" s="124" t="n"/>
      <c r="B543" s="124" t="n"/>
      <c r="C543" s="127" t="n"/>
      <c r="D543" s="127" t="n"/>
      <c r="E543" s="132" t="n"/>
      <c r="F543" s="130" t="n"/>
    </row>
    <row r="544" ht="15" customHeight="1" s="75">
      <c r="A544" s="124" t="n"/>
      <c r="B544" s="124" t="n"/>
      <c r="C544" s="127" t="n"/>
      <c r="D544" s="127" t="n"/>
      <c r="E544" s="132" t="n"/>
      <c r="F544" s="130" t="n"/>
    </row>
    <row r="545" ht="15" customHeight="1" s="75">
      <c r="A545" s="124" t="n"/>
      <c r="B545" s="124" t="n"/>
      <c r="C545" s="127" t="n"/>
      <c r="D545" s="127" t="n"/>
      <c r="E545" s="132" t="n"/>
      <c r="F545" s="130" t="n"/>
    </row>
    <row r="546" ht="15" customHeight="1" s="75">
      <c r="A546" s="124" t="n"/>
      <c r="B546" s="124" t="n"/>
      <c r="C546" s="127" t="n"/>
      <c r="D546" s="127" t="n"/>
      <c r="E546" s="132" t="n"/>
      <c r="F546" s="130" t="n"/>
    </row>
    <row r="547" ht="15" customHeight="1" s="75">
      <c r="A547" s="124" t="n"/>
      <c r="B547" s="124" t="n"/>
      <c r="C547" s="127" t="n"/>
      <c r="D547" s="127" t="n"/>
      <c r="E547" s="132" t="n"/>
      <c r="F547" s="130" t="n"/>
    </row>
    <row r="548" ht="15" customHeight="1" s="75">
      <c r="A548" s="124" t="n"/>
      <c r="B548" s="124" t="n"/>
      <c r="C548" s="127" t="n"/>
      <c r="D548" s="127" t="n"/>
      <c r="E548" s="132" t="n"/>
      <c r="F548" s="130" t="n"/>
    </row>
    <row r="549" ht="15" customHeight="1" s="75">
      <c r="A549" s="124" t="n"/>
      <c r="B549" s="124" t="n"/>
      <c r="C549" s="127" t="n"/>
      <c r="D549" s="127" t="n"/>
      <c r="E549" s="132" t="n"/>
      <c r="F549" s="130" t="n"/>
    </row>
    <row r="550" ht="15" customHeight="1" s="75">
      <c r="A550" s="124" t="n"/>
      <c r="B550" s="124" t="n"/>
      <c r="C550" s="127" t="n"/>
      <c r="D550" s="127" t="n"/>
      <c r="E550" s="132" t="n"/>
      <c r="F550" s="130" t="n"/>
    </row>
    <row r="551" ht="15" customHeight="1" s="75">
      <c r="A551" s="124" t="n"/>
      <c r="B551" s="124" t="n"/>
      <c r="C551" s="127" t="n"/>
      <c r="D551" s="127" t="n"/>
      <c r="E551" s="132" t="n"/>
      <c r="F551" s="130" t="n"/>
    </row>
    <row r="552" ht="15" customHeight="1" s="75">
      <c r="A552" s="124" t="n"/>
      <c r="B552" s="124" t="n"/>
      <c r="C552" s="127" t="n"/>
      <c r="D552" s="127" t="n"/>
      <c r="E552" s="132" t="n"/>
      <c r="F552" s="130" t="n"/>
    </row>
    <row r="553" ht="15" customHeight="1" s="75">
      <c r="A553" s="124" t="n"/>
      <c r="B553" s="124" t="n"/>
      <c r="C553" s="127" t="n"/>
      <c r="D553" s="127" t="n"/>
      <c r="E553" s="132" t="n"/>
      <c r="F553" s="130" t="n"/>
    </row>
    <row r="554" ht="15" customHeight="1" s="75">
      <c r="A554" s="124" t="n"/>
      <c r="B554" s="124" t="n"/>
      <c r="C554" s="127" t="n"/>
      <c r="D554" s="127" t="n"/>
      <c r="E554" s="132" t="n"/>
      <c r="F554" s="130" t="n"/>
    </row>
    <row r="555" ht="15" customHeight="1" s="75">
      <c r="A555" s="124" t="n"/>
      <c r="B555" s="124" t="n"/>
      <c r="C555" s="127" t="n"/>
      <c r="D555" s="127" t="n"/>
      <c r="E555" s="132" t="n"/>
      <c r="F555" s="130" t="n"/>
    </row>
    <row r="556" ht="15" customHeight="1" s="75">
      <c r="A556" s="124" t="n"/>
      <c r="B556" s="124" t="n"/>
      <c r="C556" s="127" t="n"/>
      <c r="D556" s="127" t="n"/>
      <c r="E556" s="132" t="n"/>
      <c r="F556" s="130" t="n"/>
    </row>
    <row r="557" ht="15" customHeight="1" s="75">
      <c r="A557" s="124" t="n"/>
      <c r="B557" s="124" t="n"/>
      <c r="C557" s="127" t="n"/>
      <c r="D557" s="127" t="n"/>
      <c r="E557" s="132" t="n"/>
      <c r="F557" s="130" t="n"/>
    </row>
    <row r="558" ht="15" customHeight="1" s="75">
      <c r="A558" s="124" t="n"/>
      <c r="B558" s="124" t="n"/>
      <c r="C558" s="127" t="n"/>
      <c r="D558" s="127" t="n"/>
      <c r="E558" s="132" t="n"/>
      <c r="F558" s="130" t="n"/>
    </row>
    <row r="559" ht="15" customHeight="1" s="75">
      <c r="A559" s="124" t="n"/>
      <c r="B559" s="124" t="n"/>
      <c r="C559" s="127" t="n"/>
      <c r="D559" s="127" t="n"/>
      <c r="E559" s="132" t="n"/>
      <c r="F559" s="130" t="n"/>
    </row>
    <row r="560" ht="15" customHeight="1" s="75">
      <c r="A560" s="124" t="n"/>
      <c r="B560" s="124" t="n"/>
      <c r="C560" s="127" t="n"/>
      <c r="D560" s="127" t="n"/>
      <c r="E560" s="132" t="n"/>
      <c r="F560" s="130" t="n"/>
    </row>
    <row r="561" ht="15" customHeight="1" s="75">
      <c r="A561" s="124" t="n"/>
      <c r="B561" s="124" t="n"/>
      <c r="C561" s="127" t="n"/>
      <c r="D561" s="127" t="n"/>
      <c r="E561" s="132" t="n"/>
      <c r="F561" s="130" t="n"/>
    </row>
    <row r="562" ht="15" customHeight="1" s="75">
      <c r="A562" s="124" t="n"/>
      <c r="B562" s="124" t="n"/>
      <c r="C562" s="127" t="n"/>
      <c r="D562" s="127" t="n"/>
      <c r="E562" s="132" t="n"/>
      <c r="F562" s="130" t="n"/>
    </row>
    <row r="563" ht="15" customHeight="1" s="75">
      <c r="A563" s="124" t="n"/>
      <c r="B563" s="124" t="n"/>
      <c r="C563" s="127" t="n"/>
      <c r="D563" s="127" t="n"/>
      <c r="E563" s="132" t="n"/>
      <c r="F563" s="130" t="n"/>
    </row>
    <row r="564" ht="15" customHeight="1" s="75">
      <c r="A564" s="124" t="n"/>
      <c r="B564" s="124" t="n"/>
      <c r="C564" s="127" t="n"/>
      <c r="D564" s="127" t="n"/>
      <c r="E564" s="132" t="n"/>
      <c r="F564" s="130" t="n"/>
    </row>
    <row r="565" ht="15" customHeight="1" s="75">
      <c r="A565" s="124" t="n"/>
      <c r="B565" s="124" t="n"/>
      <c r="C565" s="127" t="n"/>
      <c r="D565" s="127" t="n"/>
      <c r="E565" s="132" t="n"/>
      <c r="F565" s="130" t="n"/>
    </row>
    <row r="566" ht="15" customHeight="1" s="75">
      <c r="A566" s="124" t="n"/>
      <c r="B566" s="124" t="n"/>
      <c r="C566" s="127" t="n"/>
      <c r="D566" s="127" t="n"/>
      <c r="E566" s="132" t="n"/>
      <c r="F566" s="130" t="n"/>
    </row>
    <row r="567" ht="15" customHeight="1" s="75">
      <c r="A567" s="124" t="n"/>
      <c r="B567" s="124" t="n"/>
      <c r="C567" s="127" t="n"/>
      <c r="D567" s="127" t="n"/>
      <c r="E567" s="132" t="n"/>
      <c r="F567" s="130" t="n"/>
    </row>
    <row r="568" ht="15" customHeight="1" s="75">
      <c r="A568" s="124" t="n"/>
      <c r="B568" s="124" t="n"/>
      <c r="C568" s="127" t="n"/>
      <c r="D568" s="127" t="n"/>
      <c r="E568" s="132" t="n"/>
      <c r="F568" s="130" t="n"/>
    </row>
    <row r="569" ht="15" customHeight="1" s="75">
      <c r="A569" s="124" t="n"/>
      <c r="B569" s="124" t="n"/>
      <c r="C569" s="127" t="n"/>
      <c r="D569" s="127" t="n"/>
      <c r="E569" s="132" t="n"/>
      <c r="F569" s="130" t="n"/>
    </row>
    <row r="570" ht="15" customHeight="1" s="75">
      <c r="A570" s="124" t="n"/>
      <c r="B570" s="124" t="n"/>
      <c r="C570" s="127" t="n"/>
      <c r="D570" s="127" t="n"/>
      <c r="E570" s="132" t="n"/>
      <c r="F570" s="130" t="n"/>
    </row>
    <row r="571" ht="15" customHeight="1" s="75">
      <c r="A571" s="124" t="n"/>
      <c r="B571" s="124" t="n"/>
      <c r="C571" s="127" t="n"/>
      <c r="D571" s="127" t="n"/>
      <c r="E571" s="132" t="n"/>
      <c r="F571" s="130" t="n"/>
    </row>
    <row r="572" ht="15" customHeight="1" s="75">
      <c r="A572" s="124" t="n"/>
      <c r="B572" s="124" t="n"/>
      <c r="C572" s="127" t="n"/>
      <c r="D572" s="127" t="n"/>
      <c r="E572" s="132" t="n"/>
      <c r="F572" s="130" t="n"/>
    </row>
    <row r="573" ht="15" customHeight="1" s="75">
      <c r="A573" s="124" t="n"/>
      <c r="B573" s="124" t="n"/>
      <c r="C573" s="127" t="n"/>
      <c r="D573" s="127" t="n"/>
      <c r="E573" s="132" t="n"/>
      <c r="F573" s="130" t="n"/>
    </row>
    <row r="574" ht="15" customHeight="1" s="75">
      <c r="A574" s="124" t="n"/>
      <c r="B574" s="124" t="n"/>
      <c r="C574" s="127" t="n"/>
      <c r="D574" s="127" t="n"/>
      <c r="E574" s="132" t="n"/>
      <c r="F574" s="130" t="n"/>
    </row>
    <row r="575" ht="15" customHeight="1" s="75">
      <c r="A575" s="124" t="n"/>
      <c r="B575" s="124" t="n"/>
      <c r="C575" s="127" t="n"/>
      <c r="D575" s="127" t="n"/>
      <c r="E575" s="132" t="n"/>
      <c r="F575" s="130" t="n"/>
    </row>
    <row r="576" ht="15" customHeight="1" s="75">
      <c r="A576" s="124" t="n"/>
      <c r="B576" s="124" t="n"/>
      <c r="C576" s="127" t="n"/>
      <c r="D576" s="127" t="n"/>
      <c r="E576" s="132" t="n"/>
      <c r="F576" s="130" t="n"/>
    </row>
    <row r="577" ht="15" customHeight="1" s="75">
      <c r="A577" s="124" t="n"/>
      <c r="B577" s="124" t="n"/>
      <c r="C577" s="127" t="n"/>
      <c r="D577" s="127" t="n"/>
      <c r="E577" s="132" t="n"/>
      <c r="F577" s="130" t="n"/>
    </row>
    <row r="578" ht="15" customHeight="1" s="75">
      <c r="A578" s="124" t="n"/>
      <c r="B578" s="124" t="n"/>
      <c r="C578" s="127" t="n"/>
      <c r="D578" s="127" t="n"/>
      <c r="E578" s="132" t="n"/>
      <c r="F578" s="130" t="n"/>
    </row>
    <row r="579" ht="15" customHeight="1" s="75">
      <c r="A579" s="124" t="n"/>
      <c r="B579" s="124" t="n"/>
      <c r="C579" s="127" t="n"/>
      <c r="D579" s="127" t="n"/>
      <c r="E579" s="132" t="n"/>
      <c r="F579" s="130" t="n"/>
    </row>
    <row r="580" ht="15" customHeight="1" s="75">
      <c r="A580" s="124" t="n"/>
      <c r="B580" s="124" t="n"/>
      <c r="C580" s="127" t="n"/>
      <c r="D580" s="127" t="n"/>
      <c r="E580" s="132" t="n"/>
      <c r="F580" s="130" t="n"/>
    </row>
    <row r="581" ht="15" customHeight="1" s="75">
      <c r="A581" s="124" t="n"/>
      <c r="B581" s="124" t="n"/>
      <c r="C581" s="127" t="n"/>
      <c r="D581" s="127" t="n"/>
      <c r="E581" s="132" t="n"/>
      <c r="F581" s="130" t="n"/>
    </row>
    <row r="582" ht="15" customHeight="1" s="75">
      <c r="A582" s="124" t="n"/>
      <c r="B582" s="124" t="n"/>
      <c r="C582" s="127" t="n"/>
      <c r="D582" s="127" t="n"/>
      <c r="E582" s="132" t="n"/>
      <c r="F582" s="130" t="n"/>
    </row>
    <row r="583" ht="15" customHeight="1" s="75">
      <c r="A583" s="124" t="n"/>
      <c r="B583" s="124" t="n"/>
      <c r="C583" s="127" t="n"/>
      <c r="D583" s="127" t="n"/>
      <c r="E583" s="132" t="n"/>
      <c r="F583" s="130" t="n"/>
    </row>
    <row r="584" ht="15" customHeight="1" s="75">
      <c r="A584" s="124" t="n"/>
      <c r="B584" s="124" t="n"/>
      <c r="C584" s="127" t="n"/>
      <c r="D584" s="127" t="n"/>
      <c r="E584" s="132" t="n"/>
      <c r="F584" s="130" t="n"/>
    </row>
    <row r="585" ht="15" customHeight="1" s="75">
      <c r="A585" s="124" t="n"/>
      <c r="B585" s="124" t="n"/>
      <c r="C585" s="127" t="n"/>
      <c r="D585" s="127" t="n"/>
      <c r="E585" s="132" t="n"/>
      <c r="F585" s="130" t="n"/>
    </row>
    <row r="586" ht="15" customHeight="1" s="75">
      <c r="A586" s="124" t="n"/>
      <c r="B586" s="124" t="n"/>
      <c r="C586" s="127" t="n"/>
      <c r="D586" s="127" t="n"/>
      <c r="E586" s="132" t="n"/>
      <c r="F586" s="130" t="n"/>
    </row>
    <row r="587" ht="15" customHeight="1" s="75">
      <c r="A587" s="124" t="n"/>
      <c r="B587" s="124" t="n"/>
      <c r="C587" s="127" t="n"/>
      <c r="D587" s="127" t="n"/>
      <c r="E587" s="132" t="n"/>
      <c r="F587" s="130" t="n"/>
    </row>
    <row r="588" ht="15" customHeight="1" s="75">
      <c r="A588" s="124" t="n"/>
      <c r="B588" s="124" t="n"/>
      <c r="C588" s="127" t="n"/>
      <c r="D588" s="127" t="n"/>
      <c r="E588" s="132" t="n"/>
      <c r="F588" s="130" t="n"/>
    </row>
    <row r="589" ht="15" customHeight="1" s="75">
      <c r="A589" s="124" t="n"/>
      <c r="B589" s="124" t="n"/>
      <c r="C589" s="127" t="n"/>
      <c r="D589" s="127" t="n"/>
      <c r="E589" s="132" t="n"/>
      <c r="F589" s="130" t="n"/>
    </row>
    <row r="590" ht="15" customHeight="1" s="75">
      <c r="A590" s="124" t="n"/>
      <c r="B590" s="124" t="n"/>
      <c r="C590" s="127" t="n"/>
      <c r="D590" s="127" t="n"/>
      <c r="E590" s="132" t="n"/>
      <c r="F590" s="130" t="n"/>
    </row>
    <row r="591" ht="15" customHeight="1" s="75">
      <c r="A591" s="124" t="n"/>
      <c r="B591" s="124" t="n"/>
      <c r="C591" s="127" t="n"/>
      <c r="D591" s="127" t="n"/>
      <c r="E591" s="132" t="n"/>
      <c r="F591" s="130" t="n"/>
    </row>
    <row r="592" ht="15" customHeight="1" s="75">
      <c r="A592" s="124" t="n"/>
      <c r="B592" s="124" t="n"/>
      <c r="C592" s="127" t="n"/>
      <c r="D592" s="127" t="n"/>
      <c r="E592" s="132" t="n"/>
      <c r="F592" s="130" t="n"/>
    </row>
    <row r="593" ht="15" customHeight="1" s="75">
      <c r="A593" s="124" t="n"/>
      <c r="B593" s="124" t="n"/>
      <c r="C593" s="127" t="n"/>
      <c r="D593" s="127" t="n"/>
      <c r="E593" s="132" t="n"/>
      <c r="F593" s="130" t="n"/>
    </row>
    <row r="594" ht="15" customHeight="1" s="75">
      <c r="A594" s="124" t="n"/>
      <c r="B594" s="124" t="n"/>
      <c r="C594" s="127" t="n"/>
      <c r="D594" s="127" t="n"/>
      <c r="E594" s="132" t="n"/>
      <c r="F594" s="130" t="n"/>
    </row>
    <row r="595" ht="15" customHeight="1" s="75">
      <c r="A595" s="124" t="n"/>
      <c r="B595" s="124" t="n"/>
      <c r="C595" s="127" t="n"/>
      <c r="D595" s="127" t="n"/>
      <c r="E595" s="132" t="n"/>
      <c r="F595" s="130" t="n"/>
    </row>
    <row r="596" ht="15" customHeight="1" s="75">
      <c r="A596" s="124" t="n"/>
      <c r="B596" s="124" t="n"/>
      <c r="C596" s="127" t="n"/>
      <c r="D596" s="127" t="n"/>
      <c r="E596" s="132" t="n"/>
      <c r="F596" s="130" t="n"/>
    </row>
    <row r="597" ht="15" customHeight="1" s="75">
      <c r="A597" s="124" t="n"/>
      <c r="B597" s="124" t="n"/>
      <c r="C597" s="127" t="n"/>
      <c r="D597" s="127" t="n"/>
      <c r="E597" s="132" t="n"/>
      <c r="F597" s="130" t="n"/>
    </row>
    <row r="598" ht="15" customHeight="1" s="75">
      <c r="A598" s="124" t="n"/>
      <c r="B598" s="124" t="n"/>
      <c r="C598" s="127" t="n"/>
      <c r="D598" s="127" t="n"/>
      <c r="E598" s="132" t="n"/>
      <c r="F598" s="130" t="n"/>
    </row>
    <row r="599" ht="15" customHeight="1" s="75">
      <c r="A599" s="124" t="n"/>
      <c r="B599" s="124" t="n"/>
      <c r="C599" s="127" t="n"/>
      <c r="D599" s="127" t="n"/>
      <c r="E599" s="132" t="n"/>
      <c r="F599" s="130" t="n"/>
    </row>
    <row r="600" ht="15" customHeight="1" s="75">
      <c r="A600" s="124" t="n"/>
      <c r="B600" s="124" t="n"/>
      <c r="C600" s="127" t="n"/>
      <c r="D600" s="127" t="n"/>
      <c r="E600" s="132" t="n"/>
      <c r="F600" s="130" t="n"/>
    </row>
    <row r="601" ht="15" customHeight="1" s="75">
      <c r="A601" s="124" t="n"/>
      <c r="B601" s="124" t="n"/>
      <c r="C601" s="127" t="n"/>
      <c r="D601" s="127" t="n"/>
      <c r="E601" s="132" t="n"/>
      <c r="F601" s="130" t="n"/>
    </row>
    <row r="602" ht="15" customHeight="1" s="75">
      <c r="A602" s="124" t="n"/>
      <c r="B602" s="124" t="n"/>
      <c r="C602" s="127" t="n"/>
      <c r="D602" s="127" t="n"/>
      <c r="E602" s="132" t="n"/>
      <c r="F602" s="130" t="n"/>
    </row>
    <row r="603" ht="15" customHeight="1" s="75">
      <c r="A603" s="124" t="n"/>
      <c r="B603" s="124" t="n"/>
      <c r="C603" s="127" t="n"/>
      <c r="D603" s="127" t="n"/>
      <c r="E603" s="132" t="n"/>
      <c r="F603" s="130" t="n"/>
    </row>
    <row r="604" ht="15" customHeight="1" s="75">
      <c r="A604" s="124" t="n"/>
      <c r="B604" s="124" t="n"/>
      <c r="C604" s="127" t="n"/>
      <c r="D604" s="127" t="n"/>
      <c r="E604" s="132" t="n"/>
      <c r="F604" s="130" t="n"/>
    </row>
    <row r="605" ht="15" customHeight="1" s="75">
      <c r="A605" s="124" t="n"/>
      <c r="B605" s="124" t="n"/>
      <c r="C605" s="127" t="n"/>
      <c r="D605" s="127" t="n"/>
      <c r="E605" s="132" t="n"/>
      <c r="F605" s="130" t="n"/>
    </row>
    <row r="606" ht="15" customHeight="1" s="75">
      <c r="A606" s="124" t="n"/>
      <c r="B606" s="124" t="n"/>
      <c r="C606" s="127" t="n"/>
      <c r="D606" s="127" t="n"/>
      <c r="E606" s="132" t="n"/>
      <c r="F606" s="130" t="n"/>
    </row>
    <row r="607" ht="15" customHeight="1" s="75">
      <c r="A607" s="124" t="n"/>
      <c r="B607" s="124" t="n"/>
      <c r="C607" s="127" t="n"/>
      <c r="D607" s="127" t="n"/>
      <c r="E607" s="132" t="n"/>
      <c r="F607" s="130" t="n"/>
    </row>
    <row r="608" ht="15" customHeight="1" s="75">
      <c r="A608" s="124" t="n"/>
      <c r="B608" s="124" t="n"/>
      <c r="C608" s="127" t="n"/>
      <c r="D608" s="127" t="n"/>
      <c r="E608" s="132" t="n"/>
      <c r="F608" s="130" t="n"/>
    </row>
    <row r="609" ht="15" customHeight="1" s="75">
      <c r="A609" s="124" t="n"/>
      <c r="B609" s="124" t="n"/>
      <c r="C609" s="127" t="n"/>
      <c r="D609" s="127" t="n"/>
      <c r="E609" s="132" t="n"/>
      <c r="F609" s="130" t="n"/>
    </row>
    <row r="610" ht="15" customHeight="1" s="75">
      <c r="A610" s="124" t="n"/>
      <c r="B610" s="124" t="n"/>
      <c r="C610" s="127" t="n"/>
      <c r="D610" s="127" t="n"/>
      <c r="E610" s="132" t="n"/>
      <c r="F610" s="130" t="n"/>
    </row>
    <row r="611" ht="15" customHeight="1" s="75">
      <c r="A611" s="124" t="n"/>
      <c r="B611" s="124" t="n"/>
      <c r="C611" s="127" t="n"/>
      <c r="D611" s="127" t="n"/>
      <c r="E611" s="132" t="n"/>
      <c r="F611" s="130" t="n"/>
    </row>
    <row r="612" ht="15" customHeight="1" s="75">
      <c r="A612" s="124" t="n"/>
      <c r="B612" s="124" t="n"/>
      <c r="C612" s="127" t="n"/>
      <c r="D612" s="127" t="n"/>
      <c r="E612" s="132" t="n"/>
      <c r="F612" s="130" t="n"/>
    </row>
    <row r="613" ht="15" customHeight="1" s="75">
      <c r="A613" s="124" t="n"/>
      <c r="B613" s="124" t="n"/>
      <c r="C613" s="127" t="n"/>
      <c r="D613" s="127" t="n"/>
      <c r="E613" s="132" t="n"/>
      <c r="F613" s="130" t="n"/>
    </row>
    <row r="614" ht="15" customHeight="1" s="75">
      <c r="A614" s="124" t="n"/>
      <c r="B614" s="124" t="n"/>
      <c r="C614" s="127" t="n"/>
      <c r="D614" s="127" t="n"/>
      <c r="E614" s="132" t="n"/>
      <c r="F614" s="130" t="n"/>
    </row>
    <row r="615" ht="15" customHeight="1" s="75">
      <c r="A615" s="124" t="n"/>
      <c r="B615" s="124" t="n"/>
      <c r="C615" s="127" t="n"/>
      <c r="D615" s="127" t="n"/>
      <c r="E615" s="132" t="n"/>
      <c r="F615" s="130" t="n"/>
    </row>
    <row r="616" ht="15" customHeight="1" s="75">
      <c r="A616" s="124" t="n"/>
      <c r="B616" s="124" t="n"/>
      <c r="C616" s="127" t="n"/>
      <c r="D616" s="127" t="n"/>
      <c r="E616" s="132" t="n"/>
      <c r="F616" s="130" t="n"/>
    </row>
    <row r="617" ht="15" customHeight="1" s="75">
      <c r="A617" s="124" t="n"/>
      <c r="B617" s="124" t="n"/>
      <c r="C617" s="127" t="n"/>
      <c r="D617" s="127" t="n"/>
      <c r="E617" s="132" t="n"/>
      <c r="F617" s="130" t="n"/>
    </row>
    <row r="618" ht="15" customHeight="1" s="75">
      <c r="A618" s="124" t="n"/>
      <c r="B618" s="124" t="n"/>
      <c r="C618" s="127" t="n"/>
      <c r="D618" s="127" t="n"/>
      <c r="E618" s="132" t="n"/>
      <c r="F618" s="130" t="n"/>
    </row>
    <row r="619" ht="15" customHeight="1" s="75">
      <c r="A619" s="124" t="n"/>
      <c r="B619" s="124" t="n"/>
      <c r="C619" s="127" t="n"/>
      <c r="D619" s="127" t="n"/>
      <c r="E619" s="132" t="n"/>
      <c r="F619" s="130" t="n"/>
    </row>
    <row r="620" ht="15" customHeight="1" s="75">
      <c r="A620" s="124" t="n"/>
      <c r="B620" s="124" t="n"/>
      <c r="C620" s="127" t="n"/>
      <c r="D620" s="127" t="n"/>
      <c r="E620" s="132" t="n"/>
      <c r="F620" s="130" t="n"/>
    </row>
    <row r="621" ht="15" customHeight="1" s="75">
      <c r="A621" s="124" t="n"/>
      <c r="B621" s="124" t="n"/>
      <c r="C621" s="127" t="n"/>
      <c r="D621" s="127" t="n"/>
      <c r="E621" s="132" t="n"/>
      <c r="F621" s="130" t="n"/>
    </row>
    <row r="622" ht="15" customHeight="1" s="75">
      <c r="A622" s="124" t="n"/>
      <c r="B622" s="124" t="n"/>
      <c r="C622" s="127" t="n"/>
      <c r="D622" s="127" t="n"/>
      <c r="E622" s="132" t="n"/>
      <c r="F622" s="130" t="n"/>
    </row>
    <row r="623" ht="15" customHeight="1" s="75">
      <c r="A623" s="124" t="n"/>
      <c r="B623" s="124" t="n"/>
      <c r="C623" s="127" t="n"/>
      <c r="D623" s="127" t="n"/>
      <c r="E623" s="132" t="n"/>
      <c r="F623" s="130" t="n"/>
    </row>
    <row r="624" ht="15" customHeight="1" s="75">
      <c r="A624" s="124" t="n"/>
      <c r="B624" s="124" t="n"/>
      <c r="C624" s="127" t="n"/>
      <c r="D624" s="127" t="n"/>
      <c r="E624" s="132" t="n"/>
      <c r="F624" s="130" t="n"/>
    </row>
    <row r="625" ht="15" customHeight="1" s="75">
      <c r="A625" s="124" t="n"/>
      <c r="B625" s="124" t="n"/>
      <c r="C625" s="127" t="n"/>
      <c r="D625" s="127" t="n"/>
      <c r="E625" s="132" t="n"/>
      <c r="F625" s="130" t="n"/>
    </row>
    <row r="626" ht="15" customHeight="1" s="75">
      <c r="A626" s="124" t="n"/>
      <c r="B626" s="124" t="n"/>
      <c r="C626" s="127" t="n"/>
      <c r="D626" s="127" t="n"/>
      <c r="E626" s="132" t="n"/>
      <c r="F626" s="130" t="n"/>
    </row>
    <row r="627" ht="15" customHeight="1" s="75">
      <c r="A627" s="124" t="n"/>
      <c r="B627" s="124" t="n"/>
      <c r="C627" s="127" t="n"/>
      <c r="D627" s="127" t="n"/>
      <c r="E627" s="132" t="n"/>
      <c r="F627" s="130" t="n"/>
    </row>
    <row r="628" ht="15" customHeight="1" s="75">
      <c r="A628" s="124" t="n"/>
      <c r="B628" s="124" t="n"/>
      <c r="C628" s="127" t="n"/>
      <c r="D628" s="127" t="n"/>
      <c r="E628" s="132" t="n"/>
      <c r="F628" s="130" t="n"/>
    </row>
    <row r="629" ht="15" customHeight="1" s="75">
      <c r="A629" s="124" t="n"/>
      <c r="B629" s="124" t="n"/>
      <c r="C629" s="127" t="n"/>
      <c r="D629" s="127" t="n"/>
      <c r="E629" s="132" t="n"/>
      <c r="F629" s="130" t="n"/>
    </row>
    <row r="630" ht="15" customHeight="1" s="75">
      <c r="A630" s="124" t="n"/>
      <c r="B630" s="124" t="n"/>
      <c r="C630" s="127" t="n"/>
      <c r="D630" s="127" t="n"/>
      <c r="E630" s="132" t="n"/>
      <c r="F630" s="130" t="n"/>
    </row>
    <row r="631" ht="15" customHeight="1" s="75">
      <c r="A631" s="124" t="n"/>
      <c r="B631" s="124" t="n"/>
      <c r="C631" s="127" t="n"/>
      <c r="D631" s="127" t="n"/>
      <c r="E631" s="132" t="n"/>
      <c r="F631" s="130" t="n"/>
    </row>
    <row r="632" ht="15" customHeight="1" s="75">
      <c r="A632" s="124" t="n"/>
      <c r="B632" s="124" t="n"/>
      <c r="C632" s="127" t="n"/>
      <c r="D632" s="127" t="n"/>
      <c r="E632" s="132" t="n"/>
      <c r="F632" s="130" t="n"/>
    </row>
    <row r="633" ht="15" customHeight="1" s="75">
      <c r="A633" s="124" t="n"/>
      <c r="B633" s="124" t="n"/>
      <c r="C633" s="127" t="n"/>
      <c r="D633" s="127" t="n"/>
      <c r="E633" s="132" t="n"/>
      <c r="F633" s="130" t="n"/>
    </row>
    <row r="634" ht="15" customHeight="1" s="75">
      <c r="A634" s="124" t="n"/>
      <c r="B634" s="124" t="n"/>
      <c r="C634" s="127" t="n"/>
      <c r="D634" s="127" t="n"/>
      <c r="E634" s="132" t="n"/>
      <c r="F634" s="130" t="n"/>
    </row>
    <row r="635" ht="15" customHeight="1" s="75">
      <c r="A635" s="124" t="n"/>
      <c r="B635" s="124" t="n"/>
      <c r="C635" s="127" t="n"/>
      <c r="D635" s="127" t="n"/>
      <c r="E635" s="132" t="n"/>
      <c r="F635" s="130" t="n"/>
    </row>
    <row r="636" ht="15" customHeight="1" s="75">
      <c r="A636" s="124" t="n"/>
      <c r="B636" s="124" t="n"/>
      <c r="C636" s="127" t="n"/>
      <c r="D636" s="127" t="n"/>
      <c r="E636" s="132" t="n"/>
      <c r="F636" s="130" t="n"/>
    </row>
    <row r="637" ht="15" customHeight="1" s="75">
      <c r="A637" s="124" t="n"/>
      <c r="B637" s="124" t="n"/>
      <c r="C637" s="127" t="n"/>
      <c r="D637" s="127" t="n"/>
      <c r="E637" s="132" t="n"/>
      <c r="F637" s="130" t="n"/>
    </row>
    <row r="638" ht="15" customHeight="1" s="75">
      <c r="A638" s="124" t="n"/>
      <c r="B638" s="124" t="n"/>
      <c r="C638" s="127" t="n"/>
      <c r="D638" s="127" t="n"/>
      <c r="E638" s="132" t="n"/>
      <c r="F638" s="130" t="n"/>
    </row>
    <row r="639" ht="15" customHeight="1" s="75">
      <c r="A639" s="124" t="n"/>
      <c r="B639" s="124" t="n"/>
      <c r="C639" s="127" t="n"/>
      <c r="D639" s="127" t="n"/>
      <c r="E639" s="132" t="n"/>
      <c r="F639" s="130" t="n"/>
    </row>
    <row r="640" ht="15" customHeight="1" s="75">
      <c r="A640" s="124" t="n"/>
      <c r="B640" s="124" t="n"/>
      <c r="C640" s="127" t="n"/>
      <c r="D640" s="127" t="n"/>
      <c r="E640" s="132" t="n"/>
      <c r="F640" s="130" t="n"/>
    </row>
    <row r="641" ht="15" customHeight="1" s="75">
      <c r="A641" s="124" t="n"/>
      <c r="B641" s="124" t="n"/>
      <c r="C641" s="127" t="n"/>
      <c r="D641" s="127" t="n"/>
      <c r="E641" s="132" t="n"/>
      <c r="F641" s="130" t="n"/>
    </row>
    <row r="642" ht="15" customHeight="1" s="75">
      <c r="A642" s="124" t="n"/>
      <c r="B642" s="124" t="n"/>
      <c r="C642" s="127" t="n"/>
      <c r="D642" s="127" t="n"/>
      <c r="E642" s="132" t="n"/>
      <c r="F642" s="130" t="n"/>
    </row>
    <row r="643" ht="15" customHeight="1" s="75">
      <c r="A643" s="124" t="n"/>
      <c r="B643" s="124" t="n"/>
      <c r="C643" s="127" t="n"/>
      <c r="D643" s="127" t="n"/>
      <c r="E643" s="132" t="n"/>
      <c r="F643" s="130" t="n"/>
    </row>
    <row r="644" ht="15" customHeight="1" s="75">
      <c r="A644" s="124" t="n"/>
      <c r="B644" s="124" t="n"/>
      <c r="C644" s="127" t="n"/>
      <c r="D644" s="127" t="n"/>
      <c r="E644" s="132" t="n"/>
      <c r="F644" s="130" t="n"/>
    </row>
    <row r="645" ht="15" customHeight="1" s="75">
      <c r="A645" s="124" t="n"/>
      <c r="B645" s="124" t="n"/>
      <c r="C645" s="127" t="n"/>
      <c r="D645" s="127" t="n"/>
      <c r="E645" s="132" t="n"/>
      <c r="F645" s="130" t="n"/>
    </row>
    <row r="646" ht="15" customHeight="1" s="75">
      <c r="A646" s="124" t="n"/>
      <c r="B646" s="124" t="n"/>
      <c r="C646" s="127" t="n"/>
      <c r="D646" s="127" t="n"/>
      <c r="E646" s="132" t="n"/>
      <c r="F646" s="130" t="n"/>
    </row>
    <row r="647" ht="15" customHeight="1" s="75">
      <c r="A647" s="124" t="n"/>
      <c r="B647" s="124" t="n"/>
      <c r="C647" s="127" t="n"/>
      <c r="D647" s="127" t="n"/>
      <c r="E647" s="132" t="n"/>
      <c r="F647" s="130" t="n"/>
    </row>
    <row r="648" ht="15" customHeight="1" s="75">
      <c r="A648" s="124" t="n"/>
      <c r="B648" s="124" t="n"/>
      <c r="C648" s="127" t="n"/>
      <c r="D648" s="127" t="n"/>
      <c r="E648" s="132" t="n"/>
      <c r="F648" s="130" t="n"/>
    </row>
    <row r="649" ht="15" customHeight="1" s="75">
      <c r="A649" s="124" t="n"/>
      <c r="B649" s="124" t="n"/>
      <c r="C649" s="127" t="n"/>
      <c r="D649" s="127" t="n"/>
      <c r="E649" s="132" t="n"/>
      <c r="F649" s="130" t="n"/>
    </row>
    <row r="650" ht="15" customHeight="1" s="75">
      <c r="A650" s="124" t="n"/>
      <c r="B650" s="124" t="n"/>
      <c r="C650" s="127" t="n"/>
      <c r="D650" s="127" t="n"/>
      <c r="E650" s="132" t="n"/>
      <c r="F650" s="130" t="n"/>
    </row>
    <row r="651" ht="15" customHeight="1" s="75">
      <c r="A651" s="124" t="n"/>
      <c r="B651" s="124" t="n"/>
      <c r="C651" s="127" t="n"/>
      <c r="D651" s="127" t="n"/>
      <c r="E651" s="132" t="n"/>
      <c r="F651" s="130" t="n"/>
    </row>
    <row r="652" ht="15" customHeight="1" s="75">
      <c r="A652" s="124" t="n"/>
      <c r="B652" s="124" t="n"/>
      <c r="C652" s="127" t="n"/>
      <c r="D652" s="127" t="n"/>
      <c r="E652" s="132" t="n"/>
      <c r="F652" s="130" t="n"/>
    </row>
    <row r="653" ht="15" customHeight="1" s="75">
      <c r="A653" s="124" t="n"/>
      <c r="B653" s="124" t="n"/>
      <c r="C653" s="127" t="n"/>
      <c r="D653" s="127" t="n"/>
      <c r="E653" s="132" t="n"/>
      <c r="F653" s="130" t="n"/>
    </row>
    <row r="654" ht="15" customHeight="1" s="75">
      <c r="A654" s="124" t="n"/>
      <c r="B654" s="124" t="n"/>
      <c r="C654" s="127" t="n"/>
      <c r="D654" s="127" t="n"/>
      <c r="E654" s="132" t="n"/>
      <c r="F654" s="130" t="n"/>
    </row>
    <row r="655" ht="15" customHeight="1" s="75">
      <c r="A655" s="124" t="n"/>
      <c r="B655" s="124" t="n"/>
      <c r="C655" s="127" t="n"/>
      <c r="D655" s="127" t="n"/>
      <c r="E655" s="132" t="n"/>
      <c r="F655" s="130" t="n"/>
    </row>
    <row r="656" ht="15" customHeight="1" s="75">
      <c r="A656" s="124" t="n"/>
      <c r="B656" s="124" t="n"/>
      <c r="C656" s="127" t="n"/>
      <c r="D656" s="127" t="n"/>
      <c r="E656" s="132" t="n"/>
      <c r="F656" s="130" t="n"/>
    </row>
    <row r="657" ht="15" customHeight="1" s="75">
      <c r="A657" s="124" t="n"/>
      <c r="B657" s="124" t="n"/>
      <c r="C657" s="127" t="n"/>
      <c r="D657" s="127" t="n"/>
      <c r="E657" s="132" t="n"/>
      <c r="F657" s="130" t="n"/>
    </row>
    <row r="658" ht="15" customHeight="1" s="75">
      <c r="A658" s="124" t="n"/>
      <c r="B658" s="124" t="n"/>
      <c r="C658" s="127" t="n"/>
      <c r="D658" s="127" t="n"/>
      <c r="E658" s="132" t="n"/>
      <c r="F658" s="130" t="n"/>
    </row>
    <row r="659" ht="15" customHeight="1" s="75">
      <c r="A659" s="124" t="n"/>
      <c r="B659" s="124" t="n"/>
      <c r="C659" s="127" t="n"/>
      <c r="D659" s="127" t="n"/>
      <c r="E659" s="132" t="n"/>
      <c r="F659" s="130" t="n"/>
    </row>
    <row r="660" ht="15" customHeight="1" s="75">
      <c r="A660" s="124" t="n"/>
      <c r="B660" s="124" t="n"/>
      <c r="C660" s="127" t="n"/>
      <c r="D660" s="127" t="n"/>
      <c r="E660" s="132" t="n"/>
      <c r="F660" s="130" t="n"/>
    </row>
    <row r="661" ht="15" customHeight="1" s="75">
      <c r="A661" s="124" t="n"/>
      <c r="B661" s="124" t="n"/>
      <c r="C661" s="127" t="n"/>
      <c r="D661" s="127" t="n"/>
      <c r="E661" s="132" t="n"/>
      <c r="F661" s="130" t="n"/>
    </row>
    <row r="662" ht="15" customHeight="1" s="75">
      <c r="A662" s="124" t="n"/>
      <c r="B662" s="124" t="n"/>
      <c r="C662" s="127" t="n"/>
      <c r="D662" s="127" t="n"/>
      <c r="E662" s="132" t="n"/>
      <c r="F662" s="130" t="n"/>
    </row>
    <row r="663" ht="15" customHeight="1" s="75">
      <c r="A663" s="124" t="n"/>
      <c r="B663" s="124" t="n"/>
      <c r="C663" s="127" t="n"/>
      <c r="D663" s="127" t="n"/>
      <c r="E663" s="132" t="n"/>
      <c r="F663" s="130" t="n"/>
    </row>
    <row r="664" ht="15" customHeight="1" s="75">
      <c r="A664" s="124" t="n"/>
      <c r="B664" s="124" t="n"/>
      <c r="C664" s="127" t="n"/>
      <c r="D664" s="127" t="n"/>
      <c r="E664" s="132" t="n"/>
      <c r="F664" s="130" t="n"/>
    </row>
    <row r="665" ht="15" customHeight="1" s="75">
      <c r="A665" s="124" t="n"/>
      <c r="B665" s="124" t="n"/>
      <c r="C665" s="127" t="n"/>
      <c r="D665" s="127" t="n"/>
      <c r="E665" s="132" t="n"/>
      <c r="F665" s="130" t="n"/>
    </row>
    <row r="666" ht="15" customHeight="1" s="75">
      <c r="A666" s="124" t="n"/>
      <c r="B666" s="124" t="n"/>
      <c r="C666" s="127" t="n"/>
      <c r="D666" s="127" t="n"/>
      <c r="E666" s="132" t="n"/>
      <c r="F666" s="130" t="n"/>
    </row>
    <row r="667" ht="15" customHeight="1" s="75">
      <c r="A667" s="124" t="n"/>
      <c r="B667" s="124" t="n"/>
      <c r="C667" s="127" t="n"/>
      <c r="D667" s="127" t="n"/>
      <c r="E667" s="132" t="n"/>
      <c r="F667" s="130" t="n"/>
    </row>
    <row r="668" ht="15" customHeight="1" s="75">
      <c r="A668" s="124" t="n"/>
      <c r="B668" s="124" t="n"/>
      <c r="C668" s="127" t="n"/>
      <c r="D668" s="127" t="n"/>
      <c r="E668" s="132" t="n"/>
      <c r="F668" s="130" t="n"/>
    </row>
    <row r="669" ht="15" customHeight="1" s="75">
      <c r="A669" s="124" t="n"/>
      <c r="B669" s="124" t="n"/>
      <c r="C669" s="127" t="n"/>
      <c r="D669" s="127" t="n"/>
      <c r="E669" s="132" t="n"/>
      <c r="F669" s="130" t="n"/>
    </row>
    <row r="670" ht="15" customHeight="1" s="75">
      <c r="A670" s="124" t="n"/>
      <c r="B670" s="124" t="n"/>
      <c r="C670" s="127" t="n"/>
      <c r="D670" s="127" t="n"/>
      <c r="E670" s="132" t="n"/>
      <c r="F670" s="130" t="n"/>
    </row>
    <row r="671" ht="15" customHeight="1" s="75">
      <c r="A671" s="124" t="n"/>
      <c r="B671" s="124" t="n"/>
      <c r="C671" s="127" t="n"/>
      <c r="D671" s="127" t="n"/>
      <c r="E671" s="132" t="n"/>
      <c r="F671" s="130" t="n"/>
    </row>
    <row r="672" ht="15" customHeight="1" s="75">
      <c r="A672" s="124" t="n"/>
      <c r="B672" s="124" t="n"/>
      <c r="C672" s="127" t="n"/>
      <c r="D672" s="127" t="n"/>
      <c r="E672" s="132" t="n"/>
      <c r="F672" s="130" t="n"/>
    </row>
    <row r="673" ht="15" customHeight="1" s="75">
      <c r="A673" s="124" t="n"/>
      <c r="B673" s="124" t="n"/>
      <c r="C673" s="127" t="n"/>
      <c r="D673" s="127" t="n"/>
      <c r="E673" s="132" t="n"/>
      <c r="F673" s="130" t="n"/>
    </row>
    <row r="674" ht="15" customHeight="1" s="75">
      <c r="A674" s="124" t="n"/>
      <c r="B674" s="124" t="n"/>
      <c r="C674" s="127" t="n"/>
      <c r="D674" s="127" t="n"/>
      <c r="E674" s="132" t="n"/>
      <c r="F674" s="130" t="n"/>
    </row>
    <row r="675" ht="15" customHeight="1" s="75">
      <c r="A675" s="124" t="n"/>
      <c r="B675" s="124" t="n"/>
      <c r="C675" s="127" t="n"/>
      <c r="D675" s="127" t="n"/>
      <c r="E675" s="132" t="n"/>
      <c r="F675" s="130" t="n"/>
    </row>
    <row r="676" ht="15" customHeight="1" s="75">
      <c r="A676" s="124" t="n"/>
      <c r="B676" s="124" t="n"/>
      <c r="C676" s="127" t="n"/>
      <c r="D676" s="127" t="n"/>
      <c r="E676" s="132" t="n"/>
      <c r="F676" s="130" t="n"/>
    </row>
    <row r="677" ht="15" customHeight="1" s="75">
      <c r="A677" s="124" t="n"/>
      <c r="B677" s="124" t="n"/>
      <c r="C677" s="127" t="n"/>
      <c r="D677" s="127" t="n"/>
      <c r="E677" s="132" t="n"/>
      <c r="F677" s="130" t="n"/>
    </row>
    <row r="678" ht="15" customHeight="1" s="75">
      <c r="A678" s="124" t="n"/>
      <c r="B678" s="124" t="n"/>
      <c r="C678" s="127" t="n"/>
      <c r="D678" s="127" t="n"/>
      <c r="E678" s="132" t="n"/>
      <c r="F678" s="130" t="n"/>
    </row>
    <row r="679" ht="15" customHeight="1" s="75">
      <c r="A679" s="124" t="n"/>
      <c r="B679" s="124" t="n"/>
      <c r="C679" s="127" t="n"/>
      <c r="D679" s="127" t="n"/>
      <c r="E679" s="132" t="n"/>
      <c r="F679" s="130" t="n"/>
    </row>
    <row r="680" ht="15" customHeight="1" s="75">
      <c r="A680" s="124" t="n"/>
      <c r="B680" s="124" t="n"/>
      <c r="C680" s="127" t="n"/>
      <c r="D680" s="127" t="n"/>
      <c r="E680" s="132" t="n"/>
      <c r="F680" s="130" t="n"/>
    </row>
    <row r="681" ht="15" customHeight="1" s="75">
      <c r="A681" s="124" t="n"/>
      <c r="B681" s="124" t="n"/>
      <c r="C681" s="127" t="n"/>
      <c r="D681" s="127" t="n"/>
      <c r="E681" s="132" t="n"/>
      <c r="F681" s="130" t="n"/>
    </row>
    <row r="682" ht="15" customHeight="1" s="75">
      <c r="A682" s="124" t="n"/>
      <c r="B682" s="124" t="n"/>
      <c r="C682" s="127" t="n"/>
      <c r="D682" s="127" t="n"/>
      <c r="E682" s="132" t="n"/>
      <c r="F682" s="130" t="n"/>
    </row>
    <row r="683" ht="15" customHeight="1" s="75">
      <c r="A683" s="124" t="n"/>
      <c r="B683" s="124" t="n"/>
      <c r="C683" s="127" t="n"/>
      <c r="D683" s="127" t="n"/>
      <c r="E683" s="132" t="n"/>
      <c r="F683" s="130" t="n"/>
    </row>
    <row r="684" ht="15" customHeight="1" s="75">
      <c r="A684" s="124" t="n"/>
      <c r="B684" s="124" t="n"/>
      <c r="C684" s="127" t="n"/>
      <c r="D684" s="127" t="n"/>
      <c r="E684" s="132" t="n"/>
      <c r="F684" s="130" t="n"/>
    </row>
    <row r="685" ht="15" customHeight="1" s="75">
      <c r="A685" s="124" t="n"/>
      <c r="B685" s="124" t="n"/>
      <c r="C685" s="127" t="n"/>
      <c r="D685" s="127" t="n"/>
      <c r="E685" s="132" t="n"/>
      <c r="F685" s="130" t="n"/>
    </row>
    <row r="686" ht="15" customHeight="1" s="75">
      <c r="A686" s="124" t="n"/>
      <c r="B686" s="124" t="n"/>
      <c r="C686" s="127" t="n"/>
      <c r="D686" s="127" t="n"/>
      <c r="E686" s="132" t="n"/>
      <c r="F686" s="130" t="n"/>
    </row>
    <row r="687" ht="15" customHeight="1" s="75">
      <c r="A687" s="124" t="n"/>
      <c r="B687" s="124" t="n"/>
      <c r="C687" s="127" t="n"/>
      <c r="D687" s="127" t="n"/>
      <c r="E687" s="132" t="n"/>
      <c r="F687" s="130" t="n"/>
    </row>
    <row r="688" ht="15" customHeight="1" s="75">
      <c r="A688" s="124" t="n"/>
      <c r="B688" s="124" t="n"/>
      <c r="C688" s="127" t="n"/>
      <c r="D688" s="127" t="n"/>
      <c r="E688" s="132" t="n"/>
      <c r="F688" s="130" t="n"/>
    </row>
    <row r="689" ht="15" customHeight="1" s="75">
      <c r="A689" s="124" t="n"/>
      <c r="B689" s="124" t="n"/>
      <c r="C689" s="127" t="n"/>
      <c r="D689" s="127" t="n"/>
      <c r="E689" s="132" t="n"/>
      <c r="F689" s="130" t="n"/>
    </row>
    <row r="690" ht="15" customHeight="1" s="75">
      <c r="A690" s="124" t="n"/>
      <c r="B690" s="124" t="n"/>
      <c r="C690" s="127" t="n"/>
      <c r="D690" s="127" t="n"/>
      <c r="E690" s="132" t="n"/>
      <c r="F690" s="130" t="n"/>
    </row>
    <row r="691" ht="15" customHeight="1" s="75">
      <c r="A691" s="124" t="n"/>
      <c r="B691" s="124" t="n"/>
      <c r="C691" s="127" t="n"/>
      <c r="D691" s="127" t="n"/>
      <c r="E691" s="132" t="n"/>
      <c r="F691" s="130" t="n"/>
    </row>
    <row r="692" ht="15" customHeight="1" s="75">
      <c r="A692" s="124" t="n"/>
      <c r="B692" s="124" t="n"/>
      <c r="C692" s="127" t="n"/>
      <c r="D692" s="127" t="n"/>
      <c r="E692" s="132" t="n"/>
      <c r="F692" s="130" t="n"/>
    </row>
    <row r="693" ht="15" customHeight="1" s="75">
      <c r="A693" s="124" t="n"/>
      <c r="B693" s="124" t="n"/>
      <c r="C693" s="127" t="n"/>
      <c r="D693" s="127" t="n"/>
      <c r="E693" s="132" t="n"/>
      <c r="F693" s="130" t="n"/>
    </row>
    <row r="694" ht="15" customHeight="1" s="75">
      <c r="A694" s="124" t="n"/>
      <c r="B694" s="124" t="n"/>
      <c r="C694" s="127" t="n"/>
      <c r="D694" s="127" t="n"/>
      <c r="E694" s="132" t="n"/>
      <c r="F694" s="130" t="n"/>
    </row>
    <row r="695" ht="15" customHeight="1" s="75">
      <c r="A695" s="124" t="n"/>
      <c r="B695" s="124" t="n"/>
      <c r="C695" s="127" t="n"/>
      <c r="D695" s="127" t="n"/>
      <c r="E695" s="132" t="n"/>
      <c r="F695" s="130" t="n"/>
    </row>
    <row r="696" ht="15" customHeight="1" s="75">
      <c r="A696" s="124" t="n"/>
      <c r="B696" s="124" t="n"/>
      <c r="C696" s="127" t="n"/>
      <c r="D696" s="127" t="n"/>
      <c r="E696" s="132" t="n"/>
      <c r="F696" s="130" t="n"/>
    </row>
    <row r="697" ht="15" customHeight="1" s="75">
      <c r="A697" s="124" t="n"/>
      <c r="B697" s="124" t="n"/>
      <c r="C697" s="127" t="n"/>
      <c r="D697" s="127" t="n"/>
      <c r="E697" s="132" t="n"/>
      <c r="F697" s="130" t="n"/>
    </row>
    <row r="698" ht="15" customHeight="1" s="75">
      <c r="A698" s="124" t="n"/>
      <c r="B698" s="124" t="n"/>
      <c r="C698" s="127" t="n"/>
      <c r="D698" s="127" t="n"/>
      <c r="E698" s="132" t="n"/>
      <c r="F698" s="130" t="n"/>
    </row>
    <row r="699" ht="15" customHeight="1" s="75">
      <c r="A699" s="124" t="n"/>
      <c r="B699" s="124" t="n"/>
      <c r="C699" s="127" t="n"/>
      <c r="D699" s="127" t="n"/>
      <c r="E699" s="132" t="n"/>
      <c r="F699" s="130" t="n"/>
    </row>
    <row r="700" ht="15" customHeight="1" s="75">
      <c r="A700" s="124" t="n"/>
      <c r="B700" s="124" t="n"/>
      <c r="C700" s="127" t="n"/>
      <c r="D700" s="127" t="n"/>
      <c r="E700" s="132" t="n"/>
      <c r="F700" s="130" t="n"/>
    </row>
    <row r="701" ht="15" customHeight="1" s="75">
      <c r="A701" s="124" t="n"/>
      <c r="B701" s="124" t="n"/>
      <c r="C701" s="127" t="n"/>
      <c r="D701" s="127" t="n"/>
      <c r="E701" s="132" t="n"/>
      <c r="F701" s="130" t="n"/>
    </row>
    <row r="702" ht="15" customHeight="1" s="75">
      <c r="A702" s="124" t="n"/>
      <c r="B702" s="124" t="n"/>
      <c r="C702" s="127" t="n"/>
      <c r="D702" s="127" t="n"/>
      <c r="E702" s="132" t="n"/>
      <c r="F702" s="130" t="n"/>
    </row>
    <row r="703" ht="15" customHeight="1" s="75">
      <c r="A703" s="124" t="n"/>
      <c r="B703" s="124" t="n"/>
      <c r="C703" s="127" t="n"/>
      <c r="D703" s="127" t="n"/>
      <c r="E703" s="132" t="n"/>
      <c r="F703" s="130" t="n"/>
    </row>
    <row r="704" ht="15" customHeight="1" s="75">
      <c r="A704" s="124" t="n"/>
      <c r="B704" s="124" t="n"/>
      <c r="C704" s="127" t="n"/>
      <c r="D704" s="127" t="n"/>
      <c r="E704" s="132" t="n"/>
      <c r="F704" s="130" t="n"/>
    </row>
    <row r="705" ht="15" customHeight="1" s="75">
      <c r="A705" s="124" t="n"/>
      <c r="B705" s="124" t="n"/>
      <c r="C705" s="127" t="n"/>
      <c r="D705" s="127" t="n"/>
      <c r="E705" s="132" t="n"/>
      <c r="F705" s="130" t="n"/>
    </row>
    <row r="706" ht="15" customHeight="1" s="75">
      <c r="A706" s="124" t="n"/>
      <c r="B706" s="124" t="n"/>
      <c r="C706" s="127" t="n"/>
      <c r="D706" s="127" t="n"/>
      <c r="E706" s="132" t="n"/>
      <c r="F706" s="130" t="n"/>
    </row>
    <row r="707" ht="15" customHeight="1" s="75">
      <c r="A707" s="124" t="n"/>
      <c r="B707" s="124" t="n"/>
      <c r="C707" s="127" t="n"/>
      <c r="D707" s="127" t="n"/>
      <c r="E707" s="132" t="n"/>
      <c r="F707" s="130" t="n"/>
    </row>
    <row r="708" ht="15" customHeight="1" s="75">
      <c r="A708" s="124" t="n"/>
      <c r="B708" s="124" t="n"/>
      <c r="C708" s="127" t="n"/>
      <c r="D708" s="127" t="n"/>
      <c r="E708" s="132" t="n"/>
      <c r="F708" s="130" t="n"/>
    </row>
    <row r="709" ht="15" customHeight="1" s="75">
      <c r="A709" s="124" t="n"/>
      <c r="B709" s="124" t="n"/>
      <c r="C709" s="127" t="n"/>
      <c r="D709" s="127" t="n"/>
      <c r="E709" s="132" t="n"/>
      <c r="F709" s="130" t="n"/>
    </row>
    <row r="710" ht="15" customHeight="1" s="75">
      <c r="A710" s="124" t="n"/>
      <c r="B710" s="124" t="n"/>
      <c r="C710" s="127" t="n"/>
      <c r="D710" s="127" t="n"/>
      <c r="E710" s="132" t="n"/>
      <c r="F710" s="130" t="n"/>
    </row>
    <row r="711" ht="15" customHeight="1" s="75">
      <c r="A711" s="124" t="n"/>
      <c r="B711" s="124" t="n"/>
      <c r="C711" s="127" t="n"/>
      <c r="D711" s="127" t="n"/>
      <c r="E711" s="132" t="n"/>
      <c r="F711" s="130" t="n"/>
    </row>
    <row r="712" ht="15" customHeight="1" s="75">
      <c r="A712" s="124" t="n"/>
      <c r="B712" s="124" t="n"/>
      <c r="C712" s="127" t="n"/>
      <c r="D712" s="127" t="n"/>
      <c r="E712" s="132" t="n"/>
      <c r="F712" s="130" t="n"/>
    </row>
    <row r="713" ht="15" customHeight="1" s="75">
      <c r="A713" s="124" t="n"/>
      <c r="B713" s="124" t="n"/>
      <c r="C713" s="127" t="n"/>
      <c r="D713" s="127" t="n"/>
      <c r="E713" s="132" t="n"/>
      <c r="F713" s="130" t="n"/>
    </row>
    <row r="714" ht="15" customHeight="1" s="75">
      <c r="A714" s="124" t="n"/>
      <c r="B714" s="124" t="n"/>
      <c r="C714" s="127" t="n"/>
      <c r="D714" s="127" t="n"/>
      <c r="E714" s="132" t="n"/>
      <c r="F714" s="130" t="n"/>
    </row>
    <row r="715" ht="15" customHeight="1" s="75">
      <c r="A715" s="124" t="n"/>
      <c r="B715" s="124" t="n"/>
      <c r="C715" s="127" t="n"/>
      <c r="D715" s="127" t="n"/>
      <c r="E715" s="132" t="n"/>
      <c r="F715" s="130" t="n"/>
    </row>
    <row r="716" ht="15" customHeight="1" s="75">
      <c r="A716" s="124" t="n"/>
      <c r="B716" s="124" t="n"/>
      <c r="C716" s="127" t="n"/>
      <c r="D716" s="127" t="n"/>
      <c r="E716" s="132" t="n"/>
      <c r="F716" s="130" t="n"/>
    </row>
    <row r="717" ht="15" customHeight="1" s="75">
      <c r="A717" s="124" t="n"/>
      <c r="B717" s="124" t="n"/>
      <c r="C717" s="127" t="n"/>
      <c r="D717" s="127" t="n"/>
      <c r="E717" s="132" t="n"/>
      <c r="F717" s="130" t="n"/>
    </row>
    <row r="718" ht="15" customHeight="1" s="75">
      <c r="A718" s="124" t="n"/>
      <c r="B718" s="124" t="n"/>
      <c r="C718" s="127" t="n"/>
      <c r="D718" s="127" t="n"/>
      <c r="E718" s="132" t="n"/>
      <c r="F718" s="130" t="n"/>
    </row>
    <row r="719" ht="15" customHeight="1" s="75">
      <c r="A719" s="124" t="n"/>
      <c r="B719" s="124" t="n"/>
      <c r="C719" s="127" t="n"/>
      <c r="D719" s="127" t="n"/>
      <c r="E719" s="132" t="n"/>
      <c r="F719" s="130" t="n"/>
    </row>
    <row r="720" ht="15" customHeight="1" s="75">
      <c r="A720" s="124" t="n"/>
      <c r="B720" s="124" t="n"/>
      <c r="C720" s="127" t="n"/>
      <c r="D720" s="127" t="n"/>
      <c r="E720" s="132" t="n"/>
      <c r="F720" s="130" t="n"/>
    </row>
    <row r="721" ht="15" customHeight="1" s="75">
      <c r="A721" s="124" t="n"/>
      <c r="B721" s="124" t="n"/>
      <c r="C721" s="127" t="n"/>
      <c r="D721" s="127" t="n"/>
      <c r="E721" s="132" t="n"/>
      <c r="F721" s="130" t="n"/>
    </row>
    <row r="722" ht="15" customHeight="1" s="75">
      <c r="A722" s="124" t="n"/>
      <c r="B722" s="124" t="n"/>
      <c r="C722" s="127" t="n"/>
      <c r="D722" s="127" t="n"/>
      <c r="E722" s="132" t="n"/>
      <c r="F722" s="130" t="n"/>
    </row>
    <row r="723" ht="15" customHeight="1" s="75">
      <c r="A723" s="124" t="n"/>
      <c r="B723" s="124" t="n"/>
      <c r="C723" s="127" t="n"/>
      <c r="D723" s="127" t="n"/>
      <c r="E723" s="132" t="n"/>
      <c r="F723" s="130" t="n"/>
    </row>
    <row r="724" ht="15" customHeight="1" s="75">
      <c r="A724" s="124" t="n"/>
      <c r="B724" s="124" t="n"/>
      <c r="C724" s="127" t="n"/>
      <c r="D724" s="127" t="n"/>
      <c r="E724" s="132" t="n"/>
      <c r="F724" s="130" t="n"/>
    </row>
    <row r="725" ht="15" customHeight="1" s="75">
      <c r="A725" s="124" t="n"/>
      <c r="B725" s="124" t="n"/>
      <c r="C725" s="127" t="n"/>
      <c r="D725" s="127" t="n"/>
      <c r="E725" s="132" t="n"/>
      <c r="F725" s="130" t="n"/>
    </row>
    <row r="726" ht="15" customHeight="1" s="75">
      <c r="A726" s="124" t="n"/>
      <c r="B726" s="124" t="n"/>
      <c r="C726" s="127" t="n"/>
      <c r="D726" s="127" t="n"/>
      <c r="E726" s="132" t="n"/>
      <c r="F726" s="130" t="n"/>
    </row>
    <row r="727" ht="15" customHeight="1" s="75">
      <c r="A727" s="124" t="n"/>
      <c r="B727" s="124" t="n"/>
      <c r="C727" s="127" t="n"/>
      <c r="D727" s="127" t="n"/>
      <c r="E727" s="132" t="n"/>
      <c r="F727" s="130" t="n"/>
    </row>
    <row r="728" ht="15" customHeight="1" s="75">
      <c r="A728" s="124" t="n"/>
      <c r="B728" s="124" t="n"/>
      <c r="C728" s="127" t="n"/>
      <c r="D728" s="127" t="n"/>
      <c r="E728" s="132" t="n"/>
      <c r="F728" s="130" t="n"/>
    </row>
    <row r="729" ht="15" customHeight="1" s="75">
      <c r="A729" s="124" t="n"/>
      <c r="B729" s="124" t="n"/>
      <c r="C729" s="127" t="n"/>
      <c r="D729" s="127" t="n"/>
      <c r="E729" s="132" t="n"/>
      <c r="F729" s="130" t="n"/>
    </row>
    <row r="730" ht="15" customHeight="1" s="75">
      <c r="A730" s="124" t="n"/>
      <c r="B730" s="124" t="n"/>
      <c r="C730" s="127" t="n"/>
      <c r="D730" s="127" t="n"/>
      <c r="E730" s="132" t="n"/>
      <c r="F730" s="130" t="n"/>
    </row>
    <row r="731" ht="15" customHeight="1" s="75">
      <c r="A731" s="124" t="n"/>
      <c r="B731" s="124" t="n"/>
      <c r="C731" s="127" t="n"/>
      <c r="D731" s="127" t="n"/>
      <c r="E731" s="132" t="n"/>
      <c r="F731" s="130" t="n"/>
    </row>
    <row r="732" ht="15" customHeight="1" s="75">
      <c r="A732" s="124" t="n"/>
      <c r="B732" s="124" t="n"/>
      <c r="C732" s="127" t="n"/>
      <c r="D732" s="127" t="n"/>
      <c r="E732" s="132" t="n"/>
      <c r="F732" s="130" t="n"/>
    </row>
    <row r="733" ht="15" customHeight="1" s="75">
      <c r="A733" s="124" t="n"/>
      <c r="B733" s="124" t="n"/>
      <c r="C733" s="127" t="n"/>
      <c r="D733" s="127" t="n"/>
      <c r="E733" s="132" t="n"/>
      <c r="F733" s="130" t="n"/>
    </row>
    <row r="734" ht="15" customHeight="1" s="75">
      <c r="A734" s="124" t="n"/>
      <c r="B734" s="124" t="n"/>
      <c r="C734" s="127" t="n"/>
      <c r="D734" s="127" t="n"/>
      <c r="E734" s="132" t="n"/>
      <c r="F734" s="130" t="n"/>
    </row>
    <row r="735" ht="15" customHeight="1" s="75">
      <c r="A735" s="124" t="n"/>
      <c r="B735" s="124" t="n"/>
      <c r="C735" s="127" t="n"/>
      <c r="D735" s="127" t="n"/>
      <c r="E735" s="132" t="n"/>
      <c r="F735" s="130" t="n"/>
    </row>
    <row r="736" ht="15" customHeight="1" s="75">
      <c r="A736" s="124" t="n"/>
      <c r="B736" s="124" t="n"/>
      <c r="C736" s="127" t="n"/>
      <c r="D736" s="127" t="n"/>
      <c r="E736" s="132" t="n"/>
      <c r="F736" s="130" t="n"/>
    </row>
    <row r="737" ht="15" customHeight="1" s="75">
      <c r="A737" s="124" t="n"/>
      <c r="B737" s="124" t="n"/>
      <c r="C737" s="127" t="n"/>
      <c r="D737" s="127" t="n"/>
      <c r="E737" s="132" t="n"/>
      <c r="F737" s="130" t="n"/>
    </row>
    <row r="738" ht="15" customHeight="1" s="75">
      <c r="A738" s="124" t="n"/>
      <c r="B738" s="124" t="n"/>
      <c r="C738" s="127" t="n"/>
      <c r="D738" s="127" t="n"/>
      <c r="E738" s="132" t="n"/>
      <c r="F738" s="130" t="n"/>
    </row>
    <row r="739" ht="15" customHeight="1" s="75">
      <c r="A739" s="124" t="n"/>
      <c r="B739" s="124" t="n"/>
      <c r="C739" s="127" t="n"/>
      <c r="D739" s="127" t="n"/>
      <c r="E739" s="132" t="n"/>
      <c r="F739" s="130" t="n"/>
    </row>
    <row r="740" ht="15" customHeight="1" s="75">
      <c r="A740" s="124" t="n"/>
      <c r="B740" s="124" t="n"/>
      <c r="C740" s="127" t="n"/>
      <c r="D740" s="127" t="n"/>
      <c r="E740" s="132" t="n"/>
      <c r="F740" s="130" t="n"/>
    </row>
    <row r="741" ht="15" customHeight="1" s="75">
      <c r="A741" s="124" t="n"/>
      <c r="B741" s="124" t="n"/>
      <c r="C741" s="127" t="n"/>
      <c r="D741" s="127" t="n"/>
      <c r="E741" s="132" t="n"/>
      <c r="F741" s="130" t="n"/>
    </row>
    <row r="742" ht="15" customHeight="1" s="75">
      <c r="A742" s="124" t="n"/>
      <c r="B742" s="124" t="n"/>
      <c r="C742" s="127" t="n"/>
      <c r="D742" s="127" t="n"/>
      <c r="E742" s="132" t="n"/>
      <c r="F742" s="130" t="n"/>
    </row>
    <row r="743" ht="15" customHeight="1" s="75">
      <c r="A743" s="124" t="n"/>
      <c r="B743" s="124" t="n"/>
      <c r="C743" s="127" t="n"/>
      <c r="D743" s="127" t="n"/>
      <c r="E743" s="132" t="n"/>
      <c r="F743" s="130" t="n"/>
    </row>
    <row r="744" ht="15" customHeight="1" s="75">
      <c r="A744" s="124" t="n"/>
      <c r="B744" s="124" t="n"/>
      <c r="C744" s="127" t="n"/>
      <c r="D744" s="127" t="n"/>
      <c r="E744" s="132" t="n"/>
      <c r="F744" s="130" t="n"/>
    </row>
    <row r="745" ht="15" customHeight="1" s="75">
      <c r="A745" s="124" t="n"/>
      <c r="B745" s="124" t="n"/>
      <c r="C745" s="127" t="n"/>
      <c r="D745" s="127" t="n"/>
      <c r="E745" s="132" t="n"/>
      <c r="F745" s="130" t="n"/>
    </row>
    <row r="746" ht="15" customHeight="1" s="75">
      <c r="A746" s="124" t="n"/>
      <c r="B746" s="124" t="n"/>
      <c r="C746" s="127" t="n"/>
      <c r="D746" s="127" t="n"/>
      <c r="E746" s="132" t="n"/>
      <c r="F746" s="130" t="n"/>
    </row>
    <row r="747" ht="15" customHeight="1" s="75">
      <c r="A747" s="124" t="n"/>
      <c r="B747" s="124" t="n"/>
      <c r="C747" s="127" t="n"/>
      <c r="D747" s="127" t="n"/>
      <c r="E747" s="132" t="n"/>
      <c r="F747" s="130" t="n"/>
    </row>
    <row r="748" ht="15" customHeight="1" s="75">
      <c r="A748" s="124" t="n"/>
      <c r="B748" s="124" t="n"/>
      <c r="C748" s="127" t="n"/>
      <c r="D748" s="127" t="n"/>
      <c r="E748" s="132" t="n"/>
      <c r="F748" s="130" t="n"/>
    </row>
    <row r="749" ht="15" customHeight="1" s="75">
      <c r="A749" s="124" t="n"/>
      <c r="B749" s="124" t="n"/>
      <c r="C749" s="127" t="n"/>
      <c r="D749" s="127" t="n"/>
      <c r="E749" s="132" t="n"/>
      <c r="F749" s="130" t="n"/>
    </row>
    <row r="750" ht="15" customHeight="1" s="75">
      <c r="A750" s="124" t="n"/>
      <c r="B750" s="124" t="n"/>
      <c r="C750" s="127" t="n"/>
      <c r="D750" s="127" t="n"/>
      <c r="E750" s="132" t="n"/>
      <c r="F750" s="130" t="n"/>
    </row>
    <row r="751" ht="15" customHeight="1" s="75">
      <c r="A751" s="124" t="n"/>
      <c r="B751" s="124" t="n"/>
      <c r="C751" s="127" t="n"/>
      <c r="D751" s="127" t="n"/>
      <c r="E751" s="132" t="n"/>
      <c r="F751" s="130" t="n"/>
    </row>
    <row r="752" ht="15" customHeight="1" s="75">
      <c r="A752" s="124" t="n"/>
      <c r="B752" s="124" t="n"/>
      <c r="C752" s="127" t="n"/>
      <c r="D752" s="127" t="n"/>
      <c r="E752" s="132" t="n"/>
      <c r="F752" s="130" t="n"/>
    </row>
    <row r="753" ht="15" customHeight="1" s="75">
      <c r="A753" s="124" t="n"/>
      <c r="B753" s="124" t="n"/>
      <c r="C753" s="127" t="n"/>
      <c r="D753" s="127" t="n"/>
      <c r="E753" s="132" t="n"/>
      <c r="F753" s="130" t="n"/>
    </row>
    <row r="754" ht="15" customHeight="1" s="75">
      <c r="A754" s="124" t="n"/>
      <c r="B754" s="124" t="n"/>
      <c r="C754" s="127" t="n"/>
      <c r="D754" s="127" t="n"/>
      <c r="E754" s="132" t="n"/>
      <c r="F754" s="130" t="n"/>
    </row>
    <row r="755" ht="15" customHeight="1" s="75">
      <c r="A755" s="124" t="n"/>
      <c r="B755" s="124" t="n"/>
      <c r="C755" s="127" t="n"/>
      <c r="D755" s="127" t="n"/>
      <c r="E755" s="132" t="n"/>
      <c r="F755" s="130" t="n"/>
    </row>
    <row r="756" ht="15" customHeight="1" s="75">
      <c r="A756" s="124" t="n"/>
      <c r="B756" s="124" t="n"/>
      <c r="C756" s="127" t="n"/>
      <c r="D756" s="127" t="n"/>
      <c r="E756" s="132" t="n"/>
      <c r="F756" s="130" t="n"/>
    </row>
    <row r="757" ht="15" customHeight="1" s="75">
      <c r="A757" s="124" t="n"/>
      <c r="B757" s="124" t="n"/>
      <c r="C757" s="127" t="n"/>
      <c r="D757" s="127" t="n"/>
      <c r="E757" s="132" t="n"/>
      <c r="F757" s="130" t="n"/>
    </row>
    <row r="758" ht="15" customHeight="1" s="75">
      <c r="A758" s="124" t="n"/>
      <c r="B758" s="124" t="n"/>
      <c r="C758" s="127" t="n"/>
      <c r="D758" s="127" t="n"/>
      <c r="E758" s="132" t="n"/>
      <c r="F758" s="130" t="n"/>
    </row>
    <row r="759" ht="15" customHeight="1" s="75">
      <c r="A759" s="124" t="n"/>
      <c r="B759" s="124" t="n"/>
      <c r="C759" s="127" t="n"/>
      <c r="D759" s="127" t="n"/>
      <c r="E759" s="132" t="n"/>
      <c r="F759" s="130" t="n"/>
    </row>
    <row r="760" ht="15" customHeight="1" s="75">
      <c r="A760" s="124" t="n"/>
      <c r="B760" s="124" t="n"/>
      <c r="C760" s="127" t="n"/>
      <c r="D760" s="127" t="n"/>
      <c r="E760" s="132" t="n"/>
      <c r="F760" s="130" t="n"/>
    </row>
    <row r="761" ht="15" customHeight="1" s="75">
      <c r="A761" s="124" t="n"/>
      <c r="B761" s="124" t="n"/>
      <c r="C761" s="127" t="n"/>
      <c r="D761" s="127" t="n"/>
      <c r="E761" s="132" t="n"/>
      <c r="F761" s="130" t="n"/>
    </row>
    <row r="762" ht="15" customHeight="1" s="75">
      <c r="A762" s="124" t="n"/>
      <c r="B762" s="124" t="n"/>
      <c r="C762" s="127" t="n"/>
      <c r="D762" s="127" t="n"/>
      <c r="E762" s="132" t="n"/>
      <c r="F762" s="130" t="n"/>
    </row>
    <row r="763" ht="15" customHeight="1" s="75">
      <c r="A763" s="124" t="n"/>
      <c r="B763" s="124" t="n"/>
      <c r="C763" s="127" t="n"/>
      <c r="D763" s="127" t="n"/>
      <c r="E763" s="132" t="n"/>
      <c r="F763" s="130" t="n"/>
    </row>
    <row r="764" ht="15" customHeight="1" s="75">
      <c r="A764" s="124" t="n"/>
      <c r="B764" s="124" t="n"/>
      <c r="C764" s="127" t="n"/>
      <c r="D764" s="127" t="n"/>
      <c r="E764" s="132" t="n"/>
      <c r="F764" s="130" t="n"/>
    </row>
    <row r="765" ht="15" customHeight="1" s="75">
      <c r="A765" s="124" t="n"/>
      <c r="B765" s="124" t="n"/>
      <c r="C765" s="127" t="n"/>
      <c r="D765" s="127" t="n"/>
      <c r="E765" s="132" t="n"/>
      <c r="F765" s="130" t="n"/>
    </row>
    <row r="766" ht="15" customHeight="1" s="75">
      <c r="A766" s="124" t="n"/>
      <c r="B766" s="124" t="n"/>
      <c r="C766" s="127" t="n"/>
      <c r="D766" s="127" t="n"/>
      <c r="E766" s="132" t="n"/>
      <c r="F766" s="130" t="n"/>
    </row>
    <row r="767" ht="15" customHeight="1" s="75">
      <c r="A767" s="124" t="n"/>
      <c r="B767" s="124" t="n"/>
      <c r="C767" s="127" t="n"/>
      <c r="D767" s="127" t="n"/>
      <c r="E767" s="132" t="n"/>
      <c r="F767" s="130" t="n"/>
    </row>
    <row r="768" ht="15" customHeight="1" s="75">
      <c r="A768" s="124" t="n"/>
      <c r="B768" s="124" t="n"/>
      <c r="C768" s="127" t="n"/>
      <c r="D768" s="127" t="n"/>
      <c r="E768" s="132" t="n"/>
      <c r="F768" s="130" t="n"/>
    </row>
    <row r="769" ht="15" customHeight="1" s="75">
      <c r="A769" s="124" t="n"/>
      <c r="B769" s="124" t="n"/>
      <c r="C769" s="127" t="n"/>
      <c r="D769" s="127" t="n"/>
      <c r="E769" s="132" t="n"/>
      <c r="F769" s="130" t="n"/>
    </row>
    <row r="770" ht="15" customHeight="1" s="75">
      <c r="A770" s="124" t="n"/>
      <c r="B770" s="124" t="n"/>
      <c r="C770" s="127" t="n"/>
      <c r="D770" s="127" t="n"/>
      <c r="E770" s="132" t="n"/>
      <c r="F770" s="130" t="n"/>
    </row>
    <row r="771" ht="15" customHeight="1" s="75">
      <c r="A771" s="124" t="n"/>
      <c r="B771" s="124" t="n"/>
      <c r="C771" s="127" t="n"/>
      <c r="D771" s="127" t="n"/>
      <c r="E771" s="132" t="n"/>
      <c r="F771" s="130" t="n"/>
    </row>
    <row r="772" ht="15" customHeight="1" s="75">
      <c r="A772" s="124" t="n"/>
      <c r="B772" s="124" t="n"/>
      <c r="C772" s="127" t="n"/>
      <c r="D772" s="127" t="n"/>
      <c r="E772" s="132" t="n"/>
      <c r="F772" s="130" t="n"/>
    </row>
    <row r="773" ht="15" customHeight="1" s="75">
      <c r="A773" s="124" t="n"/>
      <c r="B773" s="124" t="n"/>
      <c r="C773" s="127" t="n"/>
      <c r="D773" s="127" t="n"/>
      <c r="E773" s="132" t="n"/>
      <c r="F773" s="130" t="n"/>
    </row>
    <row r="774" ht="15" customHeight="1" s="75">
      <c r="A774" s="124" t="n"/>
      <c r="B774" s="124" t="n"/>
      <c r="C774" s="127" t="n"/>
      <c r="D774" s="127" t="n"/>
      <c r="E774" s="132" t="n"/>
      <c r="F774" s="130" t="n"/>
    </row>
    <row r="775" ht="15" customHeight="1" s="75">
      <c r="A775" s="124" t="n"/>
      <c r="B775" s="124" t="n"/>
      <c r="C775" s="127" t="n"/>
      <c r="D775" s="127" t="n"/>
      <c r="E775" s="132" t="n"/>
      <c r="F775" s="130" t="n"/>
    </row>
    <row r="776" ht="15" customHeight="1" s="75">
      <c r="A776" s="124" t="n"/>
      <c r="B776" s="124" t="n"/>
      <c r="C776" s="127" t="n"/>
      <c r="D776" s="127" t="n"/>
      <c r="E776" s="132" t="n"/>
      <c r="F776" s="130" t="n"/>
    </row>
    <row r="777" ht="15" customHeight="1" s="75">
      <c r="A777" s="124" t="n"/>
      <c r="B777" s="124" t="n"/>
      <c r="C777" s="127" t="n"/>
      <c r="D777" s="127" t="n"/>
      <c r="E777" s="132" t="n"/>
      <c r="F777" s="130" t="n"/>
    </row>
    <row r="778" ht="15" customHeight="1" s="75">
      <c r="A778" s="124" t="n"/>
      <c r="B778" s="124" t="n"/>
      <c r="C778" s="127" t="n"/>
      <c r="D778" s="127" t="n"/>
      <c r="E778" s="132" t="n"/>
      <c r="F778" s="130" t="n"/>
    </row>
    <row r="779" ht="15" customHeight="1" s="75">
      <c r="A779" s="124" t="n"/>
      <c r="B779" s="124" t="n"/>
      <c r="C779" s="127" t="n"/>
      <c r="D779" s="127" t="n"/>
      <c r="E779" s="132" t="n"/>
      <c r="F779" s="130" t="n"/>
    </row>
    <row r="780" ht="15" customHeight="1" s="75">
      <c r="A780" s="124" t="n"/>
      <c r="B780" s="124" t="n"/>
      <c r="C780" s="127" t="n"/>
      <c r="D780" s="127" t="n"/>
      <c r="E780" s="132" t="n"/>
      <c r="F780" s="130" t="n"/>
    </row>
    <row r="781" ht="15" customHeight="1" s="75">
      <c r="A781" s="124" t="n"/>
      <c r="B781" s="124" t="n"/>
      <c r="C781" s="127" t="n"/>
      <c r="D781" s="127" t="n"/>
      <c r="E781" s="132" t="n"/>
      <c r="F781" s="130" t="n"/>
    </row>
    <row r="782" ht="15" customHeight="1" s="75">
      <c r="A782" s="124" t="n"/>
      <c r="B782" s="124" t="n"/>
      <c r="C782" s="127" t="n"/>
      <c r="D782" s="127" t="n"/>
      <c r="E782" s="132" t="n"/>
      <c r="F782" s="130" t="n"/>
    </row>
    <row r="783" ht="15" customHeight="1" s="75">
      <c r="A783" s="124" t="n"/>
      <c r="B783" s="124" t="n"/>
      <c r="C783" s="127" t="n"/>
      <c r="D783" s="127" t="n"/>
      <c r="E783" s="132" t="n"/>
      <c r="F783" s="130" t="n"/>
    </row>
    <row r="784" ht="15" customHeight="1" s="75">
      <c r="A784" s="124" t="n"/>
      <c r="B784" s="124" t="n"/>
      <c r="C784" s="127" t="n"/>
      <c r="D784" s="127" t="n"/>
      <c r="E784" s="132" t="n"/>
      <c r="F784" s="130" t="n"/>
    </row>
    <row r="785" ht="15" customHeight="1" s="75">
      <c r="A785" s="124" t="n"/>
      <c r="B785" s="124" t="n"/>
      <c r="C785" s="127" t="n"/>
      <c r="D785" s="127" t="n"/>
      <c r="E785" s="132" t="n"/>
      <c r="F785" s="130" t="n"/>
    </row>
    <row r="786" ht="15" customHeight="1" s="75">
      <c r="A786" s="124" t="n"/>
      <c r="B786" s="124" t="n"/>
      <c r="C786" s="127" t="n"/>
      <c r="D786" s="127" t="n"/>
      <c r="E786" s="132" t="n"/>
      <c r="F786" s="130" t="n"/>
    </row>
    <row r="787" ht="15" customHeight="1" s="75">
      <c r="A787" s="124" t="n"/>
      <c r="B787" s="124" t="n"/>
      <c r="C787" s="127" t="n"/>
      <c r="D787" s="127" t="n"/>
      <c r="E787" s="132" t="n"/>
      <c r="F787" s="130" t="n"/>
    </row>
    <row r="788" ht="15" customHeight="1" s="75">
      <c r="A788" s="124" t="n"/>
      <c r="B788" s="124" t="n"/>
      <c r="C788" s="127" t="n"/>
      <c r="D788" s="127" t="n"/>
      <c r="E788" s="132" t="n"/>
      <c r="F788" s="130" t="n"/>
    </row>
    <row r="789" ht="15" customHeight="1" s="75">
      <c r="A789" s="124" t="n"/>
      <c r="B789" s="124" t="n"/>
      <c r="C789" s="127" t="n"/>
      <c r="D789" s="127" t="n"/>
      <c r="E789" s="132" t="n"/>
      <c r="F789" s="130" t="n"/>
    </row>
    <row r="790" ht="15" customHeight="1" s="75">
      <c r="A790" s="124" t="n"/>
      <c r="B790" s="124" t="n"/>
      <c r="C790" s="127" t="n"/>
      <c r="D790" s="127" t="n"/>
      <c r="E790" s="132" t="n"/>
      <c r="F790" s="130" t="n"/>
    </row>
    <row r="791" ht="15" customHeight="1" s="75">
      <c r="A791" s="124" t="n"/>
      <c r="B791" s="124" t="n"/>
      <c r="C791" s="127" t="n"/>
      <c r="D791" s="127" t="n"/>
      <c r="E791" s="132" t="n"/>
      <c r="F791" s="130" t="n"/>
    </row>
    <row r="792" ht="15" customHeight="1" s="75">
      <c r="A792" s="124" t="n"/>
      <c r="B792" s="124" t="n"/>
      <c r="C792" s="127" t="n"/>
      <c r="D792" s="127" t="n"/>
      <c r="E792" s="132" t="n"/>
      <c r="F792" s="130" t="n"/>
    </row>
    <row r="793" ht="15" customHeight="1" s="75">
      <c r="A793" s="124" t="n"/>
      <c r="B793" s="124" t="n"/>
      <c r="C793" s="127" t="n"/>
      <c r="D793" s="127" t="n"/>
      <c r="E793" s="132" t="n"/>
      <c r="F793" s="130" t="n"/>
    </row>
    <row r="794" ht="15" customHeight="1" s="75">
      <c r="A794" s="124" t="n"/>
      <c r="B794" s="124" t="n"/>
      <c r="C794" s="127" t="n"/>
      <c r="D794" s="127" t="n"/>
      <c r="E794" s="132" t="n"/>
      <c r="F794" s="130" t="n"/>
    </row>
    <row r="795" ht="15" customHeight="1" s="75">
      <c r="A795" s="124" t="n"/>
      <c r="B795" s="124" t="n"/>
      <c r="C795" s="127" t="n"/>
      <c r="D795" s="127" t="n"/>
      <c r="E795" s="132" t="n"/>
      <c r="F795" s="130" t="n"/>
    </row>
    <row r="796" ht="15" customHeight="1" s="75">
      <c r="A796" s="124" t="n"/>
      <c r="B796" s="124" t="n"/>
      <c r="C796" s="127" t="n"/>
      <c r="D796" s="127" t="n"/>
      <c r="E796" s="132" t="n"/>
      <c r="F796" s="130" t="n"/>
    </row>
    <row r="797" ht="15" customHeight="1" s="75">
      <c r="A797" s="124" t="n"/>
      <c r="B797" s="124" t="n"/>
      <c r="C797" s="127" t="n"/>
      <c r="D797" s="127" t="n"/>
      <c r="E797" s="132" t="n"/>
      <c r="F797" s="130" t="n"/>
    </row>
    <row r="798" ht="15" customHeight="1" s="75">
      <c r="A798" s="124" t="n"/>
      <c r="B798" s="124" t="n"/>
      <c r="C798" s="127" t="n"/>
      <c r="D798" s="127" t="n"/>
      <c r="E798" s="132" t="n"/>
      <c r="F798" s="130" t="n"/>
    </row>
    <row r="799" ht="15" customHeight="1" s="75">
      <c r="A799" s="124" t="n"/>
      <c r="B799" s="124" t="n"/>
      <c r="C799" s="127" t="n"/>
      <c r="D799" s="127" t="n"/>
      <c r="E799" s="132" t="n"/>
      <c r="F799" s="130" t="n"/>
    </row>
    <row r="800" ht="15" customHeight="1" s="75">
      <c r="A800" s="124" t="n"/>
      <c r="B800" s="124" t="n"/>
      <c r="C800" s="127" t="n"/>
      <c r="D800" s="127" t="n"/>
      <c r="E800" s="132" t="n"/>
      <c r="F800" s="130" t="n"/>
    </row>
    <row r="801" ht="15" customHeight="1" s="75">
      <c r="A801" s="124" t="n"/>
      <c r="B801" s="124" t="n"/>
      <c r="C801" s="127" t="n"/>
      <c r="D801" s="127" t="n"/>
      <c r="E801" s="132" t="n"/>
      <c r="F801" s="130" t="n"/>
    </row>
    <row r="802" ht="15" customHeight="1" s="75">
      <c r="A802" s="124" t="n"/>
      <c r="B802" s="124" t="n"/>
      <c r="C802" s="127" t="n"/>
      <c r="D802" s="127" t="n"/>
      <c r="E802" s="132" t="n"/>
      <c r="F802" s="130" t="n"/>
    </row>
    <row r="803" ht="15" customHeight="1" s="75">
      <c r="A803" s="124" t="n"/>
      <c r="B803" s="124" t="n"/>
      <c r="C803" s="127" t="n"/>
      <c r="D803" s="127" t="n"/>
      <c r="E803" s="132" t="n"/>
      <c r="F803" s="130" t="n"/>
    </row>
    <row r="804" ht="15" customHeight="1" s="75">
      <c r="A804" s="124" t="n"/>
      <c r="B804" s="124" t="n"/>
      <c r="C804" s="127" t="n"/>
      <c r="D804" s="127" t="n"/>
      <c r="E804" s="132" t="n"/>
      <c r="F804" s="130" t="n"/>
    </row>
    <row r="805" ht="15" customHeight="1" s="75">
      <c r="A805" s="124" t="n"/>
      <c r="B805" s="124" t="n"/>
      <c r="C805" s="127" t="n"/>
      <c r="D805" s="127" t="n"/>
      <c r="E805" s="132" t="n"/>
      <c r="F805" s="130" t="n"/>
    </row>
    <row r="806" ht="15" customHeight="1" s="75">
      <c r="A806" s="124" t="n"/>
      <c r="B806" s="124" t="n"/>
      <c r="C806" s="127" t="n"/>
      <c r="D806" s="127" t="n"/>
      <c r="E806" s="132" t="n"/>
      <c r="F806" s="130" t="n"/>
    </row>
    <row r="807" ht="15" customHeight="1" s="75">
      <c r="A807" s="124" t="n"/>
      <c r="B807" s="124" t="n"/>
      <c r="C807" s="127" t="n"/>
      <c r="D807" s="127" t="n"/>
      <c r="E807" s="132" t="n"/>
      <c r="F807" s="130" t="n"/>
    </row>
    <row r="808" ht="15" customHeight="1" s="75">
      <c r="A808" s="124" t="n"/>
      <c r="B808" s="124" t="n"/>
      <c r="C808" s="127" t="n"/>
      <c r="D808" s="127" t="n"/>
      <c r="E808" s="132" t="n"/>
      <c r="F808" s="130" t="n"/>
    </row>
    <row r="809" ht="15" customHeight="1" s="75">
      <c r="A809" s="124" t="n"/>
      <c r="B809" s="124" t="n"/>
      <c r="C809" s="127" t="n"/>
      <c r="D809" s="127" t="n"/>
      <c r="E809" s="132" t="n"/>
      <c r="F809" s="130" t="n"/>
    </row>
    <row r="810" ht="15" customHeight="1" s="75">
      <c r="A810" s="124" t="n"/>
      <c r="B810" s="124" t="n"/>
      <c r="C810" s="127" t="n"/>
      <c r="D810" s="127" t="n"/>
      <c r="E810" s="132" t="n"/>
      <c r="F810" s="130" t="n"/>
    </row>
    <row r="811" ht="15" customHeight="1" s="75">
      <c r="A811" s="124" t="n"/>
      <c r="B811" s="124" t="n"/>
      <c r="C811" s="127" t="n"/>
      <c r="D811" s="127" t="n"/>
      <c r="E811" s="132" t="n"/>
      <c r="F811" s="130" t="n"/>
    </row>
    <row r="812" ht="15" customHeight="1" s="75">
      <c r="A812" s="124" t="n"/>
      <c r="B812" s="124" t="n"/>
      <c r="C812" s="127" t="n"/>
      <c r="D812" s="127" t="n"/>
      <c r="E812" s="132" t="n"/>
      <c r="F812" s="130" t="n"/>
    </row>
    <row r="813" ht="15" customHeight="1" s="75">
      <c r="A813" s="124" t="n"/>
      <c r="B813" s="124" t="n"/>
      <c r="C813" s="127" t="n"/>
      <c r="D813" s="127" t="n"/>
      <c r="E813" s="132" t="n"/>
      <c r="F813" s="130" t="n"/>
    </row>
    <row r="814" ht="15" customHeight="1" s="75">
      <c r="A814" s="124" t="n"/>
      <c r="B814" s="124" t="n"/>
      <c r="C814" s="127" t="n"/>
      <c r="D814" s="127" t="n"/>
      <c r="E814" s="132" t="n"/>
      <c r="F814" s="130" t="n"/>
    </row>
    <row r="815" ht="15" customHeight="1" s="75">
      <c r="A815" s="124" t="n"/>
      <c r="B815" s="124" t="n"/>
      <c r="C815" s="127" t="n"/>
      <c r="D815" s="127" t="n"/>
      <c r="E815" s="132" t="n"/>
      <c r="F815" s="130" t="n"/>
    </row>
    <row r="816" ht="15" customHeight="1" s="75">
      <c r="A816" s="124" t="n"/>
      <c r="B816" s="124" t="n"/>
      <c r="C816" s="127" t="n"/>
      <c r="D816" s="127" t="n"/>
      <c r="E816" s="132" t="n"/>
      <c r="F816" s="130" t="n"/>
    </row>
    <row r="817" ht="15" customHeight="1" s="75">
      <c r="A817" s="124" t="n"/>
      <c r="B817" s="124" t="n"/>
      <c r="C817" s="127" t="n"/>
      <c r="D817" s="127" t="n"/>
      <c r="E817" s="132" t="n"/>
      <c r="F817" s="130" t="n"/>
    </row>
    <row r="818" ht="15" customHeight="1" s="75">
      <c r="A818" s="124" t="n"/>
      <c r="B818" s="124" t="n"/>
      <c r="C818" s="127" t="n"/>
      <c r="D818" s="127" t="n"/>
      <c r="E818" s="132" t="n"/>
      <c r="F818" s="130" t="n"/>
    </row>
    <row r="819" ht="15" customHeight="1" s="75">
      <c r="A819" s="124" t="n"/>
      <c r="B819" s="124" t="n"/>
      <c r="C819" s="127" t="n"/>
      <c r="D819" s="127" t="n"/>
      <c r="E819" s="132" t="n"/>
      <c r="F819" s="130" t="n"/>
    </row>
    <row r="820" ht="15" customHeight="1" s="75">
      <c r="A820" s="124" t="n"/>
      <c r="B820" s="124" t="n"/>
      <c r="C820" s="127" t="n"/>
      <c r="D820" s="127" t="n"/>
      <c r="E820" s="132" t="n"/>
      <c r="F820" s="130" t="n"/>
    </row>
    <row r="821" ht="15" customHeight="1" s="75">
      <c r="A821" s="124" t="n"/>
      <c r="B821" s="124" t="n"/>
      <c r="C821" s="127" t="n"/>
      <c r="D821" s="127" t="n"/>
      <c r="E821" s="132" t="n"/>
      <c r="F821" s="130" t="n"/>
    </row>
    <row r="822" ht="15" customHeight="1" s="75">
      <c r="A822" s="124" t="n"/>
      <c r="B822" s="124" t="n"/>
      <c r="C822" s="127" t="n"/>
      <c r="D822" s="127" t="n"/>
      <c r="E822" s="132" t="n"/>
      <c r="F822" s="130" t="n"/>
    </row>
    <row r="823" ht="15" customHeight="1" s="75">
      <c r="A823" s="124" t="n"/>
      <c r="B823" s="124" t="n"/>
      <c r="C823" s="127" t="n"/>
      <c r="D823" s="127" t="n"/>
      <c r="E823" s="132" t="n"/>
      <c r="F823" s="130" t="n"/>
    </row>
    <row r="824" ht="15" customHeight="1" s="75">
      <c r="A824" s="124" t="n"/>
      <c r="B824" s="124" t="n"/>
      <c r="C824" s="127" t="n"/>
      <c r="D824" s="127" t="n"/>
      <c r="E824" s="132" t="n"/>
      <c r="F824" s="130" t="n"/>
    </row>
    <row r="825" ht="15" customHeight="1" s="75">
      <c r="A825" s="124" t="n"/>
      <c r="B825" s="124" t="n"/>
      <c r="C825" s="127" t="n"/>
      <c r="D825" s="127" t="n"/>
      <c r="E825" s="132" t="n"/>
      <c r="F825" s="130" t="n"/>
    </row>
    <row r="826" ht="15" customHeight="1" s="75">
      <c r="A826" s="124" t="n"/>
      <c r="B826" s="124" t="n"/>
      <c r="C826" s="127" t="n"/>
      <c r="D826" s="127" t="n"/>
      <c r="E826" s="132" t="n"/>
      <c r="F826" s="130" t="n"/>
    </row>
    <row r="827" ht="15" customHeight="1" s="75">
      <c r="A827" s="124" t="n"/>
      <c r="B827" s="124" t="n"/>
      <c r="C827" s="127" t="n"/>
      <c r="D827" s="127" t="n"/>
      <c r="E827" s="132" t="n"/>
      <c r="F827" s="130" t="n"/>
    </row>
    <row r="828" ht="15" customHeight="1" s="75">
      <c r="A828" s="124" t="n"/>
      <c r="B828" s="124" t="n"/>
      <c r="C828" s="127" t="n"/>
      <c r="D828" s="127" t="n"/>
      <c r="E828" s="132" t="n"/>
      <c r="F828" s="130" t="n"/>
    </row>
    <row r="829" ht="15" customHeight="1" s="75">
      <c r="A829" s="124" t="n"/>
      <c r="B829" s="124" t="n"/>
      <c r="C829" s="127" t="n"/>
      <c r="D829" s="127" t="n"/>
      <c r="E829" s="132" t="n"/>
      <c r="F829" s="130" t="n"/>
    </row>
    <row r="830" ht="15" customHeight="1" s="75">
      <c r="A830" s="124" t="n"/>
      <c r="B830" s="124" t="n"/>
      <c r="C830" s="127" t="n"/>
      <c r="D830" s="127" t="n"/>
      <c r="E830" s="132" t="n"/>
      <c r="F830" s="130" t="n"/>
    </row>
    <row r="831" ht="15" customHeight="1" s="75">
      <c r="A831" s="124" t="n"/>
      <c r="B831" s="124" t="n"/>
      <c r="C831" s="127" t="n"/>
      <c r="D831" s="127" t="n"/>
      <c r="E831" s="132" t="n"/>
      <c r="F831" s="130" t="n"/>
    </row>
    <row r="832" ht="15" customHeight="1" s="75">
      <c r="A832" s="124" t="n"/>
      <c r="B832" s="124" t="n"/>
      <c r="C832" s="127" t="n"/>
      <c r="D832" s="127" t="n"/>
      <c r="E832" s="132" t="n"/>
      <c r="F832" s="130" t="n"/>
    </row>
    <row r="833" ht="15" customHeight="1" s="75">
      <c r="A833" s="124" t="n"/>
      <c r="B833" s="124" t="n"/>
      <c r="C833" s="127" t="n"/>
      <c r="D833" s="127" t="n"/>
      <c r="E833" s="132" t="n"/>
      <c r="F833" s="130" t="n"/>
    </row>
    <row r="834" ht="15" customHeight="1" s="75">
      <c r="A834" s="124" t="n"/>
      <c r="B834" s="124" t="n"/>
      <c r="C834" s="127" t="n"/>
      <c r="D834" s="127" t="n"/>
      <c r="E834" s="132" t="n"/>
      <c r="F834" s="130" t="n"/>
    </row>
    <row r="835" ht="15" customHeight="1" s="75">
      <c r="A835" s="124" t="n"/>
      <c r="B835" s="124" t="n"/>
      <c r="C835" s="127" t="n"/>
      <c r="D835" s="127" t="n"/>
      <c r="E835" s="132" t="n"/>
      <c r="F835" s="130" t="n"/>
    </row>
    <row r="836" ht="15" customHeight="1" s="75">
      <c r="A836" s="124" t="n"/>
      <c r="B836" s="124" t="n"/>
      <c r="C836" s="127" t="n"/>
      <c r="D836" s="127" t="n"/>
      <c r="E836" s="132" t="n"/>
      <c r="F836" s="130" t="n"/>
    </row>
    <row r="837" ht="15" customHeight="1" s="75">
      <c r="A837" s="124" t="n"/>
      <c r="B837" s="124" t="n"/>
      <c r="C837" s="127" t="n"/>
      <c r="D837" s="127" t="n"/>
      <c r="E837" s="132" t="n"/>
      <c r="F837" s="130" t="n"/>
    </row>
    <row r="838" ht="15" customHeight="1" s="75">
      <c r="A838" s="124" t="n"/>
      <c r="B838" s="124" t="n"/>
      <c r="C838" s="127" t="n"/>
      <c r="D838" s="127" t="n"/>
      <c r="E838" s="132" t="n"/>
      <c r="F838" s="130" t="n"/>
    </row>
    <row r="839" ht="15" customHeight="1" s="75">
      <c r="A839" s="124" t="n"/>
      <c r="B839" s="124" t="n"/>
      <c r="C839" s="127" t="n"/>
      <c r="D839" s="127" t="n"/>
      <c r="E839" s="132" t="n"/>
      <c r="F839" s="130" t="n"/>
    </row>
    <row r="840" ht="15" customHeight="1" s="75">
      <c r="A840" s="124" t="n"/>
      <c r="B840" s="124" t="n"/>
      <c r="C840" s="127" t="n"/>
      <c r="D840" s="127" t="n"/>
      <c r="E840" s="132" t="n"/>
      <c r="F840" s="130" t="n"/>
    </row>
    <row r="841" ht="15" customHeight="1" s="75">
      <c r="A841" s="124" t="n"/>
      <c r="B841" s="124" t="n"/>
      <c r="C841" s="127" t="n"/>
      <c r="D841" s="127" t="n"/>
      <c r="E841" s="132" t="n"/>
      <c r="F841" s="130" t="n"/>
    </row>
    <row r="842" ht="15" customHeight="1" s="75">
      <c r="A842" s="124" t="n"/>
      <c r="B842" s="124" t="n"/>
      <c r="C842" s="127" t="n"/>
      <c r="D842" s="127" t="n"/>
      <c r="E842" s="132" t="n"/>
      <c r="F842" s="130" t="n"/>
    </row>
    <row r="843" ht="15" customHeight="1" s="75">
      <c r="A843" s="124" t="n"/>
      <c r="B843" s="124" t="n"/>
      <c r="C843" s="127" t="n"/>
      <c r="D843" s="127" t="n"/>
      <c r="E843" s="132" t="n"/>
      <c r="F843" s="130" t="n"/>
    </row>
    <row r="844" ht="15" customHeight="1" s="75">
      <c r="A844" s="124" t="n"/>
      <c r="B844" s="124" t="n"/>
      <c r="C844" s="127" t="n"/>
      <c r="D844" s="127" t="n"/>
      <c r="E844" s="132" t="n"/>
      <c r="F844" s="130" t="n"/>
    </row>
    <row r="845" ht="15" customHeight="1" s="75">
      <c r="A845" s="124" t="n"/>
      <c r="B845" s="124" t="n"/>
      <c r="C845" s="127" t="n"/>
      <c r="D845" s="127" t="n"/>
      <c r="E845" s="132" t="n"/>
      <c r="F845" s="130" t="n"/>
    </row>
    <row r="846" ht="15" customHeight="1" s="75">
      <c r="A846" s="124" t="n"/>
      <c r="B846" s="124" t="n"/>
      <c r="C846" s="127" t="n"/>
      <c r="D846" s="127" t="n"/>
      <c r="E846" s="132" t="n"/>
      <c r="F846" s="130" t="n"/>
    </row>
    <row r="847" ht="15" customHeight="1" s="75">
      <c r="A847" s="124" t="n"/>
      <c r="B847" s="124" t="n"/>
      <c r="C847" s="127" t="n"/>
      <c r="D847" s="127" t="n"/>
      <c r="E847" s="132" t="n"/>
      <c r="F847" s="130" t="n"/>
    </row>
    <row r="848" ht="15" customHeight="1" s="75">
      <c r="A848" s="124" t="n"/>
      <c r="B848" s="124" t="n"/>
      <c r="C848" s="127" t="n"/>
      <c r="D848" s="127" t="n"/>
      <c r="E848" s="132" t="n"/>
      <c r="F848" s="130" t="n"/>
    </row>
    <row r="849" ht="15" customHeight="1" s="75">
      <c r="A849" s="124" t="n"/>
      <c r="B849" s="124" t="n"/>
      <c r="C849" s="127" t="n"/>
      <c r="D849" s="127" t="n"/>
      <c r="E849" s="132" t="n"/>
      <c r="F849" s="130" t="n"/>
    </row>
    <row r="850" ht="15" customHeight="1" s="75">
      <c r="A850" s="124" t="n"/>
      <c r="B850" s="124" t="n"/>
      <c r="C850" s="127" t="n"/>
      <c r="D850" s="127" t="n"/>
      <c r="E850" s="132" t="n"/>
      <c r="F850" s="130" t="n"/>
    </row>
    <row r="851" ht="15" customHeight="1" s="75">
      <c r="A851" s="124" t="n"/>
      <c r="B851" s="124" t="n"/>
      <c r="C851" s="127" t="n"/>
      <c r="D851" s="127" t="n"/>
      <c r="E851" s="132" t="n"/>
      <c r="F851" s="130" t="n"/>
    </row>
    <row r="852" ht="15" customHeight="1" s="75">
      <c r="A852" s="124" t="n"/>
      <c r="B852" s="124" t="n"/>
      <c r="C852" s="127" t="n"/>
      <c r="D852" s="127" t="n"/>
      <c r="E852" s="132" t="n"/>
      <c r="F852" s="130" t="n"/>
    </row>
    <row r="853" ht="15" customHeight="1" s="75">
      <c r="A853" s="124" t="n"/>
      <c r="B853" s="124" t="n"/>
      <c r="C853" s="127" t="n"/>
      <c r="D853" s="127" t="n"/>
      <c r="E853" s="132" t="n"/>
      <c r="F853" s="130" t="n"/>
    </row>
    <row r="854" ht="15" customHeight="1" s="75">
      <c r="A854" s="124" t="n"/>
      <c r="B854" s="124" t="n"/>
      <c r="C854" s="127" t="n"/>
      <c r="D854" s="127" t="n"/>
      <c r="E854" s="132" t="n"/>
      <c r="F854" s="130" t="n"/>
    </row>
    <row r="855" ht="15" customHeight="1" s="75">
      <c r="A855" s="124" t="n"/>
      <c r="B855" s="124" t="n"/>
      <c r="C855" s="127" t="n"/>
      <c r="D855" s="127" t="n"/>
      <c r="E855" s="132" t="n"/>
      <c r="F855" s="130" t="n"/>
    </row>
    <row r="856" ht="15" customHeight="1" s="75">
      <c r="A856" s="124" t="n"/>
      <c r="B856" s="124" t="n"/>
      <c r="C856" s="127" t="n"/>
      <c r="D856" s="127" t="n"/>
      <c r="E856" s="132" t="n"/>
      <c r="F856" s="130" t="n"/>
    </row>
    <row r="857" ht="15" customHeight="1" s="75">
      <c r="A857" s="124" t="n"/>
      <c r="B857" s="124" t="n"/>
      <c r="C857" s="127" t="n"/>
      <c r="D857" s="127" t="n"/>
      <c r="E857" s="132" t="n"/>
      <c r="F857" s="130" t="n"/>
    </row>
    <row r="858" ht="15" customHeight="1" s="75">
      <c r="A858" s="124" t="n"/>
      <c r="B858" s="124" t="n"/>
      <c r="C858" s="127" t="n"/>
      <c r="D858" s="127" t="n"/>
      <c r="E858" s="132" t="n"/>
      <c r="F858" s="130" t="n"/>
    </row>
    <row r="859" ht="15" customHeight="1" s="75">
      <c r="A859" s="124" t="n"/>
      <c r="B859" s="124" t="n"/>
      <c r="C859" s="127" t="n"/>
      <c r="D859" s="127" t="n"/>
      <c r="E859" s="132" t="n"/>
      <c r="F859" s="130" t="n"/>
    </row>
    <row r="860" ht="15" customHeight="1" s="75">
      <c r="A860" s="124" t="n"/>
      <c r="B860" s="124" t="n"/>
      <c r="C860" s="127" t="n"/>
      <c r="D860" s="127" t="n"/>
      <c r="E860" s="132" t="n"/>
      <c r="F860" s="130" t="n"/>
    </row>
    <row r="861" ht="15" customHeight="1" s="75">
      <c r="A861" s="124" t="n"/>
      <c r="B861" s="124" t="n"/>
      <c r="C861" s="127" t="n"/>
      <c r="D861" s="127" t="n"/>
      <c r="E861" s="132" t="n"/>
      <c r="F861" s="130" t="n"/>
    </row>
    <row r="862" ht="15" customHeight="1" s="75">
      <c r="A862" s="124" t="n"/>
      <c r="B862" s="124" t="n"/>
      <c r="C862" s="127" t="n"/>
      <c r="D862" s="127" t="n"/>
      <c r="E862" s="132" t="n"/>
      <c r="F862" s="130" t="n"/>
    </row>
    <row r="863" ht="15" customHeight="1" s="75">
      <c r="A863" s="124" t="n"/>
      <c r="B863" s="124" t="n"/>
      <c r="C863" s="127" t="n"/>
      <c r="D863" s="127" t="n"/>
      <c r="E863" s="132" t="n"/>
      <c r="F863" s="130" t="n"/>
    </row>
    <row r="864" ht="15" customHeight="1" s="75">
      <c r="A864" s="124" t="n"/>
      <c r="B864" s="124" t="n"/>
      <c r="C864" s="127" t="n"/>
      <c r="D864" s="127" t="n"/>
      <c r="E864" s="132" t="n"/>
      <c r="F864" s="130" t="n"/>
    </row>
    <row r="865" ht="15" customHeight="1" s="75">
      <c r="A865" s="124" t="n"/>
      <c r="B865" s="124" t="n"/>
      <c r="C865" s="127" t="n"/>
      <c r="D865" s="127" t="n"/>
      <c r="E865" s="132" t="n"/>
      <c r="F865" s="130" t="n"/>
    </row>
    <row r="866" ht="15" customHeight="1" s="75">
      <c r="A866" s="124" t="n"/>
      <c r="B866" s="124" t="n"/>
      <c r="C866" s="127" t="n"/>
      <c r="D866" s="127" t="n"/>
      <c r="E866" s="132" t="n"/>
      <c r="F866" s="130" t="n"/>
    </row>
    <row r="867" ht="15" customHeight="1" s="75">
      <c r="A867" s="124" t="n"/>
      <c r="B867" s="124" t="n"/>
      <c r="C867" s="127" t="n"/>
      <c r="D867" s="127" t="n"/>
      <c r="E867" s="132" t="n"/>
      <c r="F867" s="130" t="n"/>
    </row>
    <row r="868" ht="15" customHeight="1" s="75">
      <c r="A868" s="124" t="n"/>
      <c r="B868" s="124" t="n"/>
      <c r="C868" s="127" t="n"/>
      <c r="D868" s="127" t="n"/>
      <c r="E868" s="132" t="n"/>
      <c r="F868" s="130" t="n"/>
    </row>
    <row r="869" ht="15" customHeight="1" s="75">
      <c r="A869" s="124" t="n"/>
      <c r="B869" s="124" t="n"/>
      <c r="C869" s="127" t="n"/>
      <c r="D869" s="127" t="n"/>
      <c r="E869" s="132" t="n"/>
      <c r="F869" s="130" t="n"/>
    </row>
    <row r="870" ht="15" customHeight="1" s="75">
      <c r="A870" s="124" t="n"/>
      <c r="B870" s="124" t="n"/>
      <c r="C870" s="127" t="n"/>
      <c r="D870" s="127" t="n"/>
      <c r="E870" s="132" t="n"/>
      <c r="F870" s="130" t="n"/>
    </row>
    <row r="871" ht="15" customHeight="1" s="75">
      <c r="A871" s="124" t="n"/>
      <c r="B871" s="124" t="n"/>
      <c r="C871" s="127" t="n"/>
      <c r="D871" s="127" t="n"/>
      <c r="E871" s="132" t="n"/>
      <c r="F871" s="130" t="n"/>
    </row>
    <row r="872" ht="15" customHeight="1" s="75">
      <c r="A872" s="124" t="n"/>
      <c r="B872" s="124" t="n"/>
      <c r="C872" s="127" t="n"/>
      <c r="D872" s="127" t="n"/>
      <c r="E872" s="132" t="n"/>
      <c r="F872" s="130" t="n"/>
    </row>
    <row r="873" ht="15" customHeight="1" s="75">
      <c r="A873" s="124" t="n"/>
      <c r="B873" s="124" t="n"/>
      <c r="C873" s="127" t="n"/>
      <c r="D873" s="127" t="n"/>
      <c r="E873" s="132" t="n"/>
      <c r="F873" s="130" t="n"/>
    </row>
    <row r="874" ht="15" customHeight="1" s="75">
      <c r="A874" s="124" t="n"/>
      <c r="B874" s="124" t="n"/>
      <c r="C874" s="127" t="n"/>
      <c r="D874" s="127" t="n"/>
      <c r="E874" s="132" t="n"/>
      <c r="F874" s="130" t="n"/>
    </row>
    <row r="875" ht="15" customHeight="1" s="75">
      <c r="A875" s="124" t="n"/>
      <c r="B875" s="124" t="n"/>
      <c r="C875" s="127" t="n"/>
      <c r="D875" s="127" t="n"/>
      <c r="E875" s="132" t="n"/>
      <c r="F875" s="130" t="n"/>
    </row>
    <row r="876" ht="15" customHeight="1" s="75">
      <c r="A876" s="124" t="n"/>
      <c r="B876" s="124" t="n"/>
      <c r="C876" s="127" t="n"/>
      <c r="D876" s="127" t="n"/>
      <c r="E876" s="132" t="n"/>
      <c r="F876" s="130" t="n"/>
    </row>
    <row r="877" ht="15" customHeight="1" s="75">
      <c r="A877" s="124" t="n"/>
      <c r="B877" s="124" t="n"/>
      <c r="C877" s="127" t="n"/>
      <c r="D877" s="127" t="n"/>
      <c r="E877" s="132" t="n"/>
      <c r="F877" s="130" t="n"/>
    </row>
    <row r="878" ht="15" customHeight="1" s="75">
      <c r="A878" s="124" t="n"/>
      <c r="B878" s="124" t="n"/>
      <c r="C878" s="127" t="n"/>
      <c r="D878" s="127" t="n"/>
      <c r="E878" s="132" t="n"/>
      <c r="F878" s="130" t="n"/>
    </row>
    <row r="879" ht="15" customHeight="1" s="75">
      <c r="A879" s="124" t="n"/>
      <c r="B879" s="124" t="n"/>
      <c r="C879" s="127" t="n"/>
      <c r="D879" s="127" t="n"/>
      <c r="E879" s="132" t="n"/>
      <c r="F879" s="130" t="n"/>
    </row>
    <row r="880" ht="15" customHeight="1" s="75">
      <c r="A880" s="124" t="n"/>
      <c r="B880" s="124" t="n"/>
      <c r="C880" s="127" t="n"/>
      <c r="D880" s="127" t="n"/>
      <c r="E880" s="132" t="n"/>
      <c r="F880" s="130" t="n"/>
    </row>
    <row r="881" ht="15" customHeight="1" s="75">
      <c r="A881" s="124" t="n"/>
      <c r="B881" s="124" t="n"/>
      <c r="C881" s="127" t="n"/>
      <c r="D881" s="127" t="n"/>
      <c r="E881" s="132" t="n"/>
      <c r="F881" s="130" t="n"/>
    </row>
    <row r="882" ht="15" customHeight="1" s="75">
      <c r="A882" s="124" t="n"/>
      <c r="B882" s="124" t="n"/>
      <c r="C882" s="127" t="n"/>
      <c r="D882" s="127" t="n"/>
      <c r="E882" s="132" t="n"/>
      <c r="F882" s="130" t="n"/>
    </row>
    <row r="883" ht="15" customHeight="1" s="75">
      <c r="A883" s="124" t="n"/>
      <c r="B883" s="124" t="n"/>
      <c r="C883" s="127" t="n"/>
      <c r="D883" s="127" t="n"/>
      <c r="E883" s="132" t="n"/>
      <c r="F883" s="130" t="n"/>
    </row>
    <row r="884" ht="15" customHeight="1" s="75">
      <c r="A884" s="124" t="n"/>
      <c r="B884" s="124" t="n"/>
      <c r="C884" s="127" t="n"/>
      <c r="D884" s="127" t="n"/>
      <c r="E884" s="132" t="n"/>
      <c r="F884" s="130" t="n"/>
    </row>
    <row r="885" ht="15" customHeight="1" s="75">
      <c r="A885" s="124" t="n"/>
      <c r="B885" s="124" t="n"/>
      <c r="C885" s="127" t="n"/>
      <c r="D885" s="127" t="n"/>
      <c r="E885" s="132" t="n"/>
      <c r="F885" s="130" t="n"/>
    </row>
    <row r="886" ht="15" customHeight="1" s="75">
      <c r="A886" s="124" t="n"/>
      <c r="B886" s="124" t="n"/>
      <c r="C886" s="127" t="n"/>
      <c r="D886" s="127" t="n"/>
      <c r="E886" s="132" t="n"/>
      <c r="F886" s="130" t="n"/>
    </row>
    <row r="887" ht="15" customHeight="1" s="75">
      <c r="A887" s="124" t="n"/>
      <c r="B887" s="124" t="n"/>
      <c r="C887" s="127" t="n"/>
      <c r="D887" s="127" t="n"/>
      <c r="E887" s="132" t="n"/>
      <c r="F887" s="130" t="n"/>
    </row>
    <row r="888" ht="15" customHeight="1" s="75">
      <c r="A888" s="124" t="n"/>
      <c r="B888" s="124" t="n"/>
      <c r="C888" s="127" t="n"/>
      <c r="D888" s="127" t="n"/>
      <c r="E888" s="132" t="n"/>
      <c r="F888" s="130" t="n"/>
    </row>
    <row r="889" ht="15" customHeight="1" s="75">
      <c r="A889" s="124" t="n"/>
      <c r="B889" s="124" t="n"/>
      <c r="C889" s="127" t="n"/>
      <c r="D889" s="127" t="n"/>
      <c r="E889" s="132" t="n"/>
      <c r="F889" s="130" t="n"/>
    </row>
    <row r="890" ht="15" customHeight="1" s="75">
      <c r="A890" s="124" t="n"/>
      <c r="B890" s="124" t="n"/>
      <c r="C890" s="127" t="n"/>
      <c r="D890" s="127" t="n"/>
      <c r="E890" s="132" t="n"/>
      <c r="F890" s="130" t="n"/>
    </row>
    <row r="891" ht="15" customHeight="1" s="75">
      <c r="A891" s="124" t="n"/>
      <c r="B891" s="124" t="n"/>
      <c r="C891" s="127" t="n"/>
      <c r="D891" s="127" t="n"/>
      <c r="E891" s="132" t="n"/>
      <c r="F891" s="130" t="n"/>
    </row>
    <row r="892" ht="15" customHeight="1" s="75">
      <c r="A892" s="124" t="n"/>
      <c r="B892" s="124" t="n"/>
      <c r="C892" s="127" t="n"/>
      <c r="D892" s="127" t="n"/>
      <c r="E892" s="132" t="n"/>
      <c r="F892" s="130" t="n"/>
    </row>
    <row r="893" ht="15" customHeight="1" s="75">
      <c r="A893" s="124" t="n"/>
      <c r="B893" s="124" t="n"/>
      <c r="C893" s="127" t="n"/>
      <c r="D893" s="127" t="n"/>
      <c r="E893" s="132" t="n"/>
      <c r="F893" s="130" t="n"/>
    </row>
    <row r="894" ht="15" customHeight="1" s="75">
      <c r="A894" s="124" t="n"/>
      <c r="B894" s="124" t="n"/>
      <c r="C894" s="127" t="n"/>
      <c r="D894" s="127" t="n"/>
      <c r="E894" s="132" t="n"/>
      <c r="F894" s="130" t="n"/>
    </row>
    <row r="895" ht="15" customHeight="1" s="75">
      <c r="A895" s="124" t="n"/>
      <c r="B895" s="124" t="n"/>
      <c r="C895" s="127" t="n"/>
      <c r="D895" s="127" t="n"/>
      <c r="E895" s="132" t="n"/>
      <c r="F895" s="130" t="n"/>
    </row>
    <row r="896" ht="15" customHeight="1" s="75">
      <c r="A896" s="124" t="n"/>
      <c r="B896" s="124" t="n"/>
      <c r="C896" s="127" t="n"/>
      <c r="D896" s="127" t="n"/>
      <c r="E896" s="132" t="n"/>
      <c r="F896" s="130" t="n"/>
    </row>
    <row r="897" ht="15" customHeight="1" s="75">
      <c r="A897" s="124" t="n"/>
      <c r="B897" s="124" t="n"/>
      <c r="C897" s="127" t="n"/>
      <c r="D897" s="127" t="n"/>
      <c r="E897" s="132" t="n"/>
      <c r="F897" s="130" t="n"/>
    </row>
    <row r="898" ht="15" customHeight="1" s="75">
      <c r="A898" s="124" t="n"/>
      <c r="B898" s="124" t="n"/>
      <c r="C898" s="127" t="n"/>
      <c r="D898" s="127" t="n"/>
      <c r="E898" s="132" t="n"/>
      <c r="F898" s="130" t="n"/>
    </row>
    <row r="899" ht="15" customHeight="1" s="75">
      <c r="A899" s="124" t="n"/>
      <c r="B899" s="124" t="n"/>
      <c r="C899" s="127" t="n"/>
      <c r="D899" s="127" t="n"/>
      <c r="E899" s="132" t="n"/>
      <c r="F899" s="130" t="n"/>
    </row>
    <row r="900" ht="15" customHeight="1" s="75">
      <c r="A900" s="124" t="n"/>
      <c r="B900" s="124" t="n"/>
      <c r="C900" s="127" t="n"/>
      <c r="D900" s="127" t="n"/>
      <c r="E900" s="132" t="n"/>
      <c r="F900" s="130" t="n"/>
    </row>
    <row r="901" ht="15" customHeight="1" s="75">
      <c r="A901" s="124" t="n"/>
      <c r="B901" s="124" t="n"/>
      <c r="C901" s="127" t="n"/>
      <c r="D901" s="127" t="n"/>
      <c r="E901" s="132" t="n"/>
      <c r="F901" s="130" t="n"/>
    </row>
    <row r="902" ht="15" customHeight="1" s="75">
      <c r="A902" s="124" t="n"/>
      <c r="B902" s="124" t="n"/>
      <c r="C902" s="127" t="n"/>
      <c r="D902" s="127" t="n"/>
      <c r="E902" s="132" t="n"/>
      <c r="F902" s="130" t="n"/>
    </row>
    <row r="903" ht="15" customHeight="1" s="75">
      <c r="A903" s="124" t="n"/>
      <c r="B903" s="124" t="n"/>
      <c r="C903" s="127" t="n"/>
      <c r="D903" s="127" t="n"/>
      <c r="E903" s="132" t="n"/>
      <c r="F903" s="130" t="n"/>
    </row>
    <row r="904" ht="15" customHeight="1" s="75">
      <c r="A904" s="124" t="n"/>
      <c r="B904" s="124" t="n"/>
      <c r="C904" s="127" t="n"/>
      <c r="D904" s="127" t="n"/>
      <c r="E904" s="132" t="n"/>
      <c r="F904" s="130" t="n"/>
    </row>
    <row r="905" ht="15" customHeight="1" s="75">
      <c r="A905" s="124" t="n"/>
      <c r="B905" s="124" t="n"/>
      <c r="C905" s="127" t="n"/>
      <c r="D905" s="127" t="n"/>
      <c r="E905" s="132" t="n"/>
      <c r="F905" s="130" t="n"/>
    </row>
    <row r="906" ht="15" customHeight="1" s="75">
      <c r="A906" s="124" t="n"/>
      <c r="B906" s="124" t="n"/>
      <c r="C906" s="127" t="n"/>
      <c r="D906" s="127" t="n"/>
      <c r="E906" s="132" t="n"/>
      <c r="F906" s="130" t="n"/>
    </row>
    <row r="907" ht="15" customHeight="1" s="75">
      <c r="A907" s="124" t="n"/>
      <c r="B907" s="124" t="n"/>
      <c r="C907" s="127" t="n"/>
      <c r="D907" s="127" t="n"/>
      <c r="E907" s="132" t="n"/>
      <c r="F907" s="130" t="n"/>
    </row>
    <row r="908" ht="15" customHeight="1" s="75">
      <c r="A908" s="124" t="n"/>
      <c r="B908" s="124" t="n"/>
      <c r="C908" s="127" t="n"/>
      <c r="D908" s="127" t="n"/>
      <c r="E908" s="132" t="n"/>
      <c r="F908" s="130" t="n"/>
    </row>
    <row r="909" ht="15" customHeight="1" s="75">
      <c r="A909" s="124" t="n"/>
      <c r="B909" s="124" t="n"/>
      <c r="C909" s="127" t="n"/>
      <c r="D909" s="127" t="n"/>
      <c r="E909" s="132" t="n"/>
      <c r="F909" s="130" t="n"/>
    </row>
    <row r="910" ht="15" customHeight="1" s="75">
      <c r="A910" s="124" t="n"/>
      <c r="B910" s="124" t="n"/>
      <c r="C910" s="127" t="n"/>
      <c r="D910" s="127" t="n"/>
      <c r="E910" s="132" t="n"/>
      <c r="F910" s="130" t="n"/>
    </row>
    <row r="911" ht="15" customHeight="1" s="75">
      <c r="A911" s="124" t="n"/>
      <c r="B911" s="124" t="n"/>
      <c r="C911" s="127" t="n"/>
      <c r="D911" s="127" t="n"/>
      <c r="E911" s="132" t="n"/>
      <c r="F911" s="130" t="n"/>
    </row>
    <row r="912" ht="15" customHeight="1" s="75">
      <c r="A912" s="124" t="n"/>
      <c r="B912" s="124" t="n"/>
      <c r="C912" s="127" t="n"/>
      <c r="D912" s="127" t="n"/>
      <c r="E912" s="132" t="n"/>
      <c r="F912" s="130" t="n"/>
    </row>
    <row r="913" ht="15" customHeight="1" s="75">
      <c r="A913" s="124" t="n"/>
      <c r="B913" s="124" t="n"/>
      <c r="C913" s="127" t="n"/>
      <c r="D913" s="127" t="n"/>
      <c r="E913" s="132" t="n"/>
      <c r="F913" s="130" t="n"/>
    </row>
    <row r="914" ht="15" customHeight="1" s="75">
      <c r="A914" s="124" t="n"/>
      <c r="B914" s="124" t="n"/>
      <c r="C914" s="127" t="n"/>
      <c r="D914" s="127" t="n"/>
      <c r="E914" s="132" t="n"/>
      <c r="F914" s="130" t="n"/>
    </row>
    <row r="915" ht="15" customHeight="1" s="75">
      <c r="A915" s="124" t="n"/>
      <c r="B915" s="124" t="n"/>
      <c r="C915" s="127" t="n"/>
      <c r="D915" s="127" t="n"/>
      <c r="E915" s="132" t="n"/>
      <c r="F915" s="130" t="n"/>
    </row>
    <row r="916" ht="15" customHeight="1" s="75">
      <c r="A916" s="124" t="n"/>
      <c r="B916" s="124" t="n"/>
      <c r="C916" s="127" t="n"/>
      <c r="D916" s="127" t="n"/>
      <c r="E916" s="132" t="n"/>
      <c r="F916" s="130" t="n"/>
    </row>
    <row r="917" ht="15" customHeight="1" s="75">
      <c r="A917" s="124" t="n"/>
      <c r="B917" s="124" t="n"/>
      <c r="C917" s="127" t="n"/>
      <c r="D917" s="127" t="n"/>
      <c r="E917" s="132" t="n"/>
      <c r="F917" s="130" t="n"/>
    </row>
    <row r="918" ht="15" customHeight="1" s="75">
      <c r="A918" s="124" t="n"/>
      <c r="B918" s="124" t="n"/>
      <c r="C918" s="127" t="n"/>
      <c r="D918" s="127" t="n"/>
      <c r="E918" s="132" t="n"/>
      <c r="F918" s="130" t="n"/>
    </row>
    <row r="919" ht="15" customHeight="1" s="75">
      <c r="A919" s="124" t="n"/>
      <c r="B919" s="124" t="n"/>
      <c r="C919" s="127" t="n"/>
      <c r="D919" s="127" t="n"/>
      <c r="E919" s="132" t="n"/>
      <c r="F919" s="130" t="n"/>
    </row>
    <row r="920" ht="15" customHeight="1" s="75">
      <c r="A920" s="124" t="n"/>
      <c r="B920" s="124" t="n"/>
      <c r="C920" s="127" t="n"/>
      <c r="D920" s="127" t="n"/>
      <c r="E920" s="132" t="n"/>
      <c r="F920" s="130" t="n"/>
    </row>
    <row r="921" ht="15" customHeight="1" s="75">
      <c r="A921" s="124" t="n"/>
      <c r="B921" s="124" t="n"/>
      <c r="C921" s="127" t="n"/>
      <c r="D921" s="127" t="n"/>
      <c r="E921" s="132" t="n"/>
      <c r="F921" s="130" t="n"/>
    </row>
    <row r="922" ht="15" customHeight="1" s="75">
      <c r="A922" s="124" t="n"/>
      <c r="B922" s="124" t="n"/>
      <c r="C922" s="127" t="n"/>
      <c r="D922" s="127" t="n"/>
      <c r="E922" s="132" t="n"/>
      <c r="F922" s="130" t="n"/>
    </row>
    <row r="923" ht="15" customHeight="1" s="75">
      <c r="A923" s="124" t="n"/>
      <c r="B923" s="124" t="n"/>
      <c r="C923" s="127" t="n"/>
      <c r="D923" s="127" t="n"/>
      <c r="E923" s="132" t="n"/>
      <c r="F923" s="130" t="n"/>
    </row>
    <row r="924" ht="15" customHeight="1" s="75">
      <c r="A924" s="124" t="n"/>
      <c r="B924" s="124" t="n"/>
      <c r="C924" s="127" t="n"/>
      <c r="D924" s="127" t="n"/>
      <c r="E924" s="132" t="n"/>
      <c r="F924" s="130" t="n"/>
    </row>
    <row r="925" ht="15" customHeight="1" s="75">
      <c r="A925" s="124" t="n"/>
      <c r="B925" s="124" t="n"/>
      <c r="C925" s="127" t="n"/>
      <c r="D925" s="127" t="n"/>
      <c r="E925" s="132" t="n"/>
      <c r="F925" s="130" t="n"/>
    </row>
    <row r="926" ht="15" customHeight="1" s="75">
      <c r="A926" s="124" t="n"/>
      <c r="B926" s="124" t="n"/>
      <c r="C926" s="127" t="n"/>
      <c r="D926" s="127" t="n"/>
      <c r="E926" s="132" t="n"/>
      <c r="F926" s="130" t="n"/>
    </row>
    <row r="927" ht="15" customHeight="1" s="75">
      <c r="A927" s="124" t="n"/>
      <c r="B927" s="124" t="n"/>
      <c r="C927" s="127" t="n"/>
      <c r="D927" s="127" t="n"/>
      <c r="E927" s="132" t="n"/>
      <c r="F927" s="130" t="n"/>
    </row>
    <row r="928" ht="15" customHeight="1" s="75">
      <c r="A928" s="124" t="n"/>
      <c r="B928" s="124" t="n"/>
      <c r="C928" s="127" t="n"/>
      <c r="D928" s="127" t="n"/>
      <c r="E928" s="132" t="n"/>
      <c r="F928" s="130" t="n"/>
    </row>
    <row r="929" ht="15" customHeight="1" s="75">
      <c r="A929" s="124" t="n"/>
      <c r="B929" s="124" t="n"/>
      <c r="C929" s="127" t="n"/>
      <c r="D929" s="127" t="n"/>
      <c r="E929" s="132" t="n"/>
      <c r="F929" s="130" t="n"/>
    </row>
    <row r="930" ht="15" customHeight="1" s="75">
      <c r="A930" s="124" t="n"/>
      <c r="B930" s="124" t="n"/>
      <c r="C930" s="127" t="n"/>
      <c r="D930" s="127" t="n"/>
      <c r="E930" s="132" t="n"/>
      <c r="F930" s="130" t="n"/>
    </row>
    <row r="931" ht="15" customHeight="1" s="75">
      <c r="A931" s="124" t="n"/>
      <c r="B931" s="124" t="n"/>
      <c r="C931" s="127" t="n"/>
      <c r="D931" s="127" t="n"/>
      <c r="E931" s="132" t="n"/>
      <c r="F931" s="130" t="n"/>
    </row>
    <row r="932" ht="15" customHeight="1" s="75">
      <c r="A932" s="124" t="n"/>
      <c r="B932" s="124" t="n"/>
      <c r="C932" s="127" t="n"/>
      <c r="D932" s="127" t="n"/>
      <c r="E932" s="132" t="n"/>
      <c r="F932" s="130" t="n"/>
    </row>
    <row r="933" ht="15" customHeight="1" s="75">
      <c r="A933" s="124" t="n"/>
      <c r="B933" s="124" t="n"/>
      <c r="C933" s="127" t="n"/>
      <c r="D933" s="127" t="n"/>
      <c r="E933" s="132" t="n"/>
      <c r="F933" s="130" t="n"/>
    </row>
    <row r="934" ht="15" customHeight="1" s="75">
      <c r="A934" s="124" t="n"/>
      <c r="B934" s="124" t="n"/>
      <c r="C934" s="127" t="n"/>
      <c r="D934" s="127" t="n"/>
      <c r="E934" s="132" t="n"/>
      <c r="F934" s="130" t="n"/>
    </row>
    <row r="935" ht="15" customHeight="1" s="75">
      <c r="A935" s="124" t="n"/>
      <c r="B935" s="124" t="n"/>
      <c r="C935" s="127" t="n"/>
      <c r="D935" s="127" t="n"/>
      <c r="E935" s="132" t="n"/>
      <c r="F935" s="130" t="n"/>
    </row>
    <row r="936" ht="15" customHeight="1" s="75">
      <c r="A936" s="124" t="n"/>
      <c r="B936" s="124" t="n"/>
      <c r="C936" s="127" t="n"/>
      <c r="D936" s="127" t="n"/>
      <c r="E936" s="132" t="n"/>
      <c r="F936" s="130" t="n"/>
    </row>
    <row r="937" ht="15" customHeight="1" s="75">
      <c r="A937" s="124" t="n"/>
      <c r="B937" s="124" t="n"/>
      <c r="C937" s="127" t="n"/>
      <c r="D937" s="127" t="n"/>
      <c r="E937" s="132" t="n"/>
      <c r="F937" s="130" t="n"/>
    </row>
    <row r="938" ht="15" customHeight="1" s="75">
      <c r="A938" s="124" t="n"/>
      <c r="B938" s="124" t="n"/>
      <c r="C938" s="127" t="n"/>
      <c r="D938" s="127" t="n"/>
      <c r="E938" s="132" t="n"/>
      <c r="F938" s="130" t="n"/>
    </row>
    <row r="939" ht="15" customHeight="1" s="75">
      <c r="A939" s="124" t="n"/>
      <c r="B939" s="124" t="n"/>
      <c r="C939" s="127" t="n"/>
      <c r="D939" s="127" t="n"/>
      <c r="E939" s="132" t="n"/>
      <c r="F939" s="130" t="n"/>
    </row>
    <row r="940" ht="15" customHeight="1" s="75">
      <c r="A940" s="124" t="n"/>
      <c r="B940" s="124" t="n"/>
      <c r="C940" s="127" t="n"/>
      <c r="D940" s="127" t="n"/>
      <c r="E940" s="132" t="n"/>
      <c r="F940" s="130" t="n"/>
    </row>
    <row r="941" ht="15" customHeight="1" s="75">
      <c r="A941" s="124" t="n"/>
      <c r="B941" s="124" t="n"/>
      <c r="C941" s="127" t="n"/>
      <c r="D941" s="127" t="n"/>
      <c r="E941" s="132" t="n"/>
      <c r="F941" s="130" t="n"/>
    </row>
    <row r="942" ht="15" customHeight="1" s="75">
      <c r="A942" s="124" t="n"/>
      <c r="B942" s="124" t="n"/>
      <c r="C942" s="127" t="n"/>
      <c r="D942" s="127" t="n"/>
      <c r="E942" s="132" t="n"/>
      <c r="F942" s="130" t="n"/>
    </row>
    <row r="943" ht="15" customHeight="1" s="75">
      <c r="A943" s="124" t="n"/>
      <c r="B943" s="124" t="n"/>
      <c r="C943" s="127" t="n"/>
      <c r="D943" s="127" t="n"/>
      <c r="E943" s="132" t="n"/>
      <c r="F943" s="130" t="n"/>
    </row>
    <row r="944" ht="15" customHeight="1" s="75">
      <c r="A944" s="124" t="n"/>
      <c r="B944" s="124" t="n"/>
      <c r="C944" s="127" t="n"/>
      <c r="D944" s="127" t="n"/>
      <c r="E944" s="132" t="n"/>
      <c r="F944" s="130" t="n"/>
    </row>
    <row r="945" ht="15" customHeight="1" s="75">
      <c r="A945" s="124" t="n"/>
      <c r="B945" s="124" t="n"/>
      <c r="C945" s="127" t="n"/>
      <c r="D945" s="127" t="n"/>
      <c r="E945" s="132" t="n"/>
      <c r="F945" s="130" t="n"/>
    </row>
    <row r="946" ht="15" customHeight="1" s="75">
      <c r="A946" s="124" t="n"/>
      <c r="B946" s="124" t="n"/>
      <c r="C946" s="127" t="n"/>
      <c r="D946" s="127" t="n"/>
      <c r="E946" s="132" t="n"/>
      <c r="F946" s="130" t="n"/>
    </row>
    <row r="947" ht="15" customHeight="1" s="75">
      <c r="A947" s="124" t="n"/>
      <c r="B947" s="124" t="n"/>
      <c r="C947" s="127" t="n"/>
      <c r="D947" s="127" t="n"/>
      <c r="E947" s="132" t="n"/>
      <c r="F947" s="130" t="n"/>
    </row>
    <row r="948" ht="15" customHeight="1" s="75">
      <c r="A948" s="124" t="n"/>
      <c r="B948" s="124" t="n"/>
      <c r="C948" s="127" t="n"/>
      <c r="D948" s="127" t="n"/>
      <c r="E948" s="132" t="n"/>
      <c r="F948" s="130" t="n"/>
    </row>
    <row r="949" ht="15" customHeight="1" s="75">
      <c r="A949" s="124" t="n"/>
      <c r="B949" s="124" t="n"/>
      <c r="C949" s="127" t="n"/>
      <c r="D949" s="127" t="n"/>
      <c r="E949" s="132" t="n"/>
      <c r="F949" s="130" t="n"/>
    </row>
    <row r="950" ht="15" customHeight="1" s="75">
      <c r="A950" s="124" t="n"/>
      <c r="B950" s="124" t="n"/>
      <c r="C950" s="127" t="n"/>
      <c r="D950" s="127" t="n"/>
      <c r="E950" s="132" t="n"/>
      <c r="F950" s="130" t="n"/>
    </row>
    <row r="951" ht="15" customHeight="1" s="75">
      <c r="A951" s="124" t="n"/>
      <c r="B951" s="124" t="n"/>
      <c r="C951" s="127" t="n"/>
      <c r="D951" s="127" t="n"/>
      <c r="E951" s="132" t="n"/>
      <c r="F951" s="130" t="n"/>
    </row>
    <row r="952" ht="15" customHeight="1" s="75">
      <c r="A952" s="124" t="n"/>
      <c r="B952" s="124" t="n"/>
      <c r="C952" s="127" t="n"/>
      <c r="D952" s="127" t="n"/>
      <c r="E952" s="132" t="n"/>
      <c r="F952" s="130" t="n"/>
    </row>
    <row r="953" ht="15" customHeight="1" s="75">
      <c r="A953" s="124" t="n"/>
      <c r="B953" s="124" t="n"/>
      <c r="C953" s="127" t="n"/>
      <c r="D953" s="127" t="n"/>
      <c r="E953" s="132" t="n"/>
      <c r="F953" s="130" t="n"/>
    </row>
    <row r="954" ht="15" customHeight="1" s="75">
      <c r="A954" s="124" t="n"/>
      <c r="B954" s="124" t="n"/>
      <c r="C954" s="127" t="n"/>
      <c r="D954" s="127" t="n"/>
      <c r="E954" s="132" t="n"/>
      <c r="F954" s="130" t="n"/>
    </row>
    <row r="955" ht="15" customHeight="1" s="75">
      <c r="A955" s="124" t="n"/>
      <c r="B955" s="124" t="n"/>
      <c r="C955" s="127" t="n"/>
      <c r="D955" s="127" t="n"/>
      <c r="E955" s="132" t="n"/>
      <c r="F955" s="130" t="n"/>
    </row>
    <row r="956" ht="15" customHeight="1" s="75">
      <c r="A956" s="124" t="n"/>
      <c r="B956" s="124" t="n"/>
      <c r="C956" s="127" t="n"/>
      <c r="D956" s="127" t="n"/>
      <c r="E956" s="132" t="n"/>
      <c r="F956" s="130" t="n"/>
    </row>
    <row r="957" ht="15" customHeight="1" s="75">
      <c r="A957" s="124" t="n"/>
      <c r="B957" s="124" t="n"/>
      <c r="C957" s="127" t="n"/>
      <c r="D957" s="127" t="n"/>
      <c r="E957" s="132" t="n"/>
      <c r="F957" s="130" t="n"/>
    </row>
    <row r="958" ht="15" customHeight="1" s="75">
      <c r="A958" s="124" t="n"/>
      <c r="B958" s="124" t="n"/>
      <c r="C958" s="127" t="n"/>
      <c r="D958" s="127" t="n"/>
      <c r="E958" s="132" t="n"/>
      <c r="F958" s="130" t="n"/>
    </row>
    <row r="959" ht="15" customHeight="1" s="75">
      <c r="A959" s="124" t="n"/>
      <c r="B959" s="124" t="n"/>
      <c r="C959" s="127" t="n"/>
      <c r="D959" s="127" t="n"/>
      <c r="E959" s="132" t="n"/>
      <c r="F959" s="130" t="n"/>
    </row>
    <row r="960" ht="15" customHeight="1" s="75">
      <c r="A960" s="124" t="n"/>
      <c r="B960" s="124" t="n"/>
      <c r="C960" s="127" t="n"/>
      <c r="D960" s="127" t="n"/>
      <c r="E960" s="132" t="n"/>
      <c r="F960" s="130" t="n"/>
    </row>
    <row r="961" ht="15" customHeight="1" s="75">
      <c r="A961" s="124" t="n"/>
      <c r="B961" s="124" t="n"/>
      <c r="C961" s="127" t="n"/>
      <c r="D961" s="127" t="n"/>
      <c r="E961" s="132" t="n"/>
      <c r="F961" s="130" t="n"/>
    </row>
    <row r="962" ht="15" customHeight="1" s="75">
      <c r="A962" s="124" t="n"/>
      <c r="B962" s="124" t="n"/>
      <c r="C962" s="127" t="n"/>
      <c r="D962" s="127" t="n"/>
      <c r="E962" s="132" t="n"/>
      <c r="F962" s="130" t="n"/>
    </row>
    <row r="963" ht="15" customHeight="1" s="75">
      <c r="A963" s="124" t="n"/>
      <c r="B963" s="124" t="n"/>
      <c r="C963" s="127" t="n"/>
      <c r="D963" s="127" t="n"/>
      <c r="E963" s="132" t="n"/>
      <c r="F963" s="130" t="n"/>
    </row>
    <row r="964" ht="15" customHeight="1" s="75">
      <c r="A964" s="124" t="n"/>
      <c r="B964" s="124" t="n"/>
      <c r="C964" s="127" t="n"/>
      <c r="D964" s="127" t="n"/>
      <c r="E964" s="132" t="n"/>
      <c r="F964" s="130" t="n"/>
    </row>
    <row r="965" ht="15" customHeight="1" s="75">
      <c r="A965" s="124" t="n"/>
      <c r="B965" s="124" t="n"/>
      <c r="C965" s="127" t="n"/>
      <c r="D965" s="127" t="n"/>
      <c r="E965" s="132" t="n"/>
      <c r="F965" s="130" t="n"/>
    </row>
    <row r="966" ht="15" customHeight="1" s="75">
      <c r="A966" s="124" t="n"/>
      <c r="B966" s="124" t="n"/>
      <c r="C966" s="127" t="n"/>
      <c r="D966" s="127" t="n"/>
      <c r="E966" s="132" t="n"/>
      <c r="F966" s="130" t="n"/>
    </row>
    <row r="967" ht="15" customHeight="1" s="75">
      <c r="A967" s="124" t="n"/>
      <c r="B967" s="124" t="n"/>
      <c r="C967" s="127" t="n"/>
      <c r="D967" s="127" t="n"/>
      <c r="E967" s="132" t="n"/>
      <c r="F967" s="130" t="n"/>
    </row>
    <row r="968" ht="15" customHeight="1" s="75">
      <c r="A968" s="124" t="n"/>
      <c r="B968" s="124" t="n"/>
      <c r="C968" s="127" t="n"/>
      <c r="D968" s="127" t="n"/>
      <c r="E968" s="132" t="n"/>
      <c r="F968" s="130" t="n"/>
    </row>
    <row r="969" ht="15" customHeight="1" s="75">
      <c r="A969" s="124" t="n"/>
      <c r="B969" s="124" t="n"/>
      <c r="C969" s="127" t="n"/>
      <c r="D969" s="127" t="n"/>
      <c r="E969" s="132" t="n"/>
      <c r="F969" s="130" t="n"/>
    </row>
    <row r="970" ht="15" customHeight="1" s="75">
      <c r="A970" s="124" t="n"/>
      <c r="B970" s="124" t="n"/>
      <c r="C970" s="127" t="n"/>
      <c r="D970" s="127" t="n"/>
      <c r="E970" s="132" t="n"/>
      <c r="F970" s="130" t="n"/>
    </row>
    <row r="971" ht="15" customHeight="1" s="75">
      <c r="A971" s="124" t="n"/>
      <c r="B971" s="124" t="n"/>
      <c r="C971" s="127" t="n"/>
      <c r="D971" s="127" t="n"/>
      <c r="E971" s="132" t="n"/>
      <c r="F971" s="130" t="n"/>
    </row>
    <row r="972" ht="15" customHeight="1" s="75">
      <c r="A972" s="124" t="n"/>
      <c r="B972" s="124" t="n"/>
      <c r="C972" s="127" t="n"/>
      <c r="D972" s="127" t="n"/>
      <c r="E972" s="132" t="n"/>
      <c r="F972" s="130" t="n"/>
    </row>
    <row r="973" ht="15" customHeight="1" s="75">
      <c r="A973" s="124" t="n"/>
      <c r="B973" s="124" t="n"/>
      <c r="C973" s="127" t="n"/>
      <c r="D973" s="127" t="n"/>
      <c r="E973" s="132" t="n"/>
      <c r="F973" s="130" t="n"/>
    </row>
    <row r="974" ht="15" customHeight="1" s="75">
      <c r="A974" s="124" t="n"/>
      <c r="B974" s="124" t="n"/>
      <c r="C974" s="127" t="n"/>
      <c r="D974" s="127" t="n"/>
      <c r="E974" s="132" t="n"/>
      <c r="F974" s="130" t="n"/>
    </row>
    <row r="975" ht="15" customHeight="1" s="75">
      <c r="A975" s="124" t="n"/>
      <c r="B975" s="124" t="n"/>
      <c r="C975" s="127" t="n"/>
      <c r="D975" s="127" t="n"/>
      <c r="E975" s="132" t="n"/>
      <c r="F975" s="130" t="n"/>
    </row>
    <row r="976" ht="15" customHeight="1" s="75">
      <c r="A976" s="124" t="n"/>
      <c r="B976" s="124" t="n"/>
      <c r="C976" s="127" t="n"/>
      <c r="D976" s="127" t="n"/>
      <c r="E976" s="132" t="n"/>
      <c r="F976" s="130" t="n"/>
    </row>
    <row r="977" ht="15" customHeight="1" s="75">
      <c r="A977" s="124" t="n"/>
      <c r="B977" s="124" t="n"/>
      <c r="C977" s="127" t="n"/>
      <c r="D977" s="127" t="n"/>
      <c r="E977" s="132" t="n"/>
      <c r="F977" s="130" t="n"/>
    </row>
    <row r="978" ht="15" customHeight="1" s="75">
      <c r="A978" s="124" t="n"/>
      <c r="B978" s="124" t="n"/>
      <c r="C978" s="127" t="n"/>
      <c r="D978" s="127" t="n"/>
      <c r="E978" s="132" t="n"/>
      <c r="F978" s="130" t="n"/>
    </row>
    <row r="979" ht="15" customHeight="1" s="75">
      <c r="A979" s="124" t="n"/>
      <c r="B979" s="124" t="n"/>
      <c r="C979" s="127" t="n"/>
      <c r="D979" s="127" t="n"/>
      <c r="E979" s="132" t="n"/>
      <c r="F979" s="130" t="n"/>
    </row>
    <row r="980" ht="15" customHeight="1" s="75">
      <c r="A980" s="124" t="n"/>
      <c r="B980" s="124" t="n"/>
      <c r="C980" s="127" t="n"/>
      <c r="D980" s="127" t="n"/>
      <c r="E980" s="132" t="n"/>
      <c r="F980" s="130" t="n"/>
    </row>
    <row r="981" ht="15" customHeight="1" s="75">
      <c r="A981" s="124" t="n"/>
      <c r="B981" s="124" t="n"/>
      <c r="C981" s="127" t="n"/>
      <c r="D981" s="127" t="n"/>
      <c r="E981" s="132" t="n"/>
      <c r="F981" s="130" t="n"/>
    </row>
    <row r="982" ht="15" customHeight="1" s="75">
      <c r="A982" s="124" t="n"/>
      <c r="B982" s="124" t="n"/>
      <c r="C982" s="127" t="n"/>
      <c r="D982" s="127" t="n"/>
      <c r="E982" s="132" t="n"/>
      <c r="F982" s="130" t="n"/>
    </row>
    <row r="983" ht="15" customHeight="1" s="75">
      <c r="A983" s="124" t="n"/>
      <c r="B983" s="124" t="n"/>
      <c r="C983" s="127" t="n"/>
      <c r="D983" s="127" t="n"/>
      <c r="E983" s="132" t="n"/>
      <c r="F983" s="130" t="n"/>
    </row>
    <row r="984" ht="15" customHeight="1" s="75">
      <c r="A984" s="124" t="n"/>
      <c r="B984" s="124" t="n"/>
      <c r="C984" s="127" t="n"/>
      <c r="D984" s="127" t="n"/>
      <c r="E984" s="132" t="n"/>
      <c r="F984" s="130" t="n"/>
    </row>
    <row r="985" ht="15" customHeight="1" s="75">
      <c r="A985" s="124" t="n"/>
      <c r="B985" s="124" t="n"/>
      <c r="C985" s="127" t="n"/>
      <c r="D985" s="127" t="n"/>
      <c r="E985" s="132" t="n"/>
      <c r="F985" s="130" t="n"/>
    </row>
    <row r="986" ht="15" customHeight="1" s="75">
      <c r="A986" s="124" t="n"/>
      <c r="B986" s="124" t="n"/>
      <c r="C986" s="127" t="n"/>
      <c r="D986" s="127" t="n"/>
      <c r="E986" s="132" t="n"/>
      <c r="F986" s="130" t="n"/>
    </row>
    <row r="987" ht="15" customHeight="1" s="75">
      <c r="A987" s="124" t="n"/>
      <c r="B987" s="124" t="n"/>
      <c r="C987" s="127" t="n"/>
      <c r="D987" s="127" t="n"/>
      <c r="E987" s="132" t="n"/>
      <c r="F987" s="130" t="n"/>
    </row>
    <row r="988" ht="15" customHeight="1" s="75">
      <c r="A988" s="124" t="n"/>
      <c r="B988" s="124" t="n"/>
      <c r="C988" s="127" t="n"/>
      <c r="D988" s="127" t="n"/>
      <c r="E988" s="132" t="n"/>
      <c r="F988" s="130" t="n"/>
    </row>
    <row r="989" ht="15" customHeight="1" s="75">
      <c r="A989" s="124" t="n"/>
      <c r="B989" s="124" t="n"/>
      <c r="C989" s="127" t="n"/>
      <c r="D989" s="127" t="n"/>
      <c r="E989" s="132" t="n"/>
      <c r="F989" s="130" t="n"/>
    </row>
    <row r="990" ht="15" customHeight="1" s="75">
      <c r="A990" s="124" t="n"/>
      <c r="B990" s="124" t="n"/>
      <c r="C990" s="127" t="n"/>
      <c r="D990" s="127" t="n"/>
      <c r="E990" s="132" t="n"/>
      <c r="F990" s="130" t="n"/>
    </row>
    <row r="991" ht="15" customHeight="1" s="75">
      <c r="A991" s="124" t="n"/>
      <c r="B991" s="124" t="n"/>
      <c r="C991" s="127" t="n"/>
      <c r="D991" s="127" t="n"/>
      <c r="E991" s="132" t="n"/>
      <c r="F991" s="130" t="n"/>
    </row>
    <row r="992" ht="15" customHeight="1" s="75">
      <c r="A992" s="124" t="n"/>
      <c r="B992" s="124" t="n"/>
      <c r="C992" s="127" t="n"/>
      <c r="D992" s="127" t="n"/>
      <c r="E992" s="132" t="n"/>
      <c r="F992" s="130" t="n"/>
    </row>
    <row r="993" ht="15" customHeight="1" s="75">
      <c r="A993" s="124" t="n"/>
      <c r="B993" s="124" t="n"/>
      <c r="C993" s="127" t="n"/>
      <c r="D993" s="127" t="n"/>
      <c r="E993" s="132" t="n"/>
      <c r="F993" s="130" t="n"/>
    </row>
    <row r="994" ht="15" customHeight="1" s="75">
      <c r="A994" s="124" t="n"/>
      <c r="B994" s="124" t="n"/>
      <c r="C994" s="127" t="n"/>
      <c r="D994" s="127" t="n"/>
      <c r="E994" s="132" t="n"/>
      <c r="F994" s="130" t="n"/>
    </row>
    <row r="995" ht="15" customHeight="1" s="75">
      <c r="A995" s="124" t="n"/>
      <c r="B995" s="124" t="n"/>
      <c r="C995" s="127" t="n"/>
      <c r="D995" s="127" t="n"/>
      <c r="E995" s="132" t="n"/>
      <c r="F995" s="130" t="n"/>
    </row>
    <row r="996" ht="15" customHeight="1" s="75">
      <c r="A996" s="124" t="n"/>
      <c r="B996" s="124" t="n"/>
      <c r="C996" s="127" t="n"/>
      <c r="D996" s="127" t="n"/>
      <c r="E996" s="132" t="n"/>
      <c r="F996" s="130" t="n"/>
    </row>
    <row r="997" ht="15" customHeight="1" s="75">
      <c r="A997" s="124" t="n"/>
      <c r="B997" s="124" t="n"/>
      <c r="C997" s="127" t="n"/>
      <c r="D997" s="127" t="n"/>
      <c r="E997" s="132" t="n"/>
      <c r="F997" s="130" t="n"/>
    </row>
    <row r="998" ht="15" customHeight="1" s="75">
      <c r="A998" s="124" t="n"/>
      <c r="B998" s="124" t="n"/>
      <c r="C998" s="127" t="n"/>
      <c r="D998" s="127" t="n"/>
      <c r="E998" s="132" t="n"/>
      <c r="F998" s="130" t="n"/>
    </row>
    <row r="999" ht="15" customHeight="1" s="75">
      <c r="A999" s="124" t="n"/>
      <c r="B999" s="124" t="n"/>
      <c r="C999" s="127" t="n"/>
      <c r="D999" s="127" t="n"/>
      <c r="E999" s="132" t="n"/>
      <c r="F999" s="130" t="n"/>
    </row>
    <row r="1000" ht="15" customHeight="1" s="75">
      <c r="A1000" s="124" t="n"/>
      <c r="B1000" s="124" t="n"/>
      <c r="C1000" s="127" t="n"/>
      <c r="D1000" s="127" t="n"/>
      <c r="E1000" s="132" t="n"/>
      <c r="F1000" s="130" t="n"/>
    </row>
    <row r="1001" ht="15" customHeight="1" s="75">
      <c r="A1001" s="124" t="n"/>
      <c r="B1001" s="124" t="n"/>
      <c r="C1001" s="127" t="n"/>
      <c r="D1001" s="127" t="n"/>
      <c r="E1001" s="132" t="n"/>
      <c r="F1001" s="130" t="n"/>
    </row>
    <row r="1002" ht="15" customHeight="1" s="75">
      <c r="A1002" s="124" t="n"/>
      <c r="B1002" s="124" t="n"/>
      <c r="C1002" s="127" t="n"/>
      <c r="D1002" s="127" t="n"/>
      <c r="E1002" s="132" t="n"/>
      <c r="F1002" s="130" t="n"/>
    </row>
    <row r="1003" ht="15" customHeight="1" s="75">
      <c r="A1003" s="124" t="n"/>
      <c r="B1003" s="124" t="n"/>
      <c r="C1003" s="127" t="n"/>
      <c r="D1003" s="127" t="n"/>
      <c r="E1003" s="132" t="n"/>
      <c r="F1003" s="130" t="n"/>
    </row>
    <row r="1004" ht="15" customHeight="1" s="75">
      <c r="A1004" s="124" t="n"/>
      <c r="B1004" s="124" t="n"/>
      <c r="C1004" s="127" t="n"/>
      <c r="D1004" s="127" t="n"/>
      <c r="E1004" s="132" t="n"/>
      <c r="F1004" s="130" t="n"/>
    </row>
    <row r="1005" ht="15" customHeight="1" s="75">
      <c r="A1005" s="124" t="n"/>
      <c r="B1005" s="124" t="n"/>
      <c r="C1005" s="127" t="n"/>
      <c r="D1005" s="127" t="n"/>
      <c r="E1005" s="132" t="n"/>
      <c r="F1005" s="130" t="n"/>
    </row>
    <row r="1006" ht="15" customHeight="1" s="75">
      <c r="A1006" s="124" t="n"/>
      <c r="B1006" s="124" t="n"/>
      <c r="C1006" s="127" t="n"/>
      <c r="D1006" s="127" t="n"/>
      <c r="E1006" s="132" t="n"/>
      <c r="F1006" s="130" t="n"/>
    </row>
    <row r="1007" ht="15" customHeight="1" s="75">
      <c r="A1007" s="124" t="n"/>
      <c r="B1007" s="124" t="n"/>
      <c r="C1007" s="127" t="n"/>
      <c r="D1007" s="127" t="n"/>
      <c r="E1007" s="132" t="n"/>
      <c r="F1007" s="130" t="n"/>
    </row>
    <row r="1008" ht="15" customHeight="1" s="75">
      <c r="A1008" s="124" t="n"/>
      <c r="B1008" s="124" t="n"/>
      <c r="C1008" s="127" t="n"/>
      <c r="D1008" s="127" t="n"/>
      <c r="E1008" s="132" t="n"/>
      <c r="F1008" s="130" t="n"/>
    </row>
    <row r="1009" ht="15" customHeight="1" s="75">
      <c r="A1009" s="124" t="n"/>
      <c r="B1009" s="124" t="n"/>
      <c r="C1009" s="127" t="n"/>
      <c r="D1009" s="127" t="n"/>
      <c r="E1009" s="132" t="n"/>
      <c r="F1009" s="130" t="n"/>
    </row>
    <row r="1010" ht="15" customHeight="1" s="75">
      <c r="A1010" s="124" t="n"/>
      <c r="B1010" s="124" t="n"/>
      <c r="C1010" s="127" t="n"/>
      <c r="D1010" s="127" t="n"/>
      <c r="E1010" s="132" t="n"/>
      <c r="F1010" s="130" t="n"/>
    </row>
    <row r="1011" ht="15" customHeight="1" s="75">
      <c r="A1011" s="124" t="n"/>
      <c r="B1011" s="124" t="n"/>
      <c r="C1011" s="127" t="n"/>
      <c r="D1011" s="127" t="n"/>
      <c r="E1011" s="132" t="n"/>
      <c r="F1011" s="130" t="n"/>
    </row>
    <row r="1012" ht="15" customHeight="1" s="75">
      <c r="A1012" s="124" t="n"/>
      <c r="B1012" s="124" t="n"/>
      <c r="C1012" s="127" t="n"/>
      <c r="D1012" s="127" t="n"/>
      <c r="E1012" s="132" t="n"/>
      <c r="F1012" s="130" t="n"/>
    </row>
    <row r="1013" ht="15" customHeight="1" s="75">
      <c r="A1013" s="124" t="n"/>
      <c r="B1013" s="124" t="n"/>
      <c r="C1013" s="127" t="n"/>
      <c r="D1013" s="127" t="n"/>
      <c r="E1013" s="132" t="n"/>
      <c r="F1013" s="130" t="n"/>
    </row>
    <row r="1014" ht="15" customHeight="1" s="75">
      <c r="A1014" s="124" t="n"/>
      <c r="B1014" s="124" t="n"/>
      <c r="C1014" s="127" t="n"/>
      <c r="D1014" s="127" t="n"/>
      <c r="E1014" s="132" t="n"/>
      <c r="F1014" s="130" t="n"/>
    </row>
    <row r="1015" ht="15" customHeight="1" s="75">
      <c r="A1015" s="124" t="n"/>
      <c r="B1015" s="124" t="n"/>
      <c r="C1015" s="127" t="n"/>
      <c r="D1015" s="127" t="n"/>
      <c r="E1015" s="132" t="n"/>
      <c r="F1015" s="130" t="n"/>
    </row>
    <row r="1016" ht="15" customHeight="1" s="75">
      <c r="A1016" s="124" t="n"/>
      <c r="B1016" s="124" t="n"/>
      <c r="C1016" s="127" t="n"/>
      <c r="D1016" s="127" t="n"/>
      <c r="E1016" s="132" t="n"/>
      <c r="F1016" s="130" t="n"/>
    </row>
    <row r="1017" ht="15" customHeight="1" s="75">
      <c r="A1017" s="124" t="n"/>
      <c r="B1017" s="124" t="n"/>
      <c r="C1017" s="127" t="n"/>
      <c r="D1017" s="127" t="n"/>
      <c r="E1017" s="132" t="n"/>
      <c r="F1017" s="130" t="n"/>
    </row>
    <row r="1018" ht="15" customHeight="1" s="75">
      <c r="A1018" s="124" t="n"/>
      <c r="B1018" s="124" t="n"/>
      <c r="C1018" s="127" t="n"/>
      <c r="D1018" s="127" t="n"/>
      <c r="E1018" s="132" t="n"/>
      <c r="F1018" s="130" t="n"/>
    </row>
    <row r="1019" ht="15" customHeight="1" s="75">
      <c r="A1019" s="124" t="n"/>
      <c r="B1019" s="124" t="n"/>
      <c r="C1019" s="127" t="n"/>
      <c r="D1019" s="127" t="n"/>
      <c r="E1019" s="132" t="n"/>
      <c r="F1019" s="130" t="n"/>
    </row>
    <row r="1020" ht="15" customHeight="1" s="75">
      <c r="A1020" s="124" t="n"/>
      <c r="B1020" s="124" t="n"/>
      <c r="C1020" s="127" t="n"/>
      <c r="D1020" s="127" t="n"/>
      <c r="E1020" s="132" t="n"/>
      <c r="F1020" s="130" t="n"/>
    </row>
    <row r="1021" ht="15" customHeight="1" s="75">
      <c r="A1021" s="124" t="n"/>
      <c r="B1021" s="124" t="n"/>
      <c r="C1021" s="127" t="n"/>
      <c r="D1021" s="127" t="n"/>
      <c r="E1021" s="132" t="n"/>
      <c r="F1021" s="130" t="n"/>
    </row>
    <row r="1022" ht="15" customHeight="1" s="75">
      <c r="A1022" s="124" t="n"/>
      <c r="B1022" s="124" t="n"/>
      <c r="C1022" s="127" t="n"/>
      <c r="D1022" s="127" t="n"/>
      <c r="E1022" s="132" t="n"/>
      <c r="F1022" s="130" t="n"/>
    </row>
    <row r="1023" ht="15" customHeight="1" s="75">
      <c r="A1023" s="124" t="n"/>
      <c r="B1023" s="124" t="n"/>
      <c r="C1023" s="127" t="n"/>
      <c r="D1023" s="127" t="n"/>
      <c r="E1023" s="132" t="n"/>
      <c r="F1023" s="130" t="n"/>
    </row>
    <row r="1024" ht="15" customHeight="1" s="75">
      <c r="A1024" s="124" t="n"/>
      <c r="B1024" s="124" t="n"/>
      <c r="C1024" s="127" t="n"/>
      <c r="D1024" s="127" t="n"/>
      <c r="E1024" s="132" t="n"/>
      <c r="F1024" s="130" t="n"/>
    </row>
    <row r="1025" ht="15" customHeight="1" s="75">
      <c r="A1025" s="124" t="n"/>
      <c r="B1025" s="124" t="n"/>
      <c r="C1025" s="127" t="n"/>
      <c r="D1025" s="127" t="n"/>
      <c r="E1025" s="132" t="n"/>
      <c r="F1025" s="130" t="n"/>
    </row>
    <row r="1026" ht="15" customHeight="1" s="75">
      <c r="A1026" s="124" t="n"/>
      <c r="B1026" s="124" t="n"/>
      <c r="C1026" s="127" t="n"/>
      <c r="D1026" s="127" t="n"/>
      <c r="E1026" s="132" t="n"/>
      <c r="F1026" s="130" t="n"/>
    </row>
    <row r="1027" ht="15" customHeight="1" s="75">
      <c r="A1027" s="124" t="n"/>
      <c r="B1027" s="124" t="n"/>
      <c r="C1027" s="127" t="n"/>
      <c r="D1027" s="127" t="n"/>
      <c r="E1027" s="132" t="n"/>
      <c r="F1027" s="130" t="n"/>
    </row>
    <row r="1028" ht="15" customHeight="1" s="75">
      <c r="A1028" s="124" t="n"/>
      <c r="B1028" s="124" t="n"/>
      <c r="C1028" s="127" t="n"/>
      <c r="D1028" s="127" t="n"/>
      <c r="E1028" s="132" t="n"/>
      <c r="F1028" s="130" t="n"/>
    </row>
    <row r="1029" ht="15" customHeight="1" s="75">
      <c r="A1029" s="124" t="n"/>
      <c r="B1029" s="124" t="n"/>
      <c r="C1029" s="127" t="n"/>
      <c r="D1029" s="127" t="n"/>
      <c r="E1029" s="132" t="n"/>
      <c r="F1029" s="130" t="n"/>
    </row>
    <row r="1030" ht="15" customHeight="1" s="75">
      <c r="A1030" s="124" t="n"/>
      <c r="B1030" s="124" t="n"/>
      <c r="C1030" s="127" t="n"/>
      <c r="D1030" s="127" t="n"/>
      <c r="E1030" s="132" t="n"/>
      <c r="F1030" s="130" t="n"/>
    </row>
    <row r="1031" ht="15" customHeight="1" s="75">
      <c r="A1031" s="124" t="n"/>
      <c r="B1031" s="124" t="n"/>
      <c r="C1031" s="127" t="n"/>
      <c r="D1031" s="127" t="n"/>
      <c r="E1031" s="132" t="n"/>
      <c r="F1031" s="130" t="n"/>
    </row>
    <row r="1032" ht="15" customHeight="1" s="75">
      <c r="A1032" s="124" t="n"/>
      <c r="B1032" s="124" t="n"/>
      <c r="C1032" s="127" t="n"/>
      <c r="D1032" s="127" t="n"/>
      <c r="E1032" s="132" t="n"/>
      <c r="F1032" s="130" t="n"/>
    </row>
    <row r="1033" ht="15" customHeight="1" s="75">
      <c r="A1033" s="124" t="n"/>
      <c r="B1033" s="124" t="n"/>
      <c r="C1033" s="127" t="n"/>
      <c r="D1033" s="127" t="n"/>
      <c r="E1033" s="132" t="n"/>
      <c r="F1033" s="130" t="n"/>
    </row>
    <row r="1034" ht="15" customHeight="1" s="75">
      <c r="A1034" s="124" t="n"/>
      <c r="B1034" s="124" t="n"/>
      <c r="C1034" s="127" t="n"/>
      <c r="D1034" s="127" t="n"/>
      <c r="E1034" s="132" t="n"/>
      <c r="F1034" s="130" t="n"/>
    </row>
    <row r="1035" ht="15" customHeight="1" s="75">
      <c r="A1035" s="124" t="n"/>
      <c r="B1035" s="124" t="n"/>
      <c r="C1035" s="127" t="n"/>
      <c r="D1035" s="127" t="n"/>
      <c r="E1035" s="132" t="n"/>
      <c r="F1035" s="130" t="n"/>
    </row>
    <row r="1036" ht="15" customHeight="1" s="75">
      <c r="A1036" s="124" t="n"/>
      <c r="B1036" s="124" t="n"/>
      <c r="C1036" s="127" t="n"/>
      <c r="D1036" s="127" t="n"/>
      <c r="E1036" s="132" t="n"/>
      <c r="F1036" s="130" t="n"/>
    </row>
    <row r="1037" ht="15" customHeight="1" s="75">
      <c r="A1037" s="124" t="n"/>
      <c r="B1037" s="124" t="n"/>
      <c r="C1037" s="127" t="n"/>
      <c r="D1037" s="127" t="n"/>
      <c r="E1037" s="132" t="n"/>
      <c r="F1037" s="130" t="n"/>
    </row>
    <row r="1038" ht="15" customHeight="1" s="75">
      <c r="A1038" s="124" t="n"/>
      <c r="B1038" s="124" t="n"/>
      <c r="C1038" s="127" t="n"/>
      <c r="D1038" s="127" t="n"/>
      <c r="E1038" s="132" t="n"/>
      <c r="F1038" s="130" t="n"/>
    </row>
    <row r="1039" ht="15" customHeight="1" s="75">
      <c r="A1039" s="124" t="n"/>
      <c r="B1039" s="124" t="n"/>
      <c r="C1039" s="127" t="n"/>
      <c r="D1039" s="127" t="n"/>
      <c r="E1039" s="132" t="n"/>
      <c r="F1039" s="130" t="n"/>
    </row>
    <row r="1040" ht="15" customHeight="1" s="75">
      <c r="A1040" s="124" t="n"/>
      <c r="B1040" s="124" t="n"/>
      <c r="C1040" s="127" t="n"/>
      <c r="D1040" s="127" t="n"/>
      <c r="E1040" s="132" t="n"/>
      <c r="F1040" s="130" t="n"/>
    </row>
    <row r="1041" ht="15" customHeight="1" s="75">
      <c r="A1041" s="124" t="n"/>
      <c r="B1041" s="124" t="n"/>
      <c r="C1041" s="127" t="n"/>
      <c r="D1041" s="127" t="n"/>
      <c r="E1041" s="132" t="n"/>
      <c r="F1041" s="130" t="n"/>
    </row>
    <row r="1042" ht="15" customHeight="1" s="75">
      <c r="A1042" s="124" t="n"/>
      <c r="B1042" s="124" t="n"/>
      <c r="C1042" s="127" t="n"/>
      <c r="D1042" s="127" t="n"/>
      <c r="E1042" s="132" t="n"/>
      <c r="F1042" s="130" t="n"/>
    </row>
    <row r="1043" ht="15" customHeight="1" s="75">
      <c r="A1043" s="124" t="n"/>
      <c r="B1043" s="124" t="n"/>
      <c r="C1043" s="127" t="n"/>
      <c r="D1043" s="127" t="n"/>
      <c r="E1043" s="132" t="n"/>
      <c r="F1043" s="130" t="n"/>
    </row>
    <row r="1044" ht="15" customHeight="1" s="75">
      <c r="A1044" s="124" t="n"/>
      <c r="B1044" s="124" t="n"/>
      <c r="C1044" s="127" t="n"/>
      <c r="D1044" s="127" t="n"/>
      <c r="E1044" s="132" t="n"/>
      <c r="F1044" s="130" t="n"/>
    </row>
    <row r="1045" ht="15" customHeight="1" s="75">
      <c r="A1045" s="124" t="n"/>
      <c r="B1045" s="124" t="n"/>
      <c r="C1045" s="127" t="n"/>
      <c r="D1045" s="127" t="n"/>
      <c r="E1045" s="132" t="n"/>
      <c r="F1045" s="130" t="n"/>
    </row>
    <row r="1046" ht="15" customHeight="1" s="75">
      <c r="A1046" s="124" t="n"/>
      <c r="B1046" s="124" t="n"/>
      <c r="C1046" s="127" t="n"/>
      <c r="D1046" s="127" t="n"/>
      <c r="E1046" s="132" t="n"/>
      <c r="F1046" s="130" t="n"/>
    </row>
    <row r="1047" ht="15" customHeight="1" s="75">
      <c r="A1047" s="124" t="n"/>
      <c r="B1047" s="124" t="n"/>
      <c r="C1047" s="127" t="n"/>
      <c r="D1047" s="127" t="n"/>
      <c r="E1047" s="132" t="n"/>
      <c r="F1047" s="130" t="n"/>
    </row>
    <row r="1048" ht="15" customHeight="1" s="75">
      <c r="A1048" s="124" t="n"/>
      <c r="B1048" s="124" t="n"/>
      <c r="C1048" s="127" t="n"/>
      <c r="D1048" s="127" t="n"/>
      <c r="E1048" s="132" t="n"/>
      <c r="F1048" s="130" t="n"/>
    </row>
    <row r="1049" ht="15" customHeight="1" s="75">
      <c r="A1049" s="124" t="n"/>
      <c r="B1049" s="124" t="n"/>
      <c r="C1049" s="127" t="n"/>
      <c r="D1049" s="127" t="n"/>
      <c r="E1049" s="132" t="n"/>
      <c r="F1049" s="130" t="n"/>
    </row>
    <row r="1050" ht="15" customHeight="1" s="75">
      <c r="A1050" s="124" t="n"/>
      <c r="B1050" s="124" t="n"/>
      <c r="C1050" s="127" t="n"/>
      <c r="D1050" s="127" t="n"/>
      <c r="E1050" s="132" t="n"/>
      <c r="F1050" s="130" t="n"/>
    </row>
    <row r="1051" ht="15" customHeight="1" s="75">
      <c r="A1051" s="124" t="n"/>
      <c r="B1051" s="124" t="n"/>
      <c r="C1051" s="127" t="n"/>
      <c r="D1051" s="127" t="n"/>
      <c r="E1051" s="132" t="n"/>
      <c r="F1051" s="130" t="n"/>
    </row>
    <row r="1052" ht="15" customHeight="1" s="75">
      <c r="A1052" s="124" t="n"/>
      <c r="B1052" s="124" t="n"/>
      <c r="C1052" s="127" t="n"/>
      <c r="D1052" s="127" t="n"/>
      <c r="E1052" s="132" t="n"/>
      <c r="F1052" s="130" t="n"/>
    </row>
    <row r="1053" ht="15" customHeight="1" s="75">
      <c r="A1053" s="124" t="n"/>
      <c r="B1053" s="124" t="n"/>
      <c r="C1053" s="127" t="n"/>
      <c r="D1053" s="127" t="n"/>
      <c r="E1053" s="132" t="n"/>
      <c r="F1053" s="130" t="n"/>
    </row>
    <row r="1054" ht="15" customHeight="1" s="75">
      <c r="A1054" s="124" t="n"/>
      <c r="B1054" s="124" t="n"/>
      <c r="C1054" s="127" t="n"/>
      <c r="D1054" s="127" t="n"/>
      <c r="E1054" s="132" t="n"/>
      <c r="F1054" s="130" t="n"/>
    </row>
    <row r="1055" ht="15" customHeight="1" s="75">
      <c r="A1055" s="124" t="n"/>
      <c r="B1055" s="124" t="n"/>
      <c r="C1055" s="127" t="n"/>
      <c r="D1055" s="127" t="n"/>
      <c r="E1055" s="132" t="n"/>
      <c r="F1055" s="130" t="n"/>
    </row>
    <row r="1056" ht="15" customHeight="1" s="75">
      <c r="A1056" s="124" t="n"/>
      <c r="B1056" s="124" t="n"/>
      <c r="C1056" s="127" t="n"/>
      <c r="D1056" s="127" t="n"/>
      <c r="E1056" s="132" t="n"/>
      <c r="F1056" s="130" t="n"/>
    </row>
    <row r="1057" ht="15" customHeight="1" s="75">
      <c r="A1057" s="124" t="n"/>
      <c r="B1057" s="124" t="n"/>
      <c r="C1057" s="127" t="n"/>
      <c r="D1057" s="127" t="n"/>
      <c r="E1057" s="132" t="n"/>
      <c r="F1057" s="130" t="n"/>
    </row>
    <row r="1058" ht="15" customHeight="1" s="75">
      <c r="A1058" s="124" t="n"/>
      <c r="B1058" s="124" t="n"/>
      <c r="C1058" s="127" t="n"/>
      <c r="D1058" s="127" t="n"/>
      <c r="E1058" s="132" t="n"/>
      <c r="F1058" s="130" t="n"/>
    </row>
    <row r="1059" ht="15" customHeight="1" s="75">
      <c r="A1059" s="124" t="n"/>
      <c r="B1059" s="124" t="n"/>
      <c r="C1059" s="127" t="n"/>
      <c r="D1059" s="127" t="n"/>
      <c r="E1059" s="132" t="n"/>
      <c r="F1059" s="130" t="n"/>
    </row>
    <row r="1060" ht="15" customHeight="1" s="75">
      <c r="A1060" s="124" t="n"/>
      <c r="B1060" s="124" t="n"/>
      <c r="C1060" s="127" t="n"/>
      <c r="D1060" s="127" t="n"/>
      <c r="E1060" s="132" t="n"/>
      <c r="F1060" s="130" t="n"/>
    </row>
    <row r="1061" ht="15" customHeight="1" s="75">
      <c r="A1061" s="124" t="n"/>
      <c r="B1061" s="124" t="n"/>
      <c r="C1061" s="127" t="n"/>
      <c r="D1061" s="127" t="n"/>
      <c r="E1061" s="132" t="n"/>
      <c r="F1061" s="130" t="n"/>
    </row>
    <row r="1062" ht="15" customHeight="1" s="75">
      <c r="A1062" s="124" t="n"/>
      <c r="B1062" s="124" t="n"/>
      <c r="C1062" s="127" t="n"/>
      <c r="D1062" s="127" t="n"/>
      <c r="E1062" s="132" t="n"/>
      <c r="F1062" s="130" t="n"/>
    </row>
    <row r="1063" ht="15" customHeight="1" s="75">
      <c r="A1063" s="124" t="n"/>
      <c r="B1063" s="124" t="n"/>
      <c r="C1063" s="127" t="n"/>
      <c r="D1063" s="127" t="n"/>
      <c r="E1063" s="132" t="n"/>
      <c r="F1063" s="130" t="n"/>
    </row>
    <row r="1064" ht="15" customHeight="1" s="75">
      <c r="A1064" s="124" t="n"/>
      <c r="B1064" s="124" t="n"/>
      <c r="C1064" s="127" t="n"/>
      <c r="D1064" s="127" t="n"/>
      <c r="E1064" s="132" t="n"/>
      <c r="F1064" s="130" t="n"/>
    </row>
    <row r="1065" ht="15" customHeight="1" s="75">
      <c r="A1065" s="124" t="n"/>
      <c r="B1065" s="124" t="n"/>
      <c r="C1065" s="127" t="n"/>
      <c r="D1065" s="127" t="n"/>
      <c r="E1065" s="132" t="n"/>
      <c r="F1065" s="130" t="n"/>
    </row>
    <row r="1066" ht="15" customHeight="1" s="75">
      <c r="A1066" s="124" t="n"/>
      <c r="B1066" s="124" t="n"/>
      <c r="C1066" s="127" t="n"/>
      <c r="D1066" s="127" t="n"/>
      <c r="E1066" s="132" t="n"/>
      <c r="F1066" s="130" t="n"/>
    </row>
    <row r="1067" ht="15" customHeight="1" s="75">
      <c r="A1067" s="124" t="n"/>
      <c r="B1067" s="124" t="n"/>
      <c r="C1067" s="127" t="n"/>
      <c r="D1067" s="127" t="n"/>
      <c r="E1067" s="132" t="n"/>
      <c r="F1067" s="130" t="n"/>
    </row>
    <row r="1068" ht="15" customHeight="1" s="75">
      <c r="A1068" s="124" t="n"/>
      <c r="B1068" s="124" t="n"/>
      <c r="C1068" s="127" t="n"/>
      <c r="D1068" s="127" t="n"/>
      <c r="E1068" s="132" t="n"/>
      <c r="F1068" s="130" t="n"/>
    </row>
    <row r="1069" ht="15" customHeight="1" s="75">
      <c r="A1069" s="124" t="n"/>
      <c r="B1069" s="124" t="n"/>
      <c r="C1069" s="127" t="n"/>
      <c r="D1069" s="127" t="n"/>
      <c r="E1069" s="132" t="n"/>
      <c r="F1069" s="130" t="n"/>
    </row>
    <row r="1070" ht="15" customHeight="1" s="75">
      <c r="A1070" s="124" t="n"/>
      <c r="B1070" s="124" t="n"/>
      <c r="C1070" s="127" t="n"/>
      <c r="D1070" s="127" t="n"/>
      <c r="E1070" s="132" t="n"/>
      <c r="F1070" s="130" t="n"/>
    </row>
    <row r="1071" ht="15" customHeight="1" s="75">
      <c r="A1071" s="124" t="n"/>
      <c r="B1071" s="124" t="n"/>
      <c r="C1071" s="127" t="n"/>
      <c r="D1071" s="127" t="n"/>
      <c r="E1071" s="132" t="n"/>
      <c r="F1071" s="130" t="n"/>
    </row>
    <row r="1072" ht="15" customHeight="1" s="75">
      <c r="A1072" s="124" t="n"/>
      <c r="B1072" s="124" t="n"/>
      <c r="C1072" s="127" t="n"/>
      <c r="D1072" s="127" t="n"/>
      <c r="E1072" s="132" t="n"/>
      <c r="F1072" s="130" t="n"/>
    </row>
    <row r="1073" ht="15" customHeight="1" s="75">
      <c r="A1073" s="124" t="n"/>
      <c r="B1073" s="124" t="n"/>
      <c r="C1073" s="127" t="n"/>
      <c r="D1073" s="127" t="n"/>
      <c r="E1073" s="132" t="n"/>
      <c r="F1073" s="130" t="n"/>
    </row>
    <row r="1074" ht="15" customHeight="1" s="75">
      <c r="A1074" s="124" t="n"/>
      <c r="B1074" s="124" t="n"/>
      <c r="C1074" s="127" t="n"/>
      <c r="D1074" s="127" t="n"/>
      <c r="E1074" s="132" t="n"/>
      <c r="F1074" s="130" t="n"/>
    </row>
    <row r="1075" ht="15" customHeight="1" s="75">
      <c r="A1075" s="124" t="n"/>
      <c r="B1075" s="124" t="n"/>
      <c r="C1075" s="127" t="n"/>
      <c r="D1075" s="127" t="n"/>
      <c r="E1075" s="132" t="n"/>
      <c r="F1075" s="130" t="n"/>
    </row>
    <row r="1076" ht="15" customHeight="1" s="75">
      <c r="A1076" s="124" t="n"/>
      <c r="B1076" s="124" t="n"/>
      <c r="C1076" s="127" t="n"/>
      <c r="D1076" s="127" t="n"/>
      <c r="E1076" s="132" t="n"/>
      <c r="F1076" s="130" t="n"/>
    </row>
    <row r="1077" ht="15" customHeight="1" s="75">
      <c r="A1077" s="124" t="n"/>
      <c r="B1077" s="124" t="n"/>
      <c r="C1077" s="127" t="n"/>
      <c r="D1077" s="127" t="n"/>
      <c r="E1077" s="132" t="n"/>
      <c r="F1077" s="130" t="n"/>
    </row>
    <row r="1078" ht="15" customHeight="1" s="75">
      <c r="A1078" s="124" t="n"/>
      <c r="B1078" s="124" t="n"/>
      <c r="C1078" s="127" t="n"/>
      <c r="D1078" s="127" t="n"/>
      <c r="E1078" s="132" t="n"/>
      <c r="F1078" s="130" t="n"/>
    </row>
    <row r="1079" ht="15" customHeight="1" s="75">
      <c r="A1079" s="124" t="n"/>
      <c r="B1079" s="124" t="n"/>
      <c r="C1079" s="127" t="n"/>
      <c r="D1079" s="127" t="n"/>
      <c r="E1079" s="132" t="n"/>
      <c r="F1079" s="130" t="n"/>
    </row>
    <row r="1080" ht="15" customHeight="1" s="75">
      <c r="A1080" s="124" t="n"/>
      <c r="B1080" s="124" t="n"/>
      <c r="C1080" s="127" t="n"/>
      <c r="D1080" s="127" t="n"/>
      <c r="E1080" s="132" t="n"/>
      <c r="F1080" s="130" t="n"/>
    </row>
    <row r="1081" ht="15" customHeight="1" s="75">
      <c r="A1081" s="124" t="n"/>
      <c r="B1081" s="124" t="n"/>
      <c r="C1081" s="127" t="n"/>
      <c r="D1081" s="127" t="n"/>
      <c r="E1081" s="132" t="n"/>
      <c r="F1081" s="130" t="n"/>
    </row>
    <row r="1082" ht="15" customHeight="1" s="75">
      <c r="A1082" s="124" t="n"/>
      <c r="B1082" s="124" t="n"/>
      <c r="C1082" s="127" t="n"/>
      <c r="D1082" s="127" t="n"/>
      <c r="E1082" s="132" t="n"/>
      <c r="F1082" s="130" t="n"/>
    </row>
    <row r="1083" ht="15" customHeight="1" s="75">
      <c r="A1083" s="124" t="n"/>
      <c r="B1083" s="124" t="n"/>
      <c r="C1083" s="127" t="n"/>
      <c r="D1083" s="127" t="n"/>
      <c r="E1083" s="132" t="n"/>
      <c r="F1083" s="130" t="n"/>
    </row>
    <row r="1084" ht="15" customHeight="1" s="75">
      <c r="A1084" s="124" t="n"/>
      <c r="B1084" s="124" t="n"/>
      <c r="C1084" s="127" t="n"/>
      <c r="D1084" s="127" t="n"/>
      <c r="E1084" s="132" t="n"/>
      <c r="F1084" s="130" t="n"/>
    </row>
    <row r="1085" ht="15" customHeight="1" s="75">
      <c r="A1085" s="124" t="n"/>
      <c r="B1085" s="124" t="n"/>
      <c r="C1085" s="127" t="n"/>
      <c r="D1085" s="127" t="n"/>
      <c r="E1085" s="132" t="n"/>
      <c r="F1085" s="130" t="n"/>
    </row>
    <row r="1086" ht="15" customHeight="1" s="75">
      <c r="A1086" s="124" t="n"/>
      <c r="B1086" s="124" t="n"/>
      <c r="C1086" s="127" t="n"/>
      <c r="D1086" s="127" t="n"/>
      <c r="E1086" s="132" t="n"/>
      <c r="F1086" s="130" t="n"/>
    </row>
    <row r="1087" ht="15" customHeight="1" s="75">
      <c r="A1087" s="124" t="n"/>
      <c r="B1087" s="124" t="n"/>
      <c r="C1087" s="127" t="n"/>
      <c r="D1087" s="127" t="n"/>
      <c r="E1087" s="132" t="n"/>
      <c r="F1087" s="130" t="n"/>
    </row>
    <row r="1088" ht="15" customHeight="1" s="75">
      <c r="A1088" s="124" t="n"/>
      <c r="B1088" s="124" t="n"/>
      <c r="C1088" s="127" t="n"/>
      <c r="D1088" s="127" t="n"/>
      <c r="E1088" s="132" t="n"/>
      <c r="F1088" s="130" t="n"/>
    </row>
    <row r="1089" ht="15" customHeight="1" s="75">
      <c r="A1089" s="124" t="n"/>
      <c r="B1089" s="124" t="n"/>
      <c r="C1089" s="127" t="n"/>
      <c r="D1089" s="127" t="n"/>
      <c r="E1089" s="132" t="n"/>
      <c r="F1089" s="130" t="n"/>
    </row>
    <row r="1090" ht="15" customHeight="1" s="75">
      <c r="A1090" s="124" t="n"/>
      <c r="B1090" s="124" t="n"/>
      <c r="C1090" s="127" t="n"/>
      <c r="D1090" s="127" t="n"/>
      <c r="E1090" s="132" t="n"/>
      <c r="F1090" s="130" t="n"/>
    </row>
    <row r="1091" ht="15" customHeight="1" s="75">
      <c r="A1091" s="124" t="n"/>
      <c r="B1091" s="124" t="n"/>
      <c r="C1091" s="127" t="n"/>
      <c r="D1091" s="127" t="n"/>
      <c r="E1091" s="132" t="n"/>
      <c r="F1091" s="130" t="n"/>
    </row>
    <row r="1092" ht="15" customHeight="1" s="75">
      <c r="A1092" s="124" t="n"/>
      <c r="B1092" s="124" t="n"/>
      <c r="C1092" s="127" t="n"/>
      <c r="D1092" s="127" t="n"/>
      <c r="E1092" s="132" t="n"/>
      <c r="F1092" s="130" t="n"/>
    </row>
    <row r="1093" ht="15" customHeight="1" s="75">
      <c r="A1093" s="124" t="n"/>
      <c r="B1093" s="124" t="n"/>
      <c r="C1093" s="127" t="n"/>
      <c r="D1093" s="127" t="n"/>
      <c r="E1093" s="132" t="n"/>
      <c r="F1093" s="130" t="n"/>
    </row>
    <row r="1094" ht="15" customHeight="1" s="75">
      <c r="A1094" s="124" t="n"/>
      <c r="B1094" s="124" t="n"/>
      <c r="C1094" s="127" t="n"/>
      <c r="D1094" s="127" t="n"/>
      <c r="E1094" s="132" t="n"/>
      <c r="F1094" s="130" t="n"/>
    </row>
    <row r="1095" ht="15" customHeight="1" s="75">
      <c r="A1095" s="124" t="n"/>
      <c r="B1095" s="124" t="n"/>
      <c r="C1095" s="127" t="n"/>
      <c r="D1095" s="127" t="n"/>
      <c r="E1095" s="132" t="n"/>
      <c r="F1095" s="130" t="n"/>
    </row>
    <row r="1096" ht="15" customHeight="1" s="75">
      <c r="A1096" s="124" t="n"/>
      <c r="B1096" s="124" t="n"/>
      <c r="C1096" s="127" t="n"/>
      <c r="D1096" s="127" t="n"/>
      <c r="E1096" s="132" t="n"/>
      <c r="F1096" s="130" t="n"/>
    </row>
    <row r="1097" ht="15" customHeight="1" s="75">
      <c r="A1097" s="124" t="n"/>
      <c r="B1097" s="124" t="n"/>
      <c r="C1097" s="127" t="n"/>
      <c r="D1097" s="127" t="n"/>
      <c r="E1097" s="132" t="n"/>
      <c r="F1097" s="130" t="n"/>
    </row>
    <row r="1098" ht="15" customHeight="1" s="75">
      <c r="A1098" s="124" t="n"/>
      <c r="B1098" s="124" t="n"/>
      <c r="C1098" s="127" t="n"/>
      <c r="D1098" s="127" t="n"/>
      <c r="E1098" s="132" t="n"/>
      <c r="F1098" s="130" t="n"/>
    </row>
    <row r="1099" ht="15" customHeight="1" s="75">
      <c r="A1099" s="124" t="n"/>
      <c r="B1099" s="124" t="n"/>
      <c r="C1099" s="127" t="n"/>
      <c r="D1099" s="127" t="n"/>
      <c r="E1099" s="132" t="n"/>
      <c r="F1099" s="130" t="n"/>
    </row>
    <row r="1100" ht="15" customHeight="1" s="75">
      <c r="A1100" s="124" t="n"/>
      <c r="B1100" s="124" t="n"/>
      <c r="C1100" s="127" t="n"/>
      <c r="D1100" s="127" t="n"/>
      <c r="E1100" s="132" t="n"/>
      <c r="F1100" s="130" t="n"/>
    </row>
    <row r="1101" ht="15" customHeight="1" s="75">
      <c r="A1101" s="124" t="n"/>
      <c r="B1101" s="124" t="n"/>
      <c r="C1101" s="127" t="n"/>
      <c r="D1101" s="127" t="n"/>
      <c r="E1101" s="132" t="n"/>
      <c r="F1101" s="130" t="n"/>
    </row>
    <row r="1102" ht="15" customHeight="1" s="75">
      <c r="A1102" s="124" t="n"/>
      <c r="B1102" s="124" t="n"/>
      <c r="C1102" s="127" t="n"/>
      <c r="D1102" s="127" t="n"/>
      <c r="E1102" s="132" t="n"/>
      <c r="F1102" s="130" t="n"/>
    </row>
    <row r="1103" ht="15" customHeight="1" s="75">
      <c r="A1103" s="124" t="n"/>
      <c r="B1103" s="124" t="n"/>
      <c r="C1103" s="127" t="n"/>
      <c r="D1103" s="127" t="n"/>
      <c r="E1103" s="132" t="n"/>
      <c r="F1103" s="130" t="n"/>
    </row>
    <row r="1104" ht="15" customHeight="1" s="75">
      <c r="A1104" s="124" t="n"/>
      <c r="B1104" s="124" t="n"/>
      <c r="C1104" s="127" t="n"/>
      <c r="D1104" s="127" t="n"/>
      <c r="E1104" s="132" t="n"/>
      <c r="F1104" s="130" t="n"/>
    </row>
    <row r="1105" ht="15" customHeight="1" s="75">
      <c r="A1105" s="124" t="n"/>
      <c r="B1105" s="124" t="n"/>
      <c r="C1105" s="127" t="n"/>
      <c r="D1105" s="127" t="n"/>
      <c r="E1105" s="132" t="n"/>
      <c r="F1105" s="130" t="n"/>
    </row>
    <row r="1106" ht="15" customHeight="1" s="75">
      <c r="A1106" s="124" t="n"/>
      <c r="B1106" s="124" t="n"/>
      <c r="C1106" s="127" t="n"/>
      <c r="D1106" s="127" t="n"/>
      <c r="E1106" s="132" t="n"/>
      <c r="F1106" s="130" t="n"/>
    </row>
    <row r="1107" ht="15" customHeight="1" s="75">
      <c r="A1107" s="124" t="n"/>
      <c r="B1107" s="124" t="n"/>
      <c r="C1107" s="127" t="n"/>
      <c r="D1107" s="127" t="n"/>
      <c r="E1107" s="132" t="n"/>
      <c r="F1107" s="130" t="n"/>
    </row>
    <row r="1108" ht="15" customHeight="1" s="75">
      <c r="A1108" s="124" t="n"/>
      <c r="B1108" s="124" t="n"/>
      <c r="C1108" s="127" t="n"/>
      <c r="D1108" s="127" t="n"/>
      <c r="E1108" s="132" t="n"/>
      <c r="F1108" s="130" t="n"/>
    </row>
    <row r="1109" ht="15" customHeight="1" s="75">
      <c r="A1109" s="124" t="n"/>
      <c r="B1109" s="124" t="n"/>
      <c r="C1109" s="127" t="n"/>
      <c r="D1109" s="127" t="n"/>
      <c r="E1109" s="132" t="n"/>
      <c r="F1109" s="130" t="n"/>
    </row>
    <row r="1110" ht="15" customHeight="1" s="75">
      <c r="A1110" s="124" t="n"/>
      <c r="B1110" s="124" t="n"/>
      <c r="C1110" s="127" t="n"/>
      <c r="D1110" s="127" t="n"/>
      <c r="E1110" s="132" t="n"/>
      <c r="F1110" s="130" t="n"/>
    </row>
    <row r="1111" ht="15" customHeight="1" s="75">
      <c r="A1111" s="124" t="n"/>
      <c r="B1111" s="124" t="n"/>
      <c r="C1111" s="127" t="n"/>
      <c r="D1111" s="127" t="n"/>
      <c r="E1111" s="132" t="n"/>
      <c r="F1111" s="130" t="n"/>
    </row>
    <row r="1112" ht="15" customHeight="1" s="75">
      <c r="A1112" s="124" t="n"/>
      <c r="B1112" s="124" t="n"/>
      <c r="C1112" s="127" t="n"/>
      <c r="D1112" s="127" t="n"/>
      <c r="E1112" s="132" t="n"/>
      <c r="F1112" s="130" t="n"/>
    </row>
    <row r="1113" ht="15" customHeight="1" s="75">
      <c r="A1113" s="124" t="n"/>
      <c r="B1113" s="124" t="n"/>
      <c r="C1113" s="127" t="n"/>
      <c r="D1113" s="127" t="n"/>
      <c r="E1113" s="132" t="n"/>
      <c r="F1113" s="130" t="n"/>
    </row>
    <row r="1114" ht="15" customHeight="1" s="75">
      <c r="A1114" s="124" t="n"/>
      <c r="B1114" s="124" t="n"/>
      <c r="C1114" s="127" t="n"/>
      <c r="D1114" s="127" t="n"/>
      <c r="E1114" s="132" t="n"/>
      <c r="F1114" s="130" t="n"/>
    </row>
    <row r="1115" ht="15" customHeight="1" s="75">
      <c r="A1115" s="124" t="n"/>
      <c r="B1115" s="124" t="n"/>
      <c r="C1115" s="127" t="n"/>
      <c r="D1115" s="127" t="n"/>
      <c r="E1115" s="132" t="n"/>
      <c r="F1115" s="130" t="n"/>
    </row>
    <row r="1116" ht="15" customHeight="1" s="75">
      <c r="A1116" s="124" t="n"/>
      <c r="B1116" s="124" t="n"/>
      <c r="C1116" s="127" t="n"/>
      <c r="D1116" s="127" t="n"/>
      <c r="E1116" s="132" t="n"/>
      <c r="F1116" s="130" t="n"/>
    </row>
    <row r="1117" ht="15" customHeight="1" s="75">
      <c r="A1117" s="124" t="n"/>
      <c r="B1117" s="124" t="n"/>
      <c r="C1117" s="127" t="n"/>
      <c r="D1117" s="127" t="n"/>
      <c r="E1117" s="132" t="n"/>
      <c r="F1117" s="130" t="n"/>
    </row>
    <row r="1118" ht="15" customHeight="1" s="75">
      <c r="A1118" s="124" t="n"/>
      <c r="B1118" s="124" t="n"/>
      <c r="C1118" s="127" t="n"/>
      <c r="D1118" s="127" t="n"/>
      <c r="E1118" s="132" t="n"/>
      <c r="F1118" s="130" t="n"/>
    </row>
    <row r="1119" ht="15" customHeight="1" s="75">
      <c r="A1119" s="124" t="n"/>
      <c r="B1119" s="124" t="n"/>
      <c r="C1119" s="127" t="n"/>
      <c r="D1119" s="127" t="n"/>
      <c r="E1119" s="132" t="n"/>
      <c r="F1119" s="130" t="n"/>
    </row>
    <row r="1120" ht="15" customHeight="1" s="75">
      <c r="A1120" s="124" t="n"/>
      <c r="B1120" s="124" t="n"/>
      <c r="C1120" s="127" t="n"/>
      <c r="D1120" s="127" t="n"/>
      <c r="E1120" s="132" t="n"/>
      <c r="F1120" s="130" t="n"/>
    </row>
    <row r="1121" ht="15" customHeight="1" s="75">
      <c r="A1121" s="124" t="n"/>
      <c r="B1121" s="124" t="n"/>
      <c r="C1121" s="127" t="n"/>
      <c r="D1121" s="127" t="n"/>
      <c r="E1121" s="132" t="n"/>
      <c r="F1121" s="130" t="n"/>
    </row>
    <row r="1122" ht="15" customHeight="1" s="75">
      <c r="A1122" s="124" t="n"/>
      <c r="B1122" s="124" t="n"/>
      <c r="C1122" s="127" t="n"/>
      <c r="D1122" s="127" t="n"/>
      <c r="E1122" s="132" t="n"/>
      <c r="F1122" s="130" t="n"/>
    </row>
    <row r="1123" ht="15" customHeight="1" s="75">
      <c r="A1123" s="124" t="n"/>
      <c r="B1123" s="124" t="n"/>
      <c r="C1123" s="127" t="n"/>
      <c r="D1123" s="127" t="n"/>
      <c r="E1123" s="132" t="n"/>
      <c r="F1123" s="130" t="n"/>
    </row>
    <row r="1124" ht="15" customHeight="1" s="75">
      <c r="A1124" s="124" t="n"/>
      <c r="B1124" s="124" t="n"/>
      <c r="C1124" s="127" t="n"/>
      <c r="D1124" s="127" t="n"/>
      <c r="E1124" s="132" t="n"/>
      <c r="F1124" s="130" t="n"/>
    </row>
    <row r="1125" ht="15" customHeight="1" s="75">
      <c r="A1125" s="124" t="n"/>
      <c r="B1125" s="124" t="n"/>
      <c r="C1125" s="127" t="n"/>
      <c r="D1125" s="127" t="n"/>
      <c r="E1125" s="132" t="n"/>
      <c r="F1125" s="130" t="n"/>
    </row>
    <row r="1126" ht="15" customHeight="1" s="75">
      <c r="A1126" s="124" t="n"/>
      <c r="B1126" s="124" t="n"/>
      <c r="C1126" s="127" t="n"/>
      <c r="D1126" s="127" t="n"/>
      <c r="E1126" s="132" t="n"/>
      <c r="F1126" s="130" t="n"/>
    </row>
    <row r="1127" ht="15" customHeight="1" s="75">
      <c r="A1127" s="124" t="n"/>
      <c r="B1127" s="124" t="n"/>
      <c r="C1127" s="127" t="n"/>
      <c r="D1127" s="127" t="n"/>
      <c r="E1127" s="132" t="n"/>
      <c r="F1127" s="130" t="n"/>
    </row>
    <row r="1128" ht="15" customHeight="1" s="75">
      <c r="A1128" s="124" t="n"/>
      <c r="B1128" s="124" t="n"/>
      <c r="C1128" s="127" t="n"/>
      <c r="D1128" s="127" t="n"/>
      <c r="E1128" s="132" t="n"/>
      <c r="F1128" s="130" t="n"/>
    </row>
    <row r="1129" ht="15" customHeight="1" s="75">
      <c r="A1129" s="124" t="n"/>
      <c r="B1129" s="124" t="n"/>
      <c r="C1129" s="127" t="n"/>
      <c r="D1129" s="127" t="n"/>
      <c r="E1129" s="132" t="n"/>
      <c r="F1129" s="130" t="n"/>
    </row>
    <row r="1130" ht="15" customHeight="1" s="75">
      <c r="A1130" s="124" t="n"/>
      <c r="B1130" s="124" t="n"/>
      <c r="C1130" s="127" t="n"/>
      <c r="D1130" s="127" t="n"/>
      <c r="E1130" s="132" t="n"/>
      <c r="F1130" s="130" t="n"/>
    </row>
    <row r="1131" ht="15" customHeight="1" s="75">
      <c r="A1131" s="124" t="n"/>
      <c r="B1131" s="124" t="n"/>
      <c r="C1131" s="127" t="n"/>
      <c r="D1131" s="127" t="n"/>
      <c r="E1131" s="132" t="n"/>
      <c r="F1131" s="130" t="n"/>
    </row>
    <row r="1132" ht="15" customHeight="1" s="75">
      <c r="A1132" s="124" t="n"/>
      <c r="B1132" s="124" t="n"/>
      <c r="C1132" s="127" t="n"/>
      <c r="D1132" s="127" t="n"/>
      <c r="E1132" s="132" t="n"/>
      <c r="F1132" s="130" t="n"/>
    </row>
    <row r="1133" ht="15" customHeight="1" s="75">
      <c r="A1133" s="124" t="n"/>
      <c r="B1133" s="124" t="n"/>
      <c r="C1133" s="127" t="n"/>
      <c r="D1133" s="127" t="n"/>
      <c r="E1133" s="132" t="n"/>
      <c r="F1133" s="130" t="n"/>
    </row>
    <row r="1134" ht="15" customHeight="1" s="75">
      <c r="A1134" s="124" t="n"/>
      <c r="B1134" s="124" t="n"/>
      <c r="C1134" s="127" t="n"/>
      <c r="D1134" s="127" t="n"/>
      <c r="E1134" s="132" t="n"/>
      <c r="F1134" s="130" t="n"/>
    </row>
    <row r="1135" ht="15" customHeight="1" s="75">
      <c r="A1135" s="124" t="n"/>
      <c r="B1135" s="124" t="n"/>
      <c r="C1135" s="127" t="n"/>
      <c r="D1135" s="127" t="n"/>
      <c r="E1135" s="132" t="n"/>
      <c r="F1135" s="130" t="n"/>
    </row>
    <row r="1136" ht="15" customHeight="1" s="75">
      <c r="A1136" s="124" t="n"/>
      <c r="B1136" s="124" t="n"/>
      <c r="C1136" s="127" t="n"/>
      <c r="D1136" s="127" t="n"/>
      <c r="E1136" s="132" t="n"/>
      <c r="F1136" s="130" t="n"/>
    </row>
    <row r="1137" ht="15" customHeight="1" s="75">
      <c r="A1137" s="124" t="n"/>
      <c r="B1137" s="124" t="n"/>
      <c r="C1137" s="127" t="n"/>
      <c r="D1137" s="127" t="n"/>
      <c r="E1137" s="132" t="n"/>
      <c r="F1137" s="130" t="n"/>
    </row>
    <row r="1138" ht="15" customHeight="1" s="75">
      <c r="A1138" s="124" t="n"/>
      <c r="B1138" s="124" t="n"/>
      <c r="C1138" s="127" t="n"/>
      <c r="D1138" s="127" t="n"/>
      <c r="E1138" s="132" t="n"/>
      <c r="F1138" s="130" t="n"/>
    </row>
    <row r="1139" ht="15" customHeight="1" s="75">
      <c r="A1139" s="124" t="n"/>
      <c r="B1139" s="124" t="n"/>
      <c r="C1139" s="127" t="n"/>
      <c r="D1139" s="127" t="n"/>
      <c r="E1139" s="132" t="n"/>
      <c r="F1139" s="130" t="n"/>
    </row>
    <row r="1140" ht="15" customHeight="1" s="75">
      <c r="A1140" s="124" t="n"/>
      <c r="B1140" s="124" t="n"/>
      <c r="C1140" s="127" t="n"/>
      <c r="D1140" s="127" t="n"/>
      <c r="E1140" s="132" t="n"/>
      <c r="F1140" s="130" t="n"/>
    </row>
    <row r="1141" ht="15" customHeight="1" s="75">
      <c r="A1141" s="124" t="n"/>
      <c r="B1141" s="124" t="n"/>
      <c r="C1141" s="127" t="n"/>
      <c r="D1141" s="127" t="n"/>
      <c r="E1141" s="132" t="n"/>
      <c r="F1141" s="130" t="n"/>
    </row>
    <row r="1142" ht="15" customHeight="1" s="75">
      <c r="A1142" s="124" t="n"/>
      <c r="B1142" s="124" t="n"/>
      <c r="C1142" s="127" t="n"/>
      <c r="D1142" s="127" t="n"/>
      <c r="E1142" s="132" t="n"/>
      <c r="F1142" s="130" t="n"/>
    </row>
    <row r="1143" ht="15" customHeight="1" s="75">
      <c r="A1143" s="124" t="n"/>
      <c r="B1143" s="124" t="n"/>
      <c r="C1143" s="127" t="n"/>
      <c r="D1143" s="127" t="n"/>
      <c r="E1143" s="132" t="n"/>
      <c r="F1143" s="130" t="n"/>
    </row>
    <row r="1144" ht="15" customHeight="1" s="75">
      <c r="A1144" s="124" t="n"/>
      <c r="B1144" s="124" t="n"/>
      <c r="C1144" s="127" t="n"/>
      <c r="D1144" s="127" t="n"/>
      <c r="E1144" s="132" t="n"/>
      <c r="F1144" s="130" t="n"/>
    </row>
    <row r="1145" ht="15" customHeight="1" s="75">
      <c r="A1145" s="124" t="n"/>
      <c r="B1145" s="124" t="n"/>
      <c r="C1145" s="127" t="n"/>
      <c r="D1145" s="127" t="n"/>
      <c r="E1145" s="132" t="n"/>
      <c r="F1145" s="130" t="n"/>
    </row>
    <row r="1146" ht="15" customHeight="1" s="75">
      <c r="A1146" s="124" t="n"/>
      <c r="B1146" s="124" t="n"/>
      <c r="C1146" s="127" t="n"/>
      <c r="D1146" s="127" t="n"/>
      <c r="E1146" s="132" t="n"/>
      <c r="F1146" s="130" t="n"/>
    </row>
    <row r="1147" ht="15" customHeight="1" s="75">
      <c r="A1147" s="124" t="n"/>
      <c r="B1147" s="124" t="n"/>
      <c r="C1147" s="127" t="n"/>
      <c r="D1147" s="127" t="n"/>
      <c r="E1147" s="132" t="n"/>
      <c r="F1147" s="130" t="n"/>
    </row>
    <row r="1148" ht="15" customHeight="1" s="75">
      <c r="A1148" s="124" t="n"/>
      <c r="B1148" s="124" t="n"/>
      <c r="C1148" s="127" t="n"/>
      <c r="D1148" s="127" t="n"/>
      <c r="E1148" s="132" t="n"/>
      <c r="F1148" s="130" t="n"/>
    </row>
    <row r="1149" ht="15" customHeight="1" s="75">
      <c r="A1149" s="124" t="n"/>
      <c r="B1149" s="124" t="n"/>
      <c r="C1149" s="127" t="n"/>
      <c r="D1149" s="127" t="n"/>
      <c r="E1149" s="132" t="n"/>
      <c r="F1149" s="130" t="n"/>
    </row>
    <row r="1150" ht="15" customHeight="1" s="75">
      <c r="A1150" s="124" t="n"/>
      <c r="B1150" s="124" t="n"/>
      <c r="C1150" s="127" t="n"/>
      <c r="D1150" s="127" t="n"/>
      <c r="E1150" s="132" t="n"/>
      <c r="F1150" s="130" t="n"/>
    </row>
    <row r="1151" ht="15" customHeight="1" s="75">
      <c r="A1151" s="124" t="n"/>
      <c r="B1151" s="124" t="n"/>
      <c r="C1151" s="127" t="n"/>
      <c r="D1151" s="127" t="n"/>
      <c r="E1151" s="132" t="n"/>
      <c r="F1151" s="130" t="n"/>
    </row>
    <row r="1152" ht="15" customHeight="1" s="75">
      <c r="A1152" s="124" t="n"/>
      <c r="B1152" s="124" t="n"/>
      <c r="C1152" s="127" t="n"/>
      <c r="D1152" s="127" t="n"/>
      <c r="E1152" s="132" t="n"/>
      <c r="F1152" s="130" t="n"/>
    </row>
    <row r="1153" ht="15" customHeight="1" s="75">
      <c r="A1153" s="124" t="n"/>
      <c r="B1153" s="124" t="n"/>
      <c r="C1153" s="127" t="n"/>
      <c r="D1153" s="127" t="n"/>
      <c r="E1153" s="132" t="n"/>
      <c r="F1153" s="130" t="n"/>
    </row>
    <row r="1154" ht="15" customHeight="1" s="75">
      <c r="A1154" s="124" t="n"/>
      <c r="B1154" s="124" t="n"/>
      <c r="C1154" s="127" t="n"/>
      <c r="D1154" s="127" t="n"/>
      <c r="E1154" s="132" t="n"/>
      <c r="F1154" s="130" t="n"/>
    </row>
    <row r="1155" ht="15" customHeight="1" s="75">
      <c r="A1155" s="124" t="n"/>
      <c r="B1155" s="124" t="n"/>
      <c r="C1155" s="127" t="n"/>
      <c r="D1155" s="127" t="n"/>
      <c r="E1155" s="132" t="n"/>
      <c r="F1155" s="130" t="n"/>
    </row>
    <row r="1156" ht="15" customHeight="1" s="75">
      <c r="A1156" s="124" t="n"/>
      <c r="B1156" s="124" t="n"/>
      <c r="C1156" s="127" t="n"/>
      <c r="D1156" s="127" t="n"/>
      <c r="E1156" s="132" t="n"/>
      <c r="F1156" s="130" t="n"/>
    </row>
    <row r="1157" ht="15" customHeight="1" s="75">
      <c r="A1157" s="124" t="n"/>
      <c r="B1157" s="124" t="n"/>
      <c r="C1157" s="127" t="n"/>
      <c r="D1157" s="127" t="n"/>
      <c r="E1157" s="132" t="n"/>
      <c r="F1157" s="130" t="n"/>
    </row>
    <row r="1158" ht="15" customHeight="1" s="75">
      <c r="A1158" s="124" t="n"/>
      <c r="B1158" s="124" t="n"/>
      <c r="C1158" s="127" t="n"/>
      <c r="D1158" s="127" t="n"/>
      <c r="E1158" s="132" t="n"/>
      <c r="F1158" s="130" t="n"/>
    </row>
    <row r="1159" ht="15" customHeight="1" s="75">
      <c r="A1159" s="124" t="n"/>
      <c r="B1159" s="124" t="n"/>
      <c r="C1159" s="127" t="n"/>
      <c r="D1159" s="127" t="n"/>
      <c r="E1159" s="132" t="n"/>
      <c r="F1159" s="130" t="n"/>
    </row>
    <row r="1160" ht="15" customHeight="1" s="75">
      <c r="A1160" s="124" t="n"/>
      <c r="B1160" s="124" t="n"/>
      <c r="C1160" s="127" t="n"/>
      <c r="D1160" s="127" t="n"/>
      <c r="E1160" s="132" t="n"/>
      <c r="F1160" s="130" t="n"/>
    </row>
    <row r="1161" ht="15" customHeight="1" s="75">
      <c r="A1161" s="124" t="n"/>
      <c r="B1161" s="124" t="n"/>
      <c r="C1161" s="127" t="n"/>
      <c r="D1161" s="127" t="n"/>
      <c r="E1161" s="132" t="n"/>
      <c r="F1161" s="130" t="n"/>
    </row>
    <row r="1162" ht="15" customHeight="1" s="75">
      <c r="A1162" s="124" t="n"/>
      <c r="B1162" s="124" t="n"/>
      <c r="C1162" s="127" t="n"/>
      <c r="D1162" s="127" t="n"/>
      <c r="E1162" s="132" t="n"/>
      <c r="F1162" s="130" t="n"/>
    </row>
    <row r="1163" ht="15" customHeight="1" s="75">
      <c r="A1163" s="124" t="n"/>
      <c r="B1163" s="124" t="n"/>
      <c r="C1163" s="127" t="n"/>
      <c r="D1163" s="127" t="n"/>
      <c r="E1163" s="132" t="n"/>
      <c r="F1163" s="130" t="n"/>
    </row>
    <row r="1164" ht="15" customHeight="1" s="75">
      <c r="A1164" s="124" t="n"/>
      <c r="B1164" s="124" t="n"/>
      <c r="C1164" s="127" t="n"/>
      <c r="D1164" s="127" t="n"/>
      <c r="E1164" s="132" t="n"/>
      <c r="F1164" s="130" t="n"/>
    </row>
    <row r="1165" ht="15" customHeight="1" s="75">
      <c r="A1165" s="124" t="n"/>
      <c r="B1165" s="124" t="n"/>
      <c r="C1165" s="127" t="n"/>
      <c r="D1165" s="127" t="n"/>
      <c r="E1165" s="132" t="n"/>
      <c r="F1165" s="130" t="n"/>
    </row>
    <row r="1166" ht="15" customHeight="1" s="75">
      <c r="A1166" s="124" t="n"/>
      <c r="B1166" s="124" t="n"/>
      <c r="C1166" s="127" t="n"/>
      <c r="D1166" s="127" t="n"/>
      <c r="E1166" s="132" t="n"/>
      <c r="F1166" s="130" t="n"/>
    </row>
    <row r="1167" ht="15" customHeight="1" s="75">
      <c r="A1167" s="124" t="n"/>
      <c r="B1167" s="124" t="n"/>
      <c r="C1167" s="127" t="n"/>
      <c r="D1167" s="127" t="n"/>
      <c r="E1167" s="132" t="n"/>
      <c r="F1167" s="130" t="n"/>
    </row>
    <row r="1168" ht="15" customHeight="1" s="75">
      <c r="A1168" s="124" t="n"/>
      <c r="B1168" s="124" t="n"/>
      <c r="C1168" s="127" t="n"/>
      <c r="D1168" s="127" t="n"/>
      <c r="E1168" s="132" t="n"/>
      <c r="F1168" s="130" t="n"/>
    </row>
    <row r="1169" ht="15" customHeight="1" s="75">
      <c r="A1169" s="124" t="n"/>
      <c r="B1169" s="124" t="n"/>
      <c r="C1169" s="127" t="n"/>
      <c r="D1169" s="127" t="n"/>
      <c r="E1169" s="132" t="n"/>
      <c r="F1169" s="130" t="n"/>
    </row>
    <row r="1170" ht="15" customHeight="1" s="75">
      <c r="A1170" s="124" t="n"/>
      <c r="B1170" s="124" t="n"/>
      <c r="C1170" s="127" t="n"/>
      <c r="D1170" s="127" t="n"/>
      <c r="E1170" s="132" t="n"/>
      <c r="F1170" s="130" t="n"/>
    </row>
    <row r="1171" ht="15" customHeight="1" s="75">
      <c r="A1171" s="124" t="n"/>
      <c r="B1171" s="124" t="n"/>
      <c r="C1171" s="127" t="n"/>
      <c r="D1171" s="127" t="n"/>
      <c r="E1171" s="132" t="n"/>
      <c r="F1171" s="130" t="n"/>
    </row>
    <row r="1172" ht="15" customHeight="1" s="75">
      <c r="A1172" s="124" t="n"/>
      <c r="B1172" s="124" t="n"/>
      <c r="C1172" s="127" t="n"/>
      <c r="D1172" s="127" t="n"/>
      <c r="E1172" s="132" t="n"/>
      <c r="F1172" s="130" t="n"/>
    </row>
    <row r="1173" ht="15" customHeight="1" s="75">
      <c r="A1173" s="124" t="n"/>
      <c r="B1173" s="124" t="n"/>
      <c r="C1173" s="127" t="n"/>
      <c r="D1173" s="127" t="n"/>
      <c r="E1173" s="132" t="n"/>
      <c r="F1173" s="130" t="n"/>
    </row>
    <row r="1174" ht="15" customHeight="1" s="75">
      <c r="A1174" s="124" t="n"/>
      <c r="B1174" s="124" t="n"/>
      <c r="C1174" s="127" t="n"/>
      <c r="D1174" s="127" t="n"/>
      <c r="E1174" s="132" t="n"/>
      <c r="F1174" s="130" t="n"/>
    </row>
    <row r="1175" ht="15" customHeight="1" s="75">
      <c r="A1175" s="124" t="n"/>
      <c r="B1175" s="124" t="n"/>
      <c r="C1175" s="127" t="n"/>
      <c r="D1175" s="127" t="n"/>
      <c r="E1175" s="132" t="n"/>
      <c r="F1175" s="130" t="n"/>
    </row>
    <row r="1176" ht="15" customHeight="1" s="75">
      <c r="A1176" s="124" t="n"/>
      <c r="B1176" s="124" t="n"/>
      <c r="C1176" s="127" t="n"/>
      <c r="D1176" s="127" t="n"/>
      <c r="E1176" s="132" t="n"/>
      <c r="F1176" s="130" t="n"/>
    </row>
    <row r="1177" ht="15" customHeight="1" s="75">
      <c r="A1177" s="124" t="n"/>
      <c r="B1177" s="124" t="n"/>
      <c r="C1177" s="127" t="n"/>
      <c r="D1177" s="127" t="n"/>
      <c r="E1177" s="132" t="n"/>
      <c r="F1177" s="130" t="n"/>
    </row>
    <row r="1178" ht="15" customHeight="1" s="75">
      <c r="A1178" s="124" t="n"/>
      <c r="B1178" s="124" t="n"/>
      <c r="C1178" s="127" t="n"/>
      <c r="D1178" s="127" t="n"/>
      <c r="E1178" s="132" t="n"/>
      <c r="F1178" s="130" t="n"/>
    </row>
    <row r="1179" ht="15" customHeight="1" s="75">
      <c r="A1179" s="124" t="n"/>
      <c r="B1179" s="124" t="n"/>
      <c r="C1179" s="127" t="n"/>
      <c r="D1179" s="127" t="n"/>
      <c r="E1179" s="132" t="n"/>
      <c r="F1179" s="130" t="n"/>
    </row>
    <row r="1180" ht="15" customHeight="1" s="75">
      <c r="A1180" s="124" t="n"/>
      <c r="B1180" s="124" t="n"/>
      <c r="C1180" s="127" t="n"/>
      <c r="D1180" s="127" t="n"/>
      <c r="E1180" s="132" t="n"/>
      <c r="F1180" s="130" t="n"/>
    </row>
    <row r="1181" ht="15" customHeight="1" s="75">
      <c r="A1181" s="124" t="n"/>
      <c r="B1181" s="124" t="n"/>
      <c r="C1181" s="127" t="n"/>
      <c r="D1181" s="127" t="n"/>
      <c r="E1181" s="132" t="n"/>
      <c r="F1181" s="130" t="n"/>
    </row>
    <row r="1182" ht="15" customHeight="1" s="75">
      <c r="A1182" s="124" t="n"/>
      <c r="B1182" s="124" t="n"/>
      <c r="C1182" s="127" t="n"/>
      <c r="D1182" s="127" t="n"/>
      <c r="E1182" s="132" t="n"/>
      <c r="F1182" s="130" t="n"/>
    </row>
    <row r="1183" ht="15" customHeight="1" s="75">
      <c r="A1183" s="124" t="n"/>
      <c r="B1183" s="124" t="n"/>
      <c r="C1183" s="127" t="n"/>
      <c r="D1183" s="127" t="n"/>
      <c r="E1183" s="132" t="n"/>
      <c r="F1183" s="130" t="n"/>
    </row>
    <row r="1184" ht="15" customHeight="1" s="75">
      <c r="A1184" s="124" t="n"/>
      <c r="B1184" s="124" t="n"/>
      <c r="C1184" s="127" t="n"/>
      <c r="D1184" s="127" t="n"/>
      <c r="E1184" s="132" t="n"/>
      <c r="F1184" s="130" t="n"/>
    </row>
    <row r="1185" ht="15" customHeight="1" s="75">
      <c r="A1185" s="124" t="n"/>
      <c r="B1185" s="124" t="n"/>
      <c r="C1185" s="127" t="n"/>
      <c r="D1185" s="127" t="n"/>
      <c r="E1185" s="132" t="n"/>
      <c r="F1185" s="130" t="n"/>
    </row>
    <row r="1186" ht="15" customHeight="1" s="75">
      <c r="A1186" s="124" t="n"/>
      <c r="B1186" s="124" t="n"/>
      <c r="C1186" s="127" t="n"/>
      <c r="D1186" s="127" t="n"/>
      <c r="E1186" s="132" t="n"/>
      <c r="F1186" s="130" t="n"/>
    </row>
    <row r="1187" ht="15" customHeight="1" s="75">
      <c r="A1187" s="124" t="n"/>
      <c r="B1187" s="124" t="n"/>
      <c r="C1187" s="127" t="n"/>
      <c r="D1187" s="127" t="n"/>
      <c r="E1187" s="132" t="n"/>
      <c r="F1187" s="130" t="n"/>
    </row>
    <row r="1188" ht="15" customHeight="1" s="75">
      <c r="A1188" s="124" t="n"/>
      <c r="B1188" s="124" t="n"/>
      <c r="C1188" s="127" t="n"/>
      <c r="D1188" s="127" t="n"/>
      <c r="E1188" s="132" t="n"/>
      <c r="F1188" s="130" t="n"/>
    </row>
    <row r="1189" ht="15" customHeight="1" s="75">
      <c r="A1189" s="124" t="n"/>
      <c r="B1189" s="124" t="n"/>
      <c r="C1189" s="127" t="n"/>
      <c r="D1189" s="127" t="n"/>
      <c r="E1189" s="132" t="n"/>
      <c r="F1189" s="130" t="n"/>
    </row>
    <row r="1190" ht="15" customHeight="1" s="75">
      <c r="A1190" s="124" t="n"/>
      <c r="B1190" s="124" t="n"/>
      <c r="C1190" s="127" t="n"/>
      <c r="D1190" s="127" t="n"/>
      <c r="E1190" s="132" t="n"/>
      <c r="F1190" s="130" t="n"/>
    </row>
    <row r="1191" ht="15" customHeight="1" s="75">
      <c r="A1191" s="124" t="n"/>
      <c r="B1191" s="124" t="n"/>
      <c r="C1191" s="127" t="n"/>
      <c r="D1191" s="127" t="n"/>
      <c r="E1191" s="132" t="n"/>
      <c r="F1191" s="130" t="n"/>
    </row>
    <row r="1192" ht="15" customHeight="1" s="75">
      <c r="A1192" s="124" t="n"/>
      <c r="B1192" s="124" t="n"/>
      <c r="C1192" s="127" t="n"/>
      <c r="D1192" s="127" t="n"/>
      <c r="E1192" s="132" t="n"/>
      <c r="F1192" s="130" t="n"/>
    </row>
    <row r="1193" ht="15" customHeight="1" s="75">
      <c r="A1193" s="124" t="n"/>
      <c r="B1193" s="124" t="n"/>
      <c r="C1193" s="127" t="n"/>
      <c r="D1193" s="127" t="n"/>
      <c r="E1193" s="132" t="n"/>
      <c r="F1193" s="130" t="n"/>
    </row>
    <row r="1194" ht="15" customHeight="1" s="75">
      <c r="A1194" s="124" t="n"/>
      <c r="B1194" s="124" t="n"/>
      <c r="C1194" s="127" t="n"/>
      <c r="D1194" s="127" t="n"/>
      <c r="E1194" s="132" t="n"/>
      <c r="F1194" s="130" t="n"/>
    </row>
    <row r="1195" ht="15" customHeight="1" s="75">
      <c r="A1195" s="124" t="n"/>
      <c r="B1195" s="124" t="n"/>
      <c r="C1195" s="127" t="n"/>
      <c r="D1195" s="127" t="n"/>
      <c r="E1195" s="132" t="n"/>
      <c r="F1195" s="130" t="n"/>
    </row>
    <row r="1196" ht="15" customHeight="1" s="75">
      <c r="A1196" s="124" t="n"/>
      <c r="B1196" s="124" t="n"/>
      <c r="C1196" s="127" t="n"/>
      <c r="D1196" s="127" t="n"/>
      <c r="E1196" s="132" t="n"/>
      <c r="F1196" s="130" t="n"/>
    </row>
    <row r="1197" ht="15" customHeight="1" s="75">
      <c r="A1197" s="124" t="n"/>
      <c r="B1197" s="124" t="n"/>
      <c r="C1197" s="127" t="n"/>
      <c r="D1197" s="127" t="n"/>
      <c r="E1197" s="132" t="n"/>
      <c r="F1197" s="130" t="n"/>
    </row>
    <row r="1198" ht="15" customHeight="1" s="75">
      <c r="A1198" s="124" t="n"/>
      <c r="B1198" s="124" t="n"/>
      <c r="C1198" s="127" t="n"/>
      <c r="D1198" s="127" t="n"/>
      <c r="E1198" s="132" t="n"/>
      <c r="F1198" s="130" t="n"/>
    </row>
    <row r="1199" ht="15" customHeight="1" s="75">
      <c r="A1199" s="124" t="n"/>
      <c r="B1199" s="124" t="n"/>
      <c r="C1199" s="127" t="n"/>
      <c r="D1199" s="127" t="n"/>
      <c r="E1199" s="132" t="n"/>
      <c r="F1199" s="130" t="n"/>
    </row>
    <row r="1200" ht="15" customHeight="1" s="75">
      <c r="A1200" s="124" t="n"/>
      <c r="B1200" s="124" t="n"/>
      <c r="C1200" s="127" t="n"/>
      <c r="D1200" s="127" t="n"/>
      <c r="E1200" s="132" t="n"/>
      <c r="F1200" s="130" t="n"/>
    </row>
    <row r="1201" ht="15" customHeight="1" s="75">
      <c r="A1201" s="124" t="n"/>
      <c r="B1201" s="124" t="n"/>
      <c r="C1201" s="127" t="n"/>
      <c r="D1201" s="127" t="n"/>
      <c r="E1201" s="132" t="n"/>
      <c r="F1201" s="130" t="n"/>
    </row>
    <row r="1202" ht="15" customHeight="1" s="75">
      <c r="A1202" s="124" t="n"/>
      <c r="B1202" s="124" t="n"/>
      <c r="C1202" s="127" t="n"/>
      <c r="D1202" s="127" t="n"/>
      <c r="E1202" s="132" t="n"/>
      <c r="F1202" s="130" t="n"/>
    </row>
    <row r="1203" ht="15" customHeight="1" s="75">
      <c r="A1203" s="124" t="n"/>
      <c r="B1203" s="124" t="n"/>
      <c r="C1203" s="127" t="n"/>
      <c r="D1203" s="127" t="n"/>
      <c r="E1203" s="132" t="n"/>
      <c r="F1203" s="130" t="n"/>
    </row>
    <row r="1204" ht="15" customHeight="1" s="75">
      <c r="A1204" s="124" t="n"/>
      <c r="B1204" s="124" t="n"/>
      <c r="C1204" s="127" t="n"/>
      <c r="D1204" s="127" t="n"/>
      <c r="E1204" s="132" t="n"/>
      <c r="F1204" s="130" t="n"/>
    </row>
    <row r="1205" ht="15" customHeight="1" s="75">
      <c r="A1205" s="124" t="n"/>
      <c r="B1205" s="124" t="n"/>
      <c r="C1205" s="127" t="n"/>
      <c r="D1205" s="127" t="n"/>
      <c r="E1205" s="132" t="n"/>
      <c r="F1205" s="130" t="n"/>
    </row>
    <row r="1206" ht="15" customHeight="1" s="75">
      <c r="A1206" s="124" t="n"/>
      <c r="B1206" s="124" t="n"/>
      <c r="C1206" s="127" t="n"/>
      <c r="D1206" s="127" t="n"/>
      <c r="E1206" s="132" t="n"/>
      <c r="F1206" s="130" t="n"/>
    </row>
    <row r="1207" ht="15" customHeight="1" s="75">
      <c r="A1207" s="124" t="n"/>
      <c r="B1207" s="124" t="n"/>
      <c r="C1207" s="127" t="n"/>
      <c r="D1207" s="127" t="n"/>
      <c r="E1207" s="132" t="n"/>
      <c r="F1207" s="130" t="n"/>
    </row>
    <row r="1208" ht="15" customHeight="1" s="75">
      <c r="A1208" s="124" t="n"/>
      <c r="B1208" s="124" t="n"/>
      <c r="C1208" s="127" t="n"/>
      <c r="D1208" s="127" t="n"/>
      <c r="E1208" s="132" t="n"/>
      <c r="F1208" s="130" t="n"/>
    </row>
    <row r="1209" ht="15" customHeight="1" s="75">
      <c r="A1209" s="124" t="n"/>
      <c r="B1209" s="124" t="n"/>
      <c r="C1209" s="127" t="n"/>
      <c r="D1209" s="127" t="n"/>
      <c r="E1209" s="132" t="n"/>
      <c r="F1209" s="130" t="n"/>
    </row>
    <row r="1210" ht="15" customHeight="1" s="75">
      <c r="A1210" s="124" t="n"/>
      <c r="B1210" s="124" t="n"/>
      <c r="C1210" s="127" t="n"/>
      <c r="D1210" s="127" t="n"/>
      <c r="E1210" s="132" t="n"/>
      <c r="F1210" s="130" t="n"/>
    </row>
    <row r="1211" ht="15" customHeight="1" s="75">
      <c r="A1211" s="124" t="n"/>
      <c r="B1211" s="124" t="n"/>
      <c r="C1211" s="127" t="n"/>
      <c r="D1211" s="127" t="n"/>
      <c r="E1211" s="132" t="n"/>
      <c r="F1211" s="130" t="n"/>
    </row>
    <row r="1212" ht="15" customHeight="1" s="75">
      <c r="A1212" s="124" t="n"/>
      <c r="B1212" s="124" t="n"/>
      <c r="C1212" s="127" t="n"/>
      <c r="D1212" s="127" t="n"/>
      <c r="E1212" s="132" t="n"/>
      <c r="F1212" s="130" t="n"/>
    </row>
    <row r="1213" ht="15" customHeight="1" s="75">
      <c r="A1213" s="124" t="n"/>
      <c r="B1213" s="124" t="n"/>
      <c r="C1213" s="127" t="n"/>
      <c r="D1213" s="127" t="n"/>
      <c r="E1213" s="132" t="n"/>
      <c r="F1213" s="130" t="n"/>
    </row>
    <row r="1214" ht="15" customHeight="1" s="75">
      <c r="A1214" s="124" t="n"/>
      <c r="B1214" s="124" t="n"/>
      <c r="C1214" s="127" t="n"/>
      <c r="D1214" s="127" t="n"/>
      <c r="E1214" s="132" t="n"/>
      <c r="F1214" s="130" t="n"/>
    </row>
    <row r="1215" ht="15" customHeight="1" s="75">
      <c r="A1215" s="124" t="n"/>
      <c r="B1215" s="124" t="n"/>
      <c r="C1215" s="127" t="n"/>
      <c r="D1215" s="127" t="n"/>
      <c r="E1215" s="132" t="n"/>
      <c r="F1215" s="130" t="n"/>
    </row>
    <row r="1216" ht="15" customHeight="1" s="75">
      <c r="A1216" s="124" t="n"/>
      <c r="B1216" s="124" t="n"/>
      <c r="C1216" s="127" t="n"/>
      <c r="D1216" s="127" t="n"/>
      <c r="E1216" s="132" t="n"/>
      <c r="F1216" s="130" t="n"/>
    </row>
    <row r="1217" ht="15" customHeight="1" s="75">
      <c r="A1217" s="124" t="n"/>
      <c r="B1217" s="124" t="n"/>
      <c r="C1217" s="127" t="n"/>
      <c r="D1217" s="127" t="n"/>
      <c r="E1217" s="132" t="n"/>
      <c r="F1217" s="130" t="n"/>
    </row>
    <row r="1218" ht="15" customHeight="1" s="75">
      <c r="A1218" s="124" t="n"/>
      <c r="B1218" s="124" t="n"/>
      <c r="C1218" s="127" t="n"/>
      <c r="D1218" s="127" t="n"/>
      <c r="E1218" s="132" t="n"/>
      <c r="F1218" s="130" t="n"/>
    </row>
    <row r="1219" ht="15" customHeight="1" s="75">
      <c r="A1219" s="124" t="n"/>
      <c r="B1219" s="124" t="n"/>
      <c r="C1219" s="127" t="n"/>
      <c r="D1219" s="127" t="n"/>
      <c r="E1219" s="132" t="n"/>
      <c r="F1219" s="130" t="n"/>
    </row>
    <row r="1220" ht="15" customHeight="1" s="75">
      <c r="A1220" s="124" t="n"/>
      <c r="B1220" s="124" t="n"/>
      <c r="C1220" s="127" t="n"/>
      <c r="D1220" s="127" t="n"/>
      <c r="E1220" s="132" t="n"/>
      <c r="F1220" s="130" t="n"/>
    </row>
    <row r="1221" ht="15" customHeight="1" s="75">
      <c r="A1221" s="124" t="n"/>
      <c r="B1221" s="124" t="n"/>
      <c r="C1221" s="127" t="n"/>
      <c r="D1221" s="127" t="n"/>
      <c r="E1221" s="132" t="n"/>
      <c r="F1221" s="130" t="n"/>
    </row>
    <row r="1222" ht="15" customHeight="1" s="75">
      <c r="A1222" s="124" t="n"/>
      <c r="B1222" s="124" t="n"/>
      <c r="C1222" s="127" t="n"/>
      <c r="D1222" s="127" t="n"/>
      <c r="E1222" s="132" t="n"/>
      <c r="F1222" s="130" t="n"/>
    </row>
    <row r="1223" ht="15" customHeight="1" s="75">
      <c r="A1223" s="124" t="n"/>
      <c r="B1223" s="124" t="n"/>
      <c r="C1223" s="127" t="n"/>
      <c r="D1223" s="127" t="n"/>
      <c r="E1223" s="132" t="n"/>
      <c r="F1223" s="130" t="n"/>
    </row>
    <row r="1224" ht="15" customHeight="1" s="75">
      <c r="A1224" s="124" t="n"/>
      <c r="B1224" s="124" t="n"/>
      <c r="C1224" s="127" t="n"/>
      <c r="D1224" s="127" t="n"/>
      <c r="E1224" s="132" t="n"/>
      <c r="F1224" s="130" t="n"/>
    </row>
    <row r="1225" ht="15" customHeight="1" s="75">
      <c r="A1225" s="124" t="n"/>
      <c r="B1225" s="124" t="n"/>
      <c r="C1225" s="127" t="n"/>
      <c r="D1225" s="127" t="n"/>
      <c r="E1225" s="132" t="n"/>
      <c r="F1225" s="130" t="n"/>
    </row>
    <row r="1226" ht="15" customHeight="1" s="75">
      <c r="A1226" s="124" t="n"/>
      <c r="B1226" s="124" t="n"/>
      <c r="C1226" s="127" t="n"/>
      <c r="D1226" s="127" t="n"/>
      <c r="E1226" s="132" t="n"/>
      <c r="F1226" s="130" t="n"/>
    </row>
    <row r="1227" ht="15" customHeight="1" s="75">
      <c r="A1227" s="124" t="n"/>
      <c r="B1227" s="124" t="n"/>
      <c r="C1227" s="127" t="n"/>
      <c r="D1227" s="127" t="n"/>
      <c r="E1227" s="132" t="n"/>
      <c r="F1227" s="130" t="n"/>
    </row>
    <row r="1228" ht="15" customHeight="1" s="75">
      <c r="A1228" s="124" t="n"/>
      <c r="B1228" s="124" t="n"/>
      <c r="C1228" s="127" t="n"/>
      <c r="D1228" s="127" t="n"/>
      <c r="E1228" s="132" t="n"/>
      <c r="F1228" s="130" t="n"/>
    </row>
    <row r="1229" ht="15" customHeight="1" s="75">
      <c r="A1229" s="124" t="n"/>
      <c r="B1229" s="124" t="n"/>
      <c r="C1229" s="127" t="n"/>
      <c r="D1229" s="127" t="n"/>
      <c r="E1229" s="132" t="n"/>
      <c r="F1229" s="130" t="n"/>
    </row>
    <row r="1230" ht="15" customHeight="1" s="75">
      <c r="A1230" s="124" t="n"/>
      <c r="B1230" s="124" t="n"/>
      <c r="C1230" s="127" t="n"/>
      <c r="D1230" s="127" t="n"/>
      <c r="E1230" s="132" t="n"/>
      <c r="F1230" s="130" t="n"/>
    </row>
    <row r="1231" ht="15" customHeight="1" s="75">
      <c r="A1231" s="124" t="n"/>
      <c r="B1231" s="124" t="n"/>
      <c r="C1231" s="127" t="n"/>
      <c r="D1231" s="127" t="n"/>
      <c r="E1231" s="132" t="n"/>
      <c r="F1231" s="130" t="n"/>
    </row>
    <row r="1232" ht="15" customHeight="1" s="75">
      <c r="A1232" s="124" t="n"/>
      <c r="B1232" s="124" t="n"/>
      <c r="C1232" s="127" t="n"/>
      <c r="D1232" s="127" t="n"/>
      <c r="E1232" s="132" t="n"/>
      <c r="F1232" s="130" t="n"/>
    </row>
    <row r="1233" ht="15" customHeight="1" s="75">
      <c r="A1233" s="124" t="n"/>
      <c r="B1233" s="124" t="n"/>
      <c r="C1233" s="127" t="n"/>
      <c r="D1233" s="127" t="n"/>
      <c r="E1233" s="132" t="n"/>
      <c r="F1233" s="130" t="n"/>
    </row>
    <row r="1234" ht="15" customHeight="1" s="75">
      <c r="A1234" s="124" t="n"/>
      <c r="B1234" s="124" t="n"/>
      <c r="C1234" s="127" t="n"/>
      <c r="D1234" s="127" t="n"/>
      <c r="E1234" s="132" t="n"/>
      <c r="F1234" s="130" t="n"/>
    </row>
    <row r="1235" ht="15" customHeight="1" s="75">
      <c r="A1235" s="124" t="n"/>
      <c r="B1235" s="124" t="n"/>
      <c r="C1235" s="127" t="n"/>
      <c r="D1235" s="127" t="n"/>
      <c r="E1235" s="132" t="n"/>
      <c r="F1235" s="130" t="n"/>
    </row>
    <row r="1236" ht="15" customHeight="1" s="75">
      <c r="A1236" s="124" t="n"/>
      <c r="B1236" s="124" t="n"/>
      <c r="C1236" s="127" t="n"/>
      <c r="D1236" s="127" t="n"/>
      <c r="E1236" s="132" t="n"/>
      <c r="F1236" s="130" t="n"/>
    </row>
    <row r="1237" ht="15" customHeight="1" s="75">
      <c r="A1237" s="124" t="n"/>
      <c r="B1237" s="124" t="n"/>
      <c r="C1237" s="127" t="n"/>
      <c r="D1237" s="127" t="n"/>
      <c r="E1237" s="132" t="n"/>
      <c r="F1237" s="130" t="n"/>
    </row>
    <row r="1238" ht="15" customHeight="1" s="75">
      <c r="A1238" s="124" t="n"/>
      <c r="B1238" s="124" t="n"/>
      <c r="C1238" s="127" t="n"/>
      <c r="D1238" s="127" t="n"/>
      <c r="E1238" s="132" t="n"/>
      <c r="F1238" s="130" t="n"/>
    </row>
    <row r="1239" ht="15" customHeight="1" s="75">
      <c r="A1239" s="124" t="n"/>
      <c r="B1239" s="124" t="n"/>
      <c r="C1239" s="127" t="n"/>
      <c r="D1239" s="127" t="n"/>
      <c r="E1239" s="132" t="n"/>
      <c r="F1239" s="130" t="n"/>
    </row>
    <row r="1240" ht="15" customHeight="1" s="75">
      <c r="A1240" s="124" t="n"/>
      <c r="B1240" s="124" t="n"/>
      <c r="C1240" s="127" t="n"/>
      <c r="D1240" s="127" t="n"/>
      <c r="E1240" s="132" t="n"/>
      <c r="F1240" s="130" t="n"/>
    </row>
    <row r="1241" ht="15" customHeight="1" s="75">
      <c r="A1241" s="124" t="n"/>
      <c r="B1241" s="124" t="n"/>
      <c r="C1241" s="127" t="n"/>
      <c r="D1241" s="127" t="n"/>
      <c r="E1241" s="132" t="n"/>
      <c r="F1241" s="130" t="n"/>
    </row>
    <row r="1242" ht="15" customHeight="1" s="75">
      <c r="A1242" s="124" t="n"/>
      <c r="B1242" s="124" t="n"/>
      <c r="C1242" s="127" t="n"/>
      <c r="D1242" s="127" t="n"/>
      <c r="E1242" s="132" t="n"/>
      <c r="F1242" s="130" t="n"/>
    </row>
    <row r="1243" ht="15" customHeight="1" s="75">
      <c r="A1243" s="124" t="n"/>
      <c r="B1243" s="124" t="n"/>
      <c r="C1243" s="127" t="n"/>
      <c r="D1243" s="127" t="n"/>
      <c r="E1243" s="132" t="n"/>
      <c r="F1243" s="130" t="n"/>
    </row>
    <row r="1244" ht="15" customHeight="1" s="75">
      <c r="A1244" s="124" t="n"/>
      <c r="B1244" s="124" t="n"/>
      <c r="C1244" s="127" t="n"/>
      <c r="D1244" s="127" t="n"/>
      <c r="E1244" s="132" t="n"/>
      <c r="F1244" s="130" t="n"/>
    </row>
    <row r="1245" ht="15" customHeight="1" s="75">
      <c r="A1245" s="124" t="n"/>
      <c r="B1245" s="124" t="n"/>
      <c r="C1245" s="127" t="n"/>
      <c r="D1245" s="127" t="n"/>
      <c r="E1245" s="132" t="n"/>
      <c r="F1245" s="130" t="n"/>
    </row>
    <row r="1246" ht="15" customHeight="1" s="75">
      <c r="A1246" s="124" t="n"/>
      <c r="B1246" s="124" t="n"/>
      <c r="C1246" s="127" t="n"/>
      <c r="D1246" s="127" t="n"/>
      <c r="E1246" s="132" t="n"/>
      <c r="F1246" s="130" t="n"/>
    </row>
    <row r="1247" ht="15" customHeight="1" s="75">
      <c r="A1247" s="124" t="n"/>
      <c r="B1247" s="124" t="n"/>
      <c r="C1247" s="127" t="n"/>
      <c r="D1247" s="127" t="n"/>
      <c r="E1247" s="132" t="n"/>
      <c r="F1247" s="130" t="n"/>
    </row>
    <row r="1248" ht="15" customHeight="1" s="75">
      <c r="A1248" s="124" t="n"/>
      <c r="B1248" s="124" t="n"/>
      <c r="C1248" s="127" t="n"/>
      <c r="D1248" s="127" t="n"/>
      <c r="E1248" s="132" t="n"/>
      <c r="F1248" s="130" t="n"/>
    </row>
    <row r="1249" ht="15" customHeight="1" s="75">
      <c r="A1249" s="124" t="n"/>
      <c r="B1249" s="124" t="n"/>
      <c r="C1249" s="127" t="n"/>
      <c r="D1249" s="127" t="n"/>
      <c r="E1249" s="132" t="n"/>
      <c r="F1249" s="130" t="n"/>
    </row>
    <row r="1250" ht="15" customHeight="1" s="75">
      <c r="A1250" s="124" t="n"/>
      <c r="B1250" s="124" t="n"/>
      <c r="C1250" s="127" t="n"/>
      <c r="D1250" s="127" t="n"/>
      <c r="E1250" s="132" t="n"/>
      <c r="F1250" s="130" t="n"/>
    </row>
    <row r="1251" ht="15" customHeight="1" s="75">
      <c r="A1251" s="124" t="n"/>
      <c r="B1251" s="124" t="n"/>
      <c r="C1251" s="127" t="n"/>
      <c r="D1251" s="127" t="n"/>
      <c r="E1251" s="132" t="n"/>
      <c r="F1251" s="130" t="n"/>
    </row>
    <row r="1252" ht="15" customHeight="1" s="75">
      <c r="A1252" s="124" t="n"/>
      <c r="B1252" s="124" t="n"/>
      <c r="C1252" s="127" t="n"/>
      <c r="D1252" s="127" t="n"/>
      <c r="E1252" s="132" t="n"/>
      <c r="F1252" s="130" t="n"/>
    </row>
    <row r="1253" ht="15" customHeight="1" s="75">
      <c r="A1253" s="124" t="n"/>
      <c r="B1253" s="124" t="n"/>
      <c r="C1253" s="127" t="n"/>
      <c r="D1253" s="127" t="n"/>
      <c r="E1253" s="132" t="n"/>
      <c r="F1253" s="130" t="n"/>
    </row>
    <row r="1254" ht="15" customHeight="1" s="75">
      <c r="A1254" s="124" t="n"/>
      <c r="B1254" s="124" t="n"/>
      <c r="C1254" s="127" t="n"/>
      <c r="D1254" s="127" t="n"/>
      <c r="E1254" s="132" t="n"/>
      <c r="F1254" s="130" t="n"/>
    </row>
    <row r="1255" ht="15" customHeight="1" s="75">
      <c r="A1255" s="124" t="n"/>
      <c r="B1255" s="124" t="n"/>
      <c r="C1255" s="127" t="n"/>
      <c r="D1255" s="127" t="n"/>
      <c r="E1255" s="132" t="n"/>
      <c r="F1255" s="130" t="n"/>
    </row>
    <row r="1256" ht="15" customHeight="1" s="75">
      <c r="A1256" s="124" t="n"/>
      <c r="B1256" s="124" t="n"/>
      <c r="C1256" s="127" t="n"/>
      <c r="D1256" s="127" t="n"/>
      <c r="E1256" s="132" t="n"/>
      <c r="F1256" s="130" t="n"/>
    </row>
    <row r="1257" ht="15" customHeight="1" s="75">
      <c r="A1257" s="124" t="n"/>
      <c r="B1257" s="124" t="n"/>
      <c r="C1257" s="127" t="n"/>
      <c r="D1257" s="127" t="n"/>
      <c r="E1257" s="132" t="n"/>
      <c r="F1257" s="130" t="n"/>
    </row>
    <row r="1258" ht="15" customHeight="1" s="75">
      <c r="A1258" s="124" t="n"/>
      <c r="B1258" s="124" t="n"/>
      <c r="C1258" s="127" t="n"/>
      <c r="D1258" s="127" t="n"/>
      <c r="E1258" s="132" t="n"/>
      <c r="F1258" s="130" t="n"/>
    </row>
    <row r="1259" ht="15" customHeight="1" s="75">
      <c r="A1259" s="124" t="n"/>
      <c r="B1259" s="124" t="n"/>
      <c r="C1259" s="127" t="n"/>
      <c r="D1259" s="127" t="n"/>
      <c r="E1259" s="132" t="n"/>
      <c r="F1259" s="130" t="n"/>
    </row>
    <row r="1260" ht="15" customHeight="1" s="75">
      <c r="A1260" s="124" t="n"/>
      <c r="B1260" s="124" t="n"/>
      <c r="C1260" s="127" t="n"/>
      <c r="D1260" s="127" t="n"/>
      <c r="E1260" s="132" t="n"/>
      <c r="F1260" s="130" t="n"/>
    </row>
    <row r="1261" ht="15" customHeight="1" s="75">
      <c r="A1261" s="124" t="n"/>
      <c r="B1261" s="124" t="n"/>
      <c r="C1261" s="127" t="n"/>
      <c r="D1261" s="127" t="n"/>
      <c r="E1261" s="132" t="n"/>
      <c r="F1261" s="130" t="n"/>
    </row>
    <row r="1262" ht="15" customHeight="1" s="75">
      <c r="A1262" s="124" t="n"/>
      <c r="B1262" s="124" t="n"/>
      <c r="C1262" s="127" t="n"/>
      <c r="D1262" s="127" t="n"/>
      <c r="E1262" s="132" t="n"/>
      <c r="F1262" s="130" t="n"/>
    </row>
    <row r="1263" ht="15" customHeight="1" s="75">
      <c r="A1263" s="124" t="n"/>
      <c r="B1263" s="124" t="n"/>
      <c r="C1263" s="127" t="n"/>
      <c r="D1263" s="127" t="n"/>
      <c r="E1263" s="132" t="n"/>
      <c r="F1263" s="130" t="n"/>
    </row>
    <row r="1264" ht="15" customHeight="1" s="75">
      <c r="A1264" s="124" t="n"/>
      <c r="B1264" s="124" t="n"/>
      <c r="C1264" s="127" t="n"/>
      <c r="D1264" s="127" t="n"/>
      <c r="E1264" s="132" t="n"/>
      <c r="F1264" s="130" t="n"/>
    </row>
    <row r="1265" ht="15" customHeight="1" s="75">
      <c r="A1265" s="124" t="n"/>
      <c r="B1265" s="124" t="n"/>
      <c r="C1265" s="127" t="n"/>
      <c r="D1265" s="127" t="n"/>
      <c r="E1265" s="132" t="n"/>
      <c r="F1265" s="130" t="n"/>
    </row>
    <row r="1266" ht="15" customHeight="1" s="75">
      <c r="A1266" s="124" t="n"/>
      <c r="B1266" s="124" t="n"/>
      <c r="C1266" s="127" t="n"/>
      <c r="D1266" s="127" t="n"/>
      <c r="E1266" s="132" t="n"/>
      <c r="F1266" s="130" t="n"/>
    </row>
    <row r="1267" ht="15" customHeight="1" s="75">
      <c r="A1267" s="124" t="n"/>
      <c r="B1267" s="124" t="n"/>
      <c r="C1267" s="127" t="n"/>
      <c r="D1267" s="127" t="n"/>
      <c r="E1267" s="132" t="n"/>
      <c r="F1267" s="130" t="n"/>
    </row>
    <row r="1268" ht="15" customHeight="1" s="75">
      <c r="A1268" s="124" t="n"/>
      <c r="B1268" s="124" t="n"/>
      <c r="C1268" s="127" t="n"/>
      <c r="D1268" s="127" t="n"/>
      <c r="E1268" s="132" t="n"/>
      <c r="F1268" s="130" t="n"/>
    </row>
    <row r="1269" ht="15" customHeight="1" s="75">
      <c r="A1269" s="124" t="n"/>
      <c r="B1269" s="124" t="n"/>
      <c r="C1269" s="127" t="n"/>
      <c r="D1269" s="127" t="n"/>
      <c r="E1269" s="132" t="n"/>
      <c r="F1269" s="130" t="n"/>
    </row>
    <row r="1270" ht="15" customHeight="1" s="75">
      <c r="A1270" s="124" t="n"/>
      <c r="B1270" s="124" t="n"/>
      <c r="C1270" s="127" t="n"/>
      <c r="D1270" s="127" t="n"/>
      <c r="E1270" s="132" t="n"/>
      <c r="F1270" s="130" t="n"/>
    </row>
    <row r="1271" ht="15" customHeight="1" s="75">
      <c r="A1271" s="124" t="n"/>
      <c r="B1271" s="124" t="n"/>
      <c r="C1271" s="127" t="n"/>
      <c r="D1271" s="127" t="n"/>
      <c r="E1271" s="132" t="n"/>
      <c r="F1271" s="130" t="n"/>
    </row>
    <row r="1272" ht="15" customHeight="1" s="75">
      <c r="A1272" s="124" t="n"/>
      <c r="B1272" s="124" t="n"/>
      <c r="C1272" s="127" t="n"/>
      <c r="D1272" s="127" t="n"/>
      <c r="E1272" s="132" t="n"/>
      <c r="F1272" s="130" t="n"/>
    </row>
    <row r="1273" ht="15" customHeight="1" s="75">
      <c r="A1273" s="124" t="n"/>
      <c r="B1273" s="124" t="n"/>
      <c r="C1273" s="127" t="n"/>
      <c r="D1273" s="127" t="n"/>
      <c r="E1273" s="132" t="n"/>
      <c r="F1273" s="130" t="n"/>
    </row>
    <row r="1274" ht="15" customHeight="1" s="75">
      <c r="A1274" s="124" t="n"/>
      <c r="B1274" s="124" t="n"/>
      <c r="C1274" s="127" t="n"/>
      <c r="D1274" s="127" t="n"/>
      <c r="E1274" s="132" t="n"/>
      <c r="F1274" s="130" t="n"/>
    </row>
    <row r="1275" ht="15" customHeight="1" s="75">
      <c r="A1275" s="124" t="n"/>
      <c r="B1275" s="124" t="n"/>
      <c r="C1275" s="127" t="n"/>
      <c r="D1275" s="127" t="n"/>
      <c r="E1275" s="132" t="n"/>
      <c r="F1275" s="130" t="n"/>
    </row>
    <row r="1276" ht="15" customHeight="1" s="75">
      <c r="A1276" s="124" t="n"/>
      <c r="B1276" s="124" t="n"/>
      <c r="C1276" s="127" t="n"/>
      <c r="D1276" s="127" t="n"/>
      <c r="E1276" s="132" t="n"/>
      <c r="F1276" s="130" t="n"/>
    </row>
    <row r="1277" ht="15" customHeight="1" s="75">
      <c r="A1277" s="124" t="n"/>
      <c r="B1277" s="124" t="n"/>
      <c r="C1277" s="127" t="n"/>
      <c r="D1277" s="127" t="n"/>
      <c r="E1277" s="132" t="n"/>
      <c r="F1277" s="130" t="n"/>
    </row>
    <row r="1278" ht="15" customHeight="1" s="75">
      <c r="A1278" s="124" t="n"/>
      <c r="B1278" s="124" t="n"/>
      <c r="C1278" s="127" t="n"/>
      <c r="D1278" s="127" t="n"/>
      <c r="E1278" s="132" t="n"/>
      <c r="F1278" s="130" t="n"/>
    </row>
    <row r="1279" ht="15" customHeight="1" s="75">
      <c r="A1279" s="124" t="n"/>
      <c r="B1279" s="124" t="n"/>
      <c r="C1279" s="127" t="n"/>
      <c r="D1279" s="127" t="n"/>
      <c r="E1279" s="132" t="n"/>
      <c r="F1279" s="130" t="n"/>
    </row>
    <row r="1280" ht="15" customHeight="1" s="75">
      <c r="A1280" s="124" t="n"/>
      <c r="B1280" s="124" t="n"/>
      <c r="C1280" s="127" t="n"/>
      <c r="D1280" s="127" t="n"/>
      <c r="E1280" s="132" t="n"/>
      <c r="F1280" s="130" t="n"/>
    </row>
    <row r="1281" ht="15" customHeight="1" s="75">
      <c r="A1281" s="124" t="n"/>
      <c r="B1281" s="124" t="n"/>
      <c r="C1281" s="127" t="n"/>
      <c r="D1281" s="127" t="n"/>
      <c r="E1281" s="132" t="n"/>
      <c r="F1281" s="130" t="n"/>
    </row>
    <row r="1282" ht="15" customHeight="1" s="75">
      <c r="A1282" s="124" t="n"/>
      <c r="B1282" s="124" t="n"/>
      <c r="C1282" s="127" t="n"/>
      <c r="D1282" s="127" t="n"/>
      <c r="E1282" s="132" t="n"/>
      <c r="F1282" s="130" t="n"/>
    </row>
    <row r="1283" ht="15" customHeight="1" s="75">
      <c r="A1283" s="124" t="n"/>
      <c r="B1283" s="124" t="n"/>
      <c r="C1283" s="127" t="n"/>
      <c r="D1283" s="127" t="n"/>
      <c r="E1283" s="132" t="n"/>
      <c r="F1283" s="130" t="n"/>
    </row>
    <row r="1284" ht="15" customHeight="1" s="75">
      <c r="A1284" s="124" t="n"/>
      <c r="B1284" s="124" t="n"/>
      <c r="C1284" s="127" t="n"/>
      <c r="D1284" s="127" t="n"/>
      <c r="E1284" s="132" t="n"/>
      <c r="F1284" s="130" t="n"/>
    </row>
    <row r="1285" ht="15" customHeight="1" s="75">
      <c r="A1285" s="124" t="n"/>
      <c r="B1285" s="124" t="n"/>
      <c r="C1285" s="127" t="n"/>
      <c r="D1285" s="127" t="n"/>
      <c r="E1285" s="132" t="n"/>
      <c r="F1285" s="130" t="n"/>
    </row>
    <row r="1286" ht="15" customHeight="1" s="75">
      <c r="A1286" s="124" t="n"/>
      <c r="B1286" s="124" t="n"/>
      <c r="C1286" s="127" t="n"/>
      <c r="D1286" s="127" t="n"/>
      <c r="E1286" s="132" t="n"/>
      <c r="F1286" s="130" t="n"/>
    </row>
    <row r="1287" ht="15" customHeight="1" s="75">
      <c r="A1287" s="124" t="n"/>
      <c r="B1287" s="124" t="n"/>
      <c r="C1287" s="127" t="n"/>
      <c r="D1287" s="127" t="n"/>
      <c r="E1287" s="132" t="n"/>
      <c r="F1287" s="130" t="n"/>
    </row>
    <row r="1288" ht="15" customHeight="1" s="75">
      <c r="A1288" s="124" t="n"/>
      <c r="B1288" s="124" t="n"/>
      <c r="C1288" s="127" t="n"/>
      <c r="D1288" s="127" t="n"/>
      <c r="E1288" s="132" t="n"/>
      <c r="F1288" s="130" t="n"/>
    </row>
    <row r="1289" ht="15" customHeight="1" s="75">
      <c r="A1289" s="124" t="n"/>
      <c r="B1289" s="124" t="n"/>
      <c r="C1289" s="127" t="n"/>
      <c r="D1289" s="127" t="n"/>
      <c r="E1289" s="132" t="n"/>
      <c r="F1289" s="130" t="n"/>
    </row>
    <row r="1290" ht="15" customHeight="1" s="75">
      <c r="A1290" s="124" t="n"/>
      <c r="B1290" s="124" t="n"/>
      <c r="C1290" s="127" t="n"/>
      <c r="D1290" s="127" t="n"/>
      <c r="E1290" s="132" t="n"/>
      <c r="F1290" s="130" t="n"/>
    </row>
    <row r="1291" ht="15" customHeight="1" s="75">
      <c r="A1291" s="124" t="n"/>
      <c r="B1291" s="124" t="n"/>
      <c r="C1291" s="127" t="n"/>
      <c r="D1291" s="127" t="n"/>
      <c r="E1291" s="132" t="n"/>
      <c r="F1291" s="130" t="n"/>
    </row>
    <row r="1292" ht="15" customHeight="1" s="75">
      <c r="A1292" s="124" t="n"/>
      <c r="B1292" s="124" t="n"/>
      <c r="C1292" s="127" t="n"/>
      <c r="D1292" s="127" t="n"/>
      <c r="E1292" s="132" t="n"/>
      <c r="F1292" s="130" t="n"/>
    </row>
    <row r="1293" ht="15" customHeight="1" s="75">
      <c r="A1293" s="124" t="n"/>
      <c r="B1293" s="124" t="n"/>
      <c r="C1293" s="127" t="n"/>
      <c r="D1293" s="127" t="n"/>
      <c r="E1293" s="132" t="n"/>
      <c r="F1293" s="130" t="n"/>
    </row>
    <row r="1294" ht="15" customHeight="1" s="75">
      <c r="A1294" s="124" t="n"/>
      <c r="B1294" s="124" t="n"/>
      <c r="C1294" s="127" t="n"/>
      <c r="D1294" s="127" t="n"/>
      <c r="E1294" s="132" t="n"/>
      <c r="F1294" s="130" t="n"/>
    </row>
    <row r="1295" ht="15" customHeight="1" s="75">
      <c r="A1295" s="124" t="n"/>
      <c r="B1295" s="124" t="n"/>
      <c r="C1295" s="127" t="n"/>
      <c r="D1295" s="127" t="n"/>
      <c r="E1295" s="132" t="n"/>
      <c r="F1295" s="130" t="n"/>
    </row>
    <row r="1296" ht="15" customHeight="1" s="75">
      <c r="A1296" s="124" t="n"/>
      <c r="B1296" s="124" t="n"/>
      <c r="C1296" s="127" t="n"/>
      <c r="D1296" s="127" t="n"/>
      <c r="E1296" s="132" t="n"/>
      <c r="F1296" s="130" t="n"/>
    </row>
    <row r="1297" ht="15" customHeight="1" s="75">
      <c r="A1297" s="124" t="n"/>
      <c r="B1297" s="124" t="n"/>
      <c r="C1297" s="127" t="n"/>
      <c r="D1297" s="127" t="n"/>
      <c r="E1297" s="132" t="n"/>
      <c r="F1297" s="130" t="n"/>
    </row>
    <row r="1298" ht="15" customHeight="1" s="75">
      <c r="A1298" s="124" t="n"/>
      <c r="B1298" s="124" t="n"/>
      <c r="C1298" s="127" t="n"/>
      <c r="D1298" s="127" t="n"/>
      <c r="E1298" s="132" t="n"/>
      <c r="F1298" s="130" t="n"/>
    </row>
    <row r="1299" ht="15" customHeight="1" s="75">
      <c r="A1299" s="124" t="n"/>
      <c r="B1299" s="124" t="n"/>
      <c r="C1299" s="127" t="n"/>
      <c r="D1299" s="127" t="n"/>
      <c r="E1299" s="132" t="n"/>
      <c r="F1299" s="130" t="n"/>
    </row>
    <row r="1300" ht="15" customHeight="1" s="75">
      <c r="A1300" s="124" t="n"/>
      <c r="B1300" s="124" t="n"/>
      <c r="C1300" s="127" t="n"/>
      <c r="D1300" s="127" t="n"/>
      <c r="E1300" s="132" t="n"/>
      <c r="F1300" s="130" t="n"/>
    </row>
    <row r="1301" ht="15" customHeight="1" s="75">
      <c r="A1301" s="124" t="n"/>
      <c r="B1301" s="124" t="n"/>
      <c r="C1301" s="127" t="n"/>
      <c r="D1301" s="127" t="n"/>
      <c r="E1301" s="132" t="n"/>
      <c r="F1301" s="130" t="n"/>
    </row>
    <row r="1302" ht="15" customHeight="1" s="75">
      <c r="A1302" s="124" t="n"/>
      <c r="B1302" s="124" t="n"/>
      <c r="C1302" s="127" t="n"/>
      <c r="D1302" s="127" t="n"/>
      <c r="E1302" s="132" t="n"/>
      <c r="F1302" s="130" t="n"/>
    </row>
    <row r="1303" ht="15" customHeight="1" s="75">
      <c r="A1303" s="124" t="n"/>
      <c r="B1303" s="124" t="n"/>
      <c r="C1303" s="127" t="n"/>
      <c r="D1303" s="127" t="n"/>
      <c r="E1303" s="132" t="n"/>
      <c r="F1303" s="130" t="n"/>
    </row>
    <row r="1304" ht="15" customHeight="1" s="75">
      <c r="A1304" s="124" t="n"/>
      <c r="B1304" s="124" t="n"/>
      <c r="C1304" s="127" t="n"/>
      <c r="D1304" s="127" t="n"/>
      <c r="E1304" s="132" t="n"/>
      <c r="F1304" s="130" t="n"/>
    </row>
    <row r="1305" ht="15" customHeight="1" s="75">
      <c r="A1305" s="124" t="n"/>
      <c r="B1305" s="124" t="n"/>
      <c r="C1305" s="127" t="n"/>
      <c r="D1305" s="127" t="n"/>
      <c r="E1305" s="132" t="n"/>
      <c r="F1305" s="130" t="n"/>
    </row>
    <row r="1306" ht="15" customHeight="1" s="75">
      <c r="A1306" s="124" t="n"/>
      <c r="B1306" s="124" t="n"/>
      <c r="C1306" s="127" t="n"/>
      <c r="D1306" s="127" t="n"/>
      <c r="E1306" s="132" t="n"/>
      <c r="F1306" s="130" t="n"/>
    </row>
    <row r="1307" ht="15" customHeight="1" s="75">
      <c r="A1307" s="124" t="n"/>
      <c r="B1307" s="124" t="n"/>
      <c r="C1307" s="127" t="n"/>
      <c r="D1307" s="127" t="n"/>
      <c r="E1307" s="132" t="n"/>
      <c r="F1307" s="130" t="n"/>
    </row>
    <row r="1308" ht="15" customHeight="1" s="75">
      <c r="A1308" s="124" t="n"/>
      <c r="B1308" s="124" t="n"/>
      <c r="C1308" s="127" t="n"/>
      <c r="D1308" s="127" t="n"/>
      <c r="E1308" s="132" t="n"/>
      <c r="F1308" s="130" t="n"/>
    </row>
    <row r="1309" ht="15" customHeight="1" s="75">
      <c r="A1309" s="124" t="n"/>
      <c r="B1309" s="124" t="n"/>
      <c r="C1309" s="127" t="n"/>
      <c r="D1309" s="127" t="n"/>
      <c r="E1309" s="132" t="n"/>
      <c r="F1309" s="130" t="n"/>
    </row>
    <row r="1310" ht="15" customHeight="1" s="75">
      <c r="A1310" s="124" t="n"/>
      <c r="B1310" s="124" t="n"/>
      <c r="C1310" s="127" t="n"/>
      <c r="D1310" s="127" t="n"/>
      <c r="E1310" s="132" t="n"/>
      <c r="F1310" s="130" t="n"/>
    </row>
    <row r="1311" ht="15" customHeight="1" s="75">
      <c r="A1311" s="124" t="n"/>
      <c r="B1311" s="124" t="n"/>
      <c r="C1311" s="127" t="n"/>
      <c r="D1311" s="127" t="n"/>
      <c r="E1311" s="132" t="n"/>
      <c r="F1311" s="130" t="n"/>
    </row>
    <row r="1312" ht="15" customHeight="1" s="75">
      <c r="A1312" s="124" t="n"/>
      <c r="B1312" s="124" t="n"/>
      <c r="C1312" s="127" t="n"/>
      <c r="D1312" s="127" t="n"/>
      <c r="E1312" s="132" t="n"/>
      <c r="F1312" s="130" t="n"/>
    </row>
    <row r="1313" ht="15" customHeight="1" s="75">
      <c r="A1313" s="124" t="n"/>
      <c r="B1313" s="124" t="n"/>
      <c r="C1313" s="127" t="n"/>
      <c r="D1313" s="127" t="n"/>
      <c r="E1313" s="132" t="n"/>
      <c r="F1313" s="130" t="n"/>
    </row>
    <row r="1314" ht="15" customHeight="1" s="75">
      <c r="A1314" s="124" t="n"/>
      <c r="B1314" s="124" t="n"/>
      <c r="C1314" s="127" t="n"/>
      <c r="D1314" s="127" t="n"/>
      <c r="E1314" s="132" t="n"/>
      <c r="F1314" s="130" t="n"/>
    </row>
    <row r="1315" ht="15" customHeight="1" s="75">
      <c r="A1315" s="124" t="n"/>
      <c r="B1315" s="124" t="n"/>
      <c r="C1315" s="127" t="n"/>
      <c r="D1315" s="127" t="n"/>
      <c r="E1315" s="132" t="n"/>
      <c r="F1315" s="130" t="n"/>
    </row>
    <row r="1316" ht="15" customHeight="1" s="75">
      <c r="A1316" s="124" t="n"/>
      <c r="B1316" s="124" t="n"/>
      <c r="C1316" s="127" t="n"/>
      <c r="D1316" s="127" t="n"/>
      <c r="E1316" s="132" t="n"/>
      <c r="F1316" s="130" t="n"/>
    </row>
    <row r="1317" ht="15" customHeight="1" s="75">
      <c r="A1317" s="124" t="n"/>
      <c r="B1317" s="124" t="n"/>
      <c r="C1317" s="127" t="n"/>
      <c r="D1317" s="127" t="n"/>
      <c r="E1317" s="132" t="n"/>
      <c r="F1317" s="130" t="n"/>
    </row>
    <row r="1318" ht="15" customHeight="1" s="75">
      <c r="A1318" s="124" t="n"/>
      <c r="B1318" s="124" t="n"/>
      <c r="C1318" s="127" t="n"/>
      <c r="D1318" s="127" t="n"/>
      <c r="E1318" s="132" t="n"/>
      <c r="F1318" s="130" t="n"/>
    </row>
    <row r="1319" ht="15" customHeight="1" s="75">
      <c r="A1319" s="124" t="n"/>
      <c r="B1319" s="124" t="n"/>
      <c r="C1319" s="127" t="n"/>
      <c r="D1319" s="127" t="n"/>
      <c r="E1319" s="132" t="n"/>
      <c r="F1319" s="130" t="n"/>
    </row>
    <row r="1320" ht="15" customHeight="1" s="75">
      <c r="A1320" s="124" t="n"/>
      <c r="B1320" s="124" t="n"/>
      <c r="C1320" s="127" t="n"/>
      <c r="D1320" s="127" t="n"/>
      <c r="E1320" s="132" t="n"/>
      <c r="F1320" s="130" t="n"/>
    </row>
    <row r="1321" ht="15" customHeight="1" s="75">
      <c r="A1321" s="124" t="n"/>
      <c r="B1321" s="124" t="n"/>
      <c r="C1321" s="127" t="n"/>
      <c r="D1321" s="127" t="n"/>
      <c r="E1321" s="132" t="n"/>
      <c r="F1321" s="130" t="n"/>
    </row>
    <row r="1322" ht="15" customHeight="1" s="75">
      <c r="A1322" s="124" t="n"/>
      <c r="B1322" s="124" t="n"/>
      <c r="C1322" s="127" t="n"/>
      <c r="D1322" s="127" t="n"/>
      <c r="E1322" s="132" t="n"/>
      <c r="F1322" s="130" t="n"/>
    </row>
    <row r="1323" ht="15" customHeight="1" s="75">
      <c r="A1323" s="124" t="n"/>
      <c r="B1323" s="124" t="n"/>
      <c r="C1323" s="127" t="n"/>
      <c r="D1323" s="127" t="n"/>
      <c r="E1323" s="132" t="n"/>
      <c r="F1323" s="130" t="n"/>
    </row>
    <row r="1324" ht="15" customHeight="1" s="75">
      <c r="A1324" s="124" t="n"/>
      <c r="B1324" s="124" t="n"/>
      <c r="C1324" s="127" t="n"/>
      <c r="D1324" s="127" t="n"/>
      <c r="E1324" s="132" t="n"/>
      <c r="F1324" s="130" t="n"/>
    </row>
    <row r="1325" ht="15" customHeight="1" s="75">
      <c r="A1325" s="124" t="n"/>
      <c r="B1325" s="124" t="n"/>
      <c r="C1325" s="127" t="n"/>
      <c r="D1325" s="127" t="n"/>
      <c r="E1325" s="132" t="n"/>
      <c r="F1325" s="130" t="n"/>
    </row>
    <row r="1326" ht="15" customHeight="1" s="75">
      <c r="A1326" s="124" t="n"/>
      <c r="B1326" s="124" t="n"/>
      <c r="C1326" s="127" t="n"/>
      <c r="D1326" s="127" t="n"/>
      <c r="E1326" s="132" t="n"/>
      <c r="F1326" s="130" t="n"/>
    </row>
    <row r="1327" ht="15" customHeight="1" s="75">
      <c r="A1327" s="124" t="n"/>
      <c r="B1327" s="124" t="n"/>
      <c r="C1327" s="127" t="n"/>
      <c r="D1327" s="127" t="n"/>
      <c r="E1327" s="132" t="n"/>
      <c r="F1327" s="130" t="n"/>
    </row>
    <row r="1328" ht="15" customHeight="1" s="75">
      <c r="A1328" s="124" t="n"/>
      <c r="B1328" s="124" t="n"/>
      <c r="C1328" s="127" t="n"/>
      <c r="D1328" s="127" t="n"/>
      <c r="E1328" s="132" t="n"/>
      <c r="F1328" s="130" t="n"/>
    </row>
    <row r="1329" ht="15" customHeight="1" s="75">
      <c r="A1329" s="124" t="n"/>
      <c r="B1329" s="124" t="n"/>
      <c r="C1329" s="127" t="n"/>
      <c r="D1329" s="127" t="n"/>
      <c r="E1329" s="132" t="n"/>
      <c r="F1329" s="130" t="n"/>
    </row>
    <row r="1330" ht="15" customHeight="1" s="75">
      <c r="A1330" s="124" t="n"/>
      <c r="B1330" s="124" t="n"/>
      <c r="C1330" s="127" t="n"/>
      <c r="D1330" s="127" t="n"/>
      <c r="E1330" s="132" t="n"/>
      <c r="F1330" s="130" t="n"/>
    </row>
    <row r="1331" ht="15" customHeight="1" s="75">
      <c r="A1331" s="124" t="n"/>
      <c r="B1331" s="124" t="n"/>
      <c r="C1331" s="127" t="n"/>
      <c r="D1331" s="127" t="n"/>
      <c r="E1331" s="132" t="n"/>
      <c r="F1331" s="130" t="n"/>
    </row>
    <row r="1332" ht="15" customHeight="1" s="75">
      <c r="A1332" s="124" t="n"/>
      <c r="B1332" s="124" t="n"/>
      <c r="C1332" s="127" t="n"/>
      <c r="D1332" s="127" t="n"/>
      <c r="E1332" s="132" t="n"/>
      <c r="F1332" s="130" t="n"/>
    </row>
    <row r="1333" ht="15" customHeight="1" s="75">
      <c r="A1333" s="124" t="n"/>
      <c r="B1333" s="124" t="n"/>
      <c r="C1333" s="127" t="n"/>
      <c r="D1333" s="127" t="n"/>
      <c r="E1333" s="132" t="n"/>
      <c r="F1333" s="130" t="n"/>
    </row>
    <row r="1334" ht="15" customHeight="1" s="75">
      <c r="A1334" s="124" t="n"/>
      <c r="B1334" s="124" t="n"/>
      <c r="C1334" s="127" t="n"/>
      <c r="D1334" s="127" t="n"/>
      <c r="E1334" s="132" t="n"/>
      <c r="F1334" s="130" t="n"/>
    </row>
    <row r="1335" ht="15" customHeight="1" s="75">
      <c r="A1335" s="124" t="n"/>
      <c r="B1335" s="124" t="n"/>
      <c r="C1335" s="127" t="n"/>
      <c r="D1335" s="127" t="n"/>
      <c r="E1335" s="132" t="n"/>
      <c r="F1335" s="130" t="n"/>
    </row>
    <row r="1336" ht="15" customHeight="1" s="75">
      <c r="A1336" s="124" t="n"/>
      <c r="B1336" s="124" t="n"/>
      <c r="C1336" s="127" t="n"/>
      <c r="D1336" s="127" t="n"/>
      <c r="E1336" s="132" t="n"/>
      <c r="F1336" s="130" t="n"/>
    </row>
    <row r="1337" ht="15" customHeight="1" s="75">
      <c r="A1337" s="124" t="n"/>
      <c r="B1337" s="124" t="n"/>
      <c r="C1337" s="127" t="n"/>
      <c r="D1337" s="127" t="n"/>
      <c r="E1337" s="132" t="n"/>
      <c r="F1337" s="130" t="n"/>
    </row>
    <row r="1338" ht="15" customHeight="1" s="75">
      <c r="A1338" s="124" t="n"/>
      <c r="B1338" s="124" t="n"/>
      <c r="C1338" s="127" t="n"/>
      <c r="D1338" s="127" t="n"/>
      <c r="E1338" s="132" t="n"/>
      <c r="F1338" s="130" t="n"/>
    </row>
    <row r="1339" ht="15" customHeight="1" s="75">
      <c r="A1339" s="124" t="n"/>
      <c r="B1339" s="124" t="n"/>
      <c r="C1339" s="127" t="n"/>
      <c r="D1339" s="127" t="n"/>
      <c r="E1339" s="132" t="n"/>
      <c r="F1339" s="130" t="n"/>
    </row>
    <row r="1340" ht="15" customHeight="1" s="75">
      <c r="A1340" s="124" t="n"/>
      <c r="B1340" s="124" t="n"/>
      <c r="C1340" s="127" t="n"/>
      <c r="D1340" s="127" t="n"/>
      <c r="E1340" s="132" t="n"/>
      <c r="F1340" s="130" t="n"/>
    </row>
    <row r="1341" ht="15" customHeight="1" s="75">
      <c r="A1341" s="124" t="n"/>
      <c r="B1341" s="124" t="n"/>
      <c r="C1341" s="127" t="n"/>
      <c r="D1341" s="127" t="n"/>
      <c r="E1341" s="132" t="n"/>
      <c r="F1341" s="130" t="n"/>
    </row>
    <row r="1342" ht="15" customHeight="1" s="75">
      <c r="A1342" s="124" t="n"/>
      <c r="B1342" s="124" t="n"/>
      <c r="C1342" s="127" t="n"/>
      <c r="D1342" s="127" t="n"/>
      <c r="E1342" s="132" t="n"/>
      <c r="F1342" s="130" t="n"/>
    </row>
    <row r="1343" ht="15" customHeight="1" s="75">
      <c r="A1343" s="124" t="n"/>
      <c r="B1343" s="124" t="n"/>
      <c r="C1343" s="127" t="n"/>
      <c r="D1343" s="127" t="n"/>
      <c r="E1343" s="132" t="n"/>
      <c r="F1343" s="130" t="n"/>
    </row>
    <row r="1344" ht="15" customHeight="1" s="75">
      <c r="A1344" s="124" t="n"/>
      <c r="B1344" s="124" t="n"/>
      <c r="C1344" s="127" t="n"/>
      <c r="D1344" s="127" t="n"/>
      <c r="E1344" s="132" t="n"/>
      <c r="F1344" s="130" t="n"/>
    </row>
    <row r="1345" ht="15" customHeight="1" s="75">
      <c r="A1345" s="124" t="n"/>
      <c r="B1345" s="124" t="n"/>
      <c r="C1345" s="127" t="n"/>
      <c r="D1345" s="127" t="n"/>
      <c r="E1345" s="132" t="n"/>
      <c r="F1345" s="130" t="n"/>
    </row>
    <row r="1346" ht="15" customHeight="1" s="75">
      <c r="A1346" s="124" t="n"/>
      <c r="B1346" s="124" t="n"/>
      <c r="C1346" s="127" t="n"/>
      <c r="D1346" s="127" t="n"/>
      <c r="E1346" s="132" t="n"/>
      <c r="F1346" s="130" t="n"/>
    </row>
    <row r="1347" ht="15" customHeight="1" s="75">
      <c r="A1347" s="124" t="n"/>
      <c r="B1347" s="124" t="n"/>
      <c r="C1347" s="127" t="n"/>
      <c r="D1347" s="127" t="n"/>
      <c r="E1347" s="132" t="n"/>
      <c r="F1347" s="130" t="n"/>
    </row>
    <row r="1348" ht="15" customHeight="1" s="75">
      <c r="A1348" s="124" t="n"/>
      <c r="B1348" s="124" t="n"/>
      <c r="C1348" s="127" t="n"/>
      <c r="D1348" s="127" t="n"/>
      <c r="E1348" s="132" t="n"/>
      <c r="F1348" s="130" t="n"/>
    </row>
    <row r="1349" ht="15" customHeight="1" s="75">
      <c r="A1349" s="124" t="n"/>
      <c r="B1349" s="124" t="n"/>
      <c r="C1349" s="127" t="n"/>
      <c r="D1349" s="127" t="n"/>
      <c r="E1349" s="132" t="n"/>
      <c r="F1349" s="130" t="n"/>
    </row>
    <row r="1350" ht="15" customHeight="1" s="75">
      <c r="A1350" s="124" t="n"/>
      <c r="B1350" s="124" t="n"/>
      <c r="C1350" s="127" t="n"/>
      <c r="D1350" s="127" t="n"/>
      <c r="E1350" s="132" t="n"/>
      <c r="F1350" s="130" t="n"/>
    </row>
    <row r="1351" ht="15" customHeight="1" s="75">
      <c r="A1351" s="124" t="n"/>
      <c r="B1351" s="124" t="n"/>
      <c r="C1351" s="127" t="n"/>
      <c r="D1351" s="127" t="n"/>
      <c r="E1351" s="132" t="n"/>
      <c r="F1351" s="130" t="n"/>
    </row>
    <row r="1352" ht="15" customHeight="1" s="75">
      <c r="A1352" s="124" t="n"/>
      <c r="B1352" s="124" t="n"/>
      <c r="C1352" s="127" t="n"/>
      <c r="D1352" s="127" t="n"/>
      <c r="E1352" s="132" t="n"/>
      <c r="F1352" s="130" t="n"/>
    </row>
    <row r="1353" ht="15" customHeight="1" s="75">
      <c r="A1353" s="124" t="n"/>
      <c r="B1353" s="124" t="n"/>
      <c r="C1353" s="127" t="n"/>
      <c r="D1353" s="127" t="n"/>
      <c r="E1353" s="132" t="n"/>
      <c r="F1353" s="130" t="n"/>
    </row>
    <row r="1354" ht="15" customHeight="1" s="75">
      <c r="A1354" s="124" t="n"/>
      <c r="B1354" s="124" t="n"/>
      <c r="C1354" s="127" t="n"/>
      <c r="D1354" s="127" t="n"/>
      <c r="E1354" s="132" t="n"/>
      <c r="F1354" s="130" t="n"/>
    </row>
    <row r="1355" ht="15" customHeight="1" s="75">
      <c r="A1355" s="124" t="n"/>
      <c r="B1355" s="124" t="n"/>
      <c r="C1355" s="127" t="n"/>
      <c r="D1355" s="127" t="n"/>
      <c r="E1355" s="132" t="n"/>
      <c r="F1355" s="130" t="n"/>
    </row>
    <row r="1356" ht="15" customHeight="1" s="75">
      <c r="A1356" s="124" t="n"/>
      <c r="B1356" s="124" t="n"/>
      <c r="C1356" s="127" t="n"/>
      <c r="D1356" s="127" t="n"/>
      <c r="E1356" s="132" t="n"/>
      <c r="F1356" s="130" t="n"/>
    </row>
    <row r="1357" ht="15" customHeight="1" s="75">
      <c r="A1357" s="124" t="n"/>
      <c r="B1357" s="124" t="n"/>
      <c r="C1357" s="127" t="n"/>
      <c r="D1357" s="127" t="n"/>
      <c r="E1357" s="132" t="n"/>
      <c r="F1357" s="130" t="n"/>
    </row>
    <row r="1358" ht="15" customHeight="1" s="75">
      <c r="A1358" s="124" t="n"/>
      <c r="B1358" s="124" t="n"/>
      <c r="C1358" s="127" t="n"/>
      <c r="D1358" s="127" t="n"/>
      <c r="E1358" s="132" t="n"/>
      <c r="F1358" s="130" t="n"/>
    </row>
    <row r="1359" ht="15" customHeight="1" s="75">
      <c r="A1359" s="124" t="n"/>
      <c r="B1359" s="124" t="n"/>
      <c r="C1359" s="127" t="n"/>
      <c r="D1359" s="127" t="n"/>
      <c r="E1359" s="132" t="n"/>
      <c r="F1359" s="130" t="n"/>
    </row>
    <row r="1360" ht="15" customHeight="1" s="75">
      <c r="A1360" s="124" t="n"/>
      <c r="B1360" s="124" t="n"/>
      <c r="C1360" s="127" t="n"/>
      <c r="D1360" s="127" t="n"/>
      <c r="E1360" s="132" t="n"/>
      <c r="F1360" s="130" t="n"/>
    </row>
    <row r="1361" ht="15" customHeight="1" s="75">
      <c r="A1361" s="124" t="n"/>
      <c r="B1361" s="124" t="n"/>
      <c r="C1361" s="127" t="n"/>
      <c r="D1361" s="127" t="n"/>
      <c r="E1361" s="132" t="n"/>
      <c r="F1361" s="130" t="n"/>
    </row>
    <row r="1362" ht="15" customHeight="1" s="75">
      <c r="A1362" s="124" t="n"/>
      <c r="B1362" s="124" t="n"/>
      <c r="C1362" s="127" t="n"/>
      <c r="D1362" s="127" t="n"/>
      <c r="E1362" s="132" t="n"/>
      <c r="F1362" s="130" t="n"/>
    </row>
    <row r="1363" ht="15" customHeight="1" s="75">
      <c r="A1363" s="124" t="n"/>
      <c r="B1363" s="124" t="n"/>
      <c r="C1363" s="127" t="n"/>
      <c r="D1363" s="127" t="n"/>
      <c r="E1363" s="132" t="n"/>
      <c r="F1363" s="130" t="n"/>
    </row>
    <row r="1364" ht="15" customHeight="1" s="75">
      <c r="A1364" s="124" t="n"/>
      <c r="B1364" s="124" t="n"/>
      <c r="C1364" s="127" t="n"/>
      <c r="D1364" s="127" t="n"/>
      <c r="E1364" s="132" t="n"/>
      <c r="F1364" s="130" t="n"/>
    </row>
    <row r="1365" ht="15" customHeight="1" s="75">
      <c r="A1365" s="124" t="n"/>
      <c r="B1365" s="124" t="n"/>
      <c r="C1365" s="127" t="n"/>
      <c r="D1365" s="127" t="n"/>
      <c r="E1365" s="132" t="n"/>
      <c r="F1365" s="130" t="n"/>
    </row>
    <row r="1366" ht="15" customHeight="1" s="75">
      <c r="A1366" s="124" t="n"/>
      <c r="B1366" s="124" t="n"/>
      <c r="C1366" s="127" t="n"/>
      <c r="D1366" s="127" t="n"/>
      <c r="E1366" s="132" t="n"/>
      <c r="F1366" s="130" t="n"/>
    </row>
    <row r="1367" ht="15" customHeight="1" s="75">
      <c r="A1367" s="124" t="n"/>
      <c r="B1367" s="124" t="n"/>
      <c r="C1367" s="127" t="n"/>
      <c r="D1367" s="127" t="n"/>
      <c r="E1367" s="132" t="n"/>
      <c r="F1367" s="130" t="n"/>
    </row>
    <row r="1368" ht="15" customHeight="1" s="75">
      <c r="A1368" s="124" t="n"/>
      <c r="B1368" s="124" t="n"/>
      <c r="C1368" s="127" t="n"/>
      <c r="D1368" s="127" t="n"/>
      <c r="E1368" s="132" t="n"/>
      <c r="F1368" s="130" t="n"/>
    </row>
    <row r="1369" ht="15" customHeight="1" s="75">
      <c r="A1369" s="124" t="n"/>
      <c r="B1369" s="124" t="n"/>
      <c r="C1369" s="127" t="n"/>
      <c r="D1369" s="127" t="n"/>
      <c r="E1369" s="132" t="n"/>
      <c r="F1369" s="130" t="n"/>
    </row>
    <row r="1370" ht="15" customHeight="1" s="75">
      <c r="A1370" s="124" t="n"/>
      <c r="B1370" s="124" t="n"/>
      <c r="C1370" s="127" t="n"/>
      <c r="D1370" s="127" t="n"/>
      <c r="E1370" s="132" t="n"/>
      <c r="F1370" s="130" t="n"/>
    </row>
    <row r="1371" ht="15" customHeight="1" s="75">
      <c r="A1371" s="124" t="n"/>
      <c r="B1371" s="124" t="n"/>
      <c r="C1371" s="127" t="n"/>
      <c r="D1371" s="127" t="n"/>
      <c r="E1371" s="132" t="n"/>
      <c r="F1371" s="130" t="n"/>
    </row>
    <row r="1372" ht="15" customHeight="1" s="75">
      <c r="A1372" s="124" t="n"/>
      <c r="B1372" s="124" t="n"/>
      <c r="C1372" s="127" t="n"/>
      <c r="D1372" s="127" t="n"/>
      <c r="E1372" s="132" t="n"/>
      <c r="F1372" s="130" t="n"/>
    </row>
    <row r="1373" ht="15" customHeight="1" s="75">
      <c r="A1373" s="124" t="n"/>
      <c r="B1373" s="124" t="n"/>
      <c r="C1373" s="127" t="n"/>
      <c r="D1373" s="127" t="n"/>
      <c r="E1373" s="132" t="n"/>
      <c r="F1373" s="130" t="n"/>
    </row>
    <row r="1374" ht="15" customHeight="1" s="75">
      <c r="A1374" s="124" t="n"/>
      <c r="B1374" s="124" t="n"/>
      <c r="C1374" s="127" t="n"/>
      <c r="D1374" s="127" t="n"/>
      <c r="E1374" s="132" t="n"/>
      <c r="F1374" s="130" t="n"/>
    </row>
    <row r="1375" ht="15" customHeight="1" s="75">
      <c r="A1375" s="124" t="n"/>
      <c r="B1375" s="124" t="n"/>
      <c r="C1375" s="127" t="n"/>
      <c r="D1375" s="127" t="n"/>
      <c r="E1375" s="132" t="n"/>
      <c r="F1375" s="130" t="n"/>
    </row>
    <row r="1376" ht="15" customHeight="1" s="75">
      <c r="A1376" s="124" t="n"/>
      <c r="B1376" s="124" t="n"/>
      <c r="C1376" s="127" t="n"/>
      <c r="D1376" s="127" t="n"/>
      <c r="E1376" s="132" t="n"/>
      <c r="F1376" s="130" t="n"/>
    </row>
    <row r="1377" ht="15" customHeight="1" s="75">
      <c r="A1377" s="124" t="n"/>
      <c r="B1377" s="124" t="n"/>
      <c r="C1377" s="127" t="n"/>
      <c r="D1377" s="127" t="n"/>
      <c r="E1377" s="132" t="n"/>
      <c r="F1377" s="130" t="n"/>
    </row>
    <row r="1378" ht="15" customHeight="1" s="75">
      <c r="A1378" s="124" t="n"/>
      <c r="B1378" s="124" t="n"/>
      <c r="C1378" s="127" t="n"/>
      <c r="D1378" s="127" t="n"/>
      <c r="E1378" s="132" t="n"/>
      <c r="F1378" s="130" t="n"/>
    </row>
    <row r="1379" ht="15" customHeight="1" s="75">
      <c r="A1379" s="124" t="n"/>
      <c r="B1379" s="124" t="n"/>
      <c r="C1379" s="127" t="n"/>
      <c r="D1379" s="127" t="n"/>
      <c r="E1379" s="132" t="n"/>
      <c r="F1379" s="130" t="n"/>
    </row>
    <row r="1380" ht="15" customHeight="1" s="75">
      <c r="A1380" s="124" t="n"/>
      <c r="B1380" s="124" t="n"/>
      <c r="C1380" s="127" t="n"/>
      <c r="D1380" s="127" t="n"/>
      <c r="E1380" s="132" t="n"/>
      <c r="F1380" s="130" t="n"/>
    </row>
    <row r="1381" ht="15" customHeight="1" s="75">
      <c r="A1381" s="124" t="n"/>
      <c r="B1381" s="124" t="n"/>
      <c r="C1381" s="127" t="n"/>
      <c r="D1381" s="127" t="n"/>
      <c r="E1381" s="132" t="n"/>
      <c r="F1381" s="130" t="n"/>
    </row>
    <row r="1382" ht="15" customHeight="1" s="75">
      <c r="A1382" s="124" t="n"/>
      <c r="B1382" s="124" t="n"/>
      <c r="C1382" s="127" t="n"/>
      <c r="D1382" s="127" t="n"/>
      <c r="E1382" s="132" t="n"/>
      <c r="F1382" s="130" t="n"/>
    </row>
    <row r="1383" ht="15" customHeight="1" s="75">
      <c r="A1383" s="124" t="n"/>
      <c r="B1383" s="124" t="n"/>
      <c r="C1383" s="127" t="n"/>
      <c r="D1383" s="127" t="n"/>
      <c r="E1383" s="132" t="n"/>
      <c r="F1383" s="130" t="n"/>
    </row>
    <row r="1384" ht="15" customHeight="1" s="75">
      <c r="A1384" s="124" t="n"/>
      <c r="B1384" s="124" t="n"/>
      <c r="C1384" s="127" t="n"/>
      <c r="D1384" s="127" t="n"/>
      <c r="E1384" s="132" t="n"/>
      <c r="F1384" s="130" t="n"/>
    </row>
    <row r="1385" ht="15" customHeight="1" s="75">
      <c r="A1385" s="124" t="n"/>
      <c r="B1385" s="124" t="n"/>
      <c r="C1385" s="127" t="n"/>
      <c r="D1385" s="127" t="n"/>
      <c r="E1385" s="132" t="n"/>
      <c r="F1385" s="130" t="n"/>
    </row>
    <row r="1386" ht="15" customHeight="1" s="75">
      <c r="A1386" s="124" t="n"/>
      <c r="B1386" s="124" t="n"/>
      <c r="C1386" s="127" t="n"/>
      <c r="D1386" s="127" t="n"/>
      <c r="E1386" s="132" t="n"/>
      <c r="F1386" s="130" t="n"/>
    </row>
    <row r="1387" ht="15" customHeight="1" s="75">
      <c r="A1387" s="124" t="n"/>
      <c r="B1387" s="124" t="n"/>
      <c r="C1387" s="127" t="n"/>
      <c r="D1387" s="127" t="n"/>
      <c r="E1387" s="132" t="n"/>
      <c r="F1387" s="130" t="n"/>
    </row>
    <row r="1388" ht="15" customHeight="1" s="75">
      <c r="A1388" s="124" t="n"/>
      <c r="B1388" s="124" t="n"/>
      <c r="C1388" s="127" t="n"/>
      <c r="D1388" s="127" t="n"/>
      <c r="E1388" s="132" t="n"/>
      <c r="F1388" s="130" t="n"/>
    </row>
    <row r="1389" ht="15" customHeight="1" s="75">
      <c r="A1389" s="124" t="n"/>
      <c r="B1389" s="124" t="n"/>
      <c r="C1389" s="127" t="n"/>
      <c r="D1389" s="127" t="n"/>
      <c r="E1389" s="132" t="n"/>
      <c r="F1389" s="130" t="n"/>
    </row>
    <row r="1390" ht="15" customHeight="1" s="75">
      <c r="A1390" s="124" t="n"/>
      <c r="B1390" s="124" t="n"/>
      <c r="C1390" s="127" t="n"/>
      <c r="D1390" s="127" t="n"/>
      <c r="E1390" s="132" t="n"/>
      <c r="F1390" s="130" t="n"/>
    </row>
    <row r="1391" ht="15" customHeight="1" s="75">
      <c r="A1391" s="124" t="n"/>
      <c r="B1391" s="124" t="n"/>
      <c r="C1391" s="127" t="n"/>
      <c r="D1391" s="127" t="n"/>
      <c r="E1391" s="132" t="n"/>
      <c r="F1391" s="130" t="n"/>
    </row>
    <row r="1392" ht="15" customHeight="1" s="75">
      <c r="A1392" s="124" t="n"/>
      <c r="B1392" s="124" t="n"/>
      <c r="C1392" s="127" t="n"/>
      <c r="D1392" s="127" t="n"/>
      <c r="E1392" s="132" t="n"/>
      <c r="F1392" s="130" t="n"/>
    </row>
    <row r="1393" ht="15" customHeight="1" s="75">
      <c r="A1393" s="124" t="n"/>
      <c r="B1393" s="124" t="n"/>
      <c r="C1393" s="127" t="n"/>
      <c r="D1393" s="127" t="n"/>
      <c r="E1393" s="132" t="n"/>
      <c r="F1393" s="130" t="n"/>
    </row>
    <row r="1394" ht="15" customHeight="1" s="75">
      <c r="A1394" s="124" t="n"/>
      <c r="B1394" s="124" t="n"/>
      <c r="C1394" s="127" t="n"/>
      <c r="D1394" s="127" t="n"/>
      <c r="E1394" s="132" t="n"/>
      <c r="F1394" s="130" t="n"/>
    </row>
    <row r="1395" ht="15" customHeight="1" s="75">
      <c r="A1395" s="124" t="n"/>
      <c r="B1395" s="124" t="n"/>
      <c r="C1395" s="127" t="n"/>
      <c r="D1395" s="127" t="n"/>
      <c r="E1395" s="132" t="n"/>
      <c r="F1395" s="130" t="n"/>
    </row>
    <row r="1396" ht="15" customHeight="1" s="75">
      <c r="A1396" s="124" t="n"/>
      <c r="B1396" s="124" t="n"/>
      <c r="C1396" s="127" t="n"/>
      <c r="D1396" s="127" t="n"/>
      <c r="E1396" s="132" t="n"/>
      <c r="F1396" s="130" t="n"/>
    </row>
    <row r="1397" ht="15" customHeight="1" s="75">
      <c r="A1397" s="124" t="n"/>
      <c r="B1397" s="124" t="n"/>
      <c r="C1397" s="127" t="n"/>
      <c r="D1397" s="127" t="n"/>
      <c r="E1397" s="132" t="n"/>
      <c r="F1397" s="130" t="n"/>
    </row>
    <row r="1398" ht="15" customHeight="1" s="75">
      <c r="A1398" s="124" t="n"/>
      <c r="B1398" s="124" t="n"/>
      <c r="C1398" s="127" t="n"/>
      <c r="D1398" s="127" t="n"/>
      <c r="E1398" s="132" t="n"/>
      <c r="F1398" s="130" t="n"/>
    </row>
    <row r="1399" ht="15" customHeight="1" s="75">
      <c r="A1399" s="124" t="n"/>
      <c r="B1399" s="124" t="n"/>
      <c r="C1399" s="127" t="n"/>
      <c r="D1399" s="127" t="n"/>
      <c r="E1399" s="132" t="n"/>
      <c r="F1399" s="130" t="n"/>
    </row>
    <row r="1400" ht="15" customHeight="1" s="75">
      <c r="A1400" s="124" t="n"/>
      <c r="B1400" s="124" t="n"/>
      <c r="C1400" s="127" t="n"/>
      <c r="D1400" s="127" t="n"/>
      <c r="E1400" s="132" t="n"/>
      <c r="F1400" s="130" t="n"/>
    </row>
    <row r="1401" ht="15" customHeight="1" s="75">
      <c r="A1401" s="124" t="n"/>
      <c r="B1401" s="124" t="n"/>
      <c r="C1401" s="127" t="n"/>
      <c r="D1401" s="127" t="n"/>
      <c r="E1401" s="132" t="n"/>
      <c r="F1401" s="130" t="n"/>
    </row>
    <row r="1402" ht="15" customHeight="1" s="75">
      <c r="A1402" s="124" t="n"/>
      <c r="B1402" s="124" t="n"/>
      <c r="C1402" s="127" t="n"/>
      <c r="D1402" s="127" t="n"/>
      <c r="E1402" s="132" t="n"/>
      <c r="F1402" s="130" t="n"/>
    </row>
    <row r="1403" ht="15" customHeight="1" s="75">
      <c r="A1403" s="124" t="n"/>
      <c r="B1403" s="124" t="n"/>
      <c r="C1403" s="127" t="n"/>
      <c r="D1403" s="127" t="n"/>
      <c r="E1403" s="132" t="n"/>
      <c r="F1403" s="130" t="n"/>
    </row>
    <row r="1404" ht="15" customHeight="1" s="75">
      <c r="A1404" s="124" t="n"/>
      <c r="B1404" s="124" t="n"/>
      <c r="C1404" s="127" t="n"/>
      <c r="D1404" s="127" t="n"/>
      <c r="E1404" s="132" t="n"/>
      <c r="F1404" s="130" t="n"/>
    </row>
    <row r="1405" ht="15" customHeight="1" s="75">
      <c r="A1405" s="124" t="n"/>
      <c r="B1405" s="124" t="n"/>
      <c r="C1405" s="127" t="n"/>
      <c r="D1405" s="127" t="n"/>
      <c r="E1405" s="132" t="n"/>
      <c r="F1405" s="130" t="n"/>
    </row>
    <row r="1406" ht="15" customHeight="1" s="75">
      <c r="A1406" s="124" t="n"/>
      <c r="B1406" s="124" t="n"/>
      <c r="C1406" s="127" t="n"/>
      <c r="D1406" s="127" t="n"/>
      <c r="E1406" s="132" t="n"/>
      <c r="F1406" s="130" t="n"/>
    </row>
    <row r="1407" ht="15" customHeight="1" s="75">
      <c r="A1407" s="124" t="n"/>
      <c r="B1407" s="124" t="n"/>
      <c r="C1407" s="127" t="n"/>
      <c r="D1407" s="127" t="n"/>
      <c r="E1407" s="132" t="n"/>
      <c r="F1407" s="130" t="n"/>
    </row>
    <row r="1408" ht="15" customHeight="1" s="75">
      <c r="A1408" s="124" t="n"/>
      <c r="B1408" s="124" t="n"/>
      <c r="C1408" s="127" t="n"/>
      <c r="D1408" s="127" t="n"/>
      <c r="E1408" s="132" t="n"/>
      <c r="F1408" s="130" t="n"/>
    </row>
    <row r="1409" ht="15" customHeight="1" s="75">
      <c r="A1409" s="124" t="n"/>
      <c r="B1409" s="124" t="n"/>
      <c r="C1409" s="127" t="n"/>
      <c r="D1409" s="127" t="n"/>
      <c r="E1409" s="132" t="n"/>
      <c r="F1409" s="130" t="n"/>
    </row>
    <row r="1410" ht="15" customHeight="1" s="75">
      <c r="A1410" s="124" t="n"/>
      <c r="B1410" s="124" t="n"/>
      <c r="C1410" s="127" t="n"/>
      <c r="D1410" s="127" t="n"/>
      <c r="E1410" s="132" t="n"/>
      <c r="F1410" s="130" t="n"/>
    </row>
    <row r="1411" ht="15" customHeight="1" s="75">
      <c r="A1411" s="124" t="n"/>
      <c r="B1411" s="124" t="n"/>
      <c r="C1411" s="127" t="n"/>
      <c r="D1411" s="127" t="n"/>
      <c r="E1411" s="132" t="n"/>
      <c r="F1411" s="130" t="n"/>
    </row>
    <row r="1412" ht="15" customHeight="1" s="75">
      <c r="A1412" s="124" t="n"/>
      <c r="B1412" s="124" t="n"/>
      <c r="C1412" s="127" t="n"/>
      <c r="D1412" s="127" t="n"/>
      <c r="E1412" s="132" t="n"/>
      <c r="F1412" s="130" t="n"/>
    </row>
    <row r="1413" ht="15" customHeight="1" s="75">
      <c r="A1413" s="124" t="n"/>
      <c r="B1413" s="124" t="n"/>
      <c r="C1413" s="127" t="n"/>
      <c r="D1413" s="127" t="n"/>
      <c r="E1413" s="132" t="n"/>
      <c r="F1413" s="130" t="n"/>
    </row>
    <row r="1414" ht="15" customHeight="1" s="75">
      <c r="A1414" s="124" t="n"/>
      <c r="B1414" s="124" t="n"/>
      <c r="C1414" s="127" t="n"/>
      <c r="D1414" s="127" t="n"/>
      <c r="E1414" s="132" t="n"/>
      <c r="F1414" s="130" t="n"/>
    </row>
    <row r="1415" ht="15" customHeight="1" s="75">
      <c r="A1415" s="124" t="n"/>
      <c r="B1415" s="124" t="n"/>
      <c r="C1415" s="127" t="n"/>
      <c r="D1415" s="127" t="n"/>
      <c r="E1415" s="132" t="n"/>
      <c r="F1415" s="130" t="n"/>
    </row>
    <row r="1416" ht="15" customHeight="1" s="75">
      <c r="A1416" s="124" t="n"/>
      <c r="B1416" s="124" t="n"/>
      <c r="C1416" s="127" t="n"/>
      <c r="D1416" s="127" t="n"/>
      <c r="E1416" s="132" t="n"/>
      <c r="F1416" s="130" t="n"/>
    </row>
    <row r="1417" ht="15" customHeight="1" s="75">
      <c r="A1417" s="124" t="n"/>
      <c r="B1417" s="124" t="n"/>
      <c r="C1417" s="127" t="n"/>
      <c r="D1417" s="127" t="n"/>
      <c r="E1417" s="132" t="n"/>
      <c r="F1417" s="130" t="n"/>
    </row>
    <row r="1418" ht="15" customHeight="1" s="75">
      <c r="A1418" s="124" t="n"/>
      <c r="B1418" s="124" t="n"/>
      <c r="C1418" s="127" t="n"/>
      <c r="D1418" s="127" t="n"/>
      <c r="E1418" s="132" t="n"/>
      <c r="F1418" s="130" t="n"/>
    </row>
    <row r="1419" ht="15" customHeight="1" s="75">
      <c r="A1419" s="124" t="n"/>
      <c r="B1419" s="124" t="n"/>
      <c r="C1419" s="127" t="n"/>
      <c r="D1419" s="127" t="n"/>
      <c r="E1419" s="132" t="n"/>
      <c r="F1419" s="130" t="n"/>
    </row>
    <row r="1420" ht="15" customHeight="1" s="75">
      <c r="A1420" s="124" t="n"/>
      <c r="B1420" s="124" t="n"/>
      <c r="C1420" s="127" t="n"/>
      <c r="D1420" s="127" t="n"/>
      <c r="E1420" s="132" t="n"/>
      <c r="F1420" s="130" t="n"/>
    </row>
    <row r="1421" ht="15" customHeight="1" s="75">
      <c r="A1421" s="124" t="n"/>
      <c r="B1421" s="124" t="n"/>
      <c r="C1421" s="127" t="n"/>
      <c r="D1421" s="127" t="n"/>
      <c r="E1421" s="132" t="n"/>
      <c r="F1421" s="130" t="n"/>
    </row>
    <row r="1422" ht="15" customHeight="1" s="75">
      <c r="A1422" s="124" t="n"/>
      <c r="B1422" s="124" t="n"/>
      <c r="C1422" s="127" t="n"/>
      <c r="D1422" s="127" t="n"/>
      <c r="E1422" s="132" t="n"/>
      <c r="F1422" s="130" t="n"/>
    </row>
    <row r="1423" ht="15" customHeight="1" s="75">
      <c r="A1423" s="124" t="n"/>
      <c r="B1423" s="124" t="n"/>
      <c r="C1423" s="127" t="n"/>
      <c r="D1423" s="127" t="n"/>
      <c r="E1423" s="132" t="n"/>
      <c r="F1423" s="130" t="n"/>
    </row>
    <row r="1424" ht="15" customHeight="1" s="75">
      <c r="A1424" s="124" t="n"/>
      <c r="B1424" s="124" t="n"/>
      <c r="C1424" s="127" t="n"/>
      <c r="D1424" s="127" t="n"/>
      <c r="E1424" s="132" t="n"/>
      <c r="F1424" s="130" t="n"/>
    </row>
    <row r="1425" ht="15" customHeight="1" s="75">
      <c r="A1425" s="124" t="n"/>
      <c r="B1425" s="124" t="n"/>
      <c r="C1425" s="127" t="n"/>
      <c r="D1425" s="127" t="n"/>
      <c r="E1425" s="132" t="n"/>
      <c r="F1425" s="130" t="n"/>
    </row>
    <row r="1426" ht="15" customHeight="1" s="75">
      <c r="A1426" s="124" t="n"/>
      <c r="B1426" s="124" t="n"/>
      <c r="C1426" s="127" t="n"/>
      <c r="D1426" s="127" t="n"/>
      <c r="E1426" s="132" t="n"/>
      <c r="F1426" s="130" t="n"/>
    </row>
    <row r="1427" ht="15" customHeight="1" s="75">
      <c r="A1427" s="124" t="n"/>
      <c r="B1427" s="124" t="n"/>
      <c r="C1427" s="127" t="n"/>
      <c r="D1427" s="127" t="n"/>
      <c r="E1427" s="132" t="n"/>
      <c r="F1427" s="130" t="n"/>
    </row>
    <row r="1428" ht="15" customHeight="1" s="75">
      <c r="A1428" s="124" t="n"/>
      <c r="B1428" s="124" t="n"/>
      <c r="C1428" s="127" t="n"/>
      <c r="D1428" s="127" t="n"/>
      <c r="E1428" s="132" t="n"/>
      <c r="F1428" s="130" t="n"/>
    </row>
    <row r="1429" ht="15" customHeight="1" s="75">
      <c r="A1429" s="124" t="n"/>
      <c r="B1429" s="124" t="n"/>
      <c r="C1429" s="127" t="n"/>
      <c r="D1429" s="127" t="n"/>
      <c r="E1429" s="132" t="n"/>
      <c r="F1429" s="130" t="n"/>
    </row>
    <row r="1430" ht="15" customHeight="1" s="75">
      <c r="A1430" s="124" t="n"/>
      <c r="B1430" s="124" t="n"/>
      <c r="C1430" s="127" t="n"/>
      <c r="D1430" s="127" t="n"/>
      <c r="E1430" s="132" t="n"/>
      <c r="F1430" s="130" t="n"/>
    </row>
    <row r="1431" ht="15" customHeight="1" s="75">
      <c r="A1431" s="124" t="n"/>
      <c r="B1431" s="124" t="n"/>
      <c r="C1431" s="127" t="n"/>
      <c r="D1431" s="127" t="n"/>
      <c r="E1431" s="132" t="n"/>
      <c r="F1431" s="130" t="n"/>
    </row>
    <row r="1432" ht="15" customHeight="1" s="75">
      <c r="A1432" s="124" t="n"/>
      <c r="B1432" s="124" t="n"/>
      <c r="C1432" s="127" t="n"/>
      <c r="D1432" s="127" t="n"/>
      <c r="E1432" s="132" t="n"/>
      <c r="F1432" s="130" t="n"/>
    </row>
    <row r="1433" ht="15" customHeight="1" s="75">
      <c r="A1433" s="124" t="n"/>
      <c r="B1433" s="124" t="n"/>
      <c r="C1433" s="127" t="n"/>
      <c r="D1433" s="127" t="n"/>
      <c r="E1433" s="132" t="n"/>
      <c r="F1433" s="130" t="n"/>
    </row>
    <row r="1434" ht="15" customHeight="1" s="75">
      <c r="A1434" s="124" t="n"/>
      <c r="B1434" s="124" t="n"/>
      <c r="C1434" s="127" t="n"/>
      <c r="D1434" s="127" t="n"/>
      <c r="E1434" s="132" t="n"/>
      <c r="F1434" s="130" t="n"/>
    </row>
    <row r="1435" ht="15" customHeight="1" s="75">
      <c r="A1435" s="124" t="n"/>
      <c r="B1435" s="124" t="n"/>
      <c r="C1435" s="127" t="n"/>
      <c r="D1435" s="127" t="n"/>
      <c r="E1435" s="132" t="n"/>
      <c r="F1435" s="130" t="n"/>
    </row>
    <row r="1436" ht="15" customHeight="1" s="75">
      <c r="A1436" s="124" t="n"/>
      <c r="B1436" s="124" t="n"/>
      <c r="C1436" s="127" t="n"/>
      <c r="D1436" s="127" t="n"/>
      <c r="E1436" s="132" t="n"/>
      <c r="F1436" s="130" t="n"/>
    </row>
    <row r="1437" ht="15" customHeight="1" s="75">
      <c r="A1437" s="124" t="n"/>
      <c r="B1437" s="124" t="n"/>
      <c r="C1437" s="127" t="n"/>
      <c r="D1437" s="127" t="n"/>
      <c r="E1437" s="132" t="n"/>
      <c r="F1437" s="130" t="n"/>
    </row>
    <row r="1438" ht="15" customHeight="1" s="75">
      <c r="A1438" s="124" t="n"/>
      <c r="B1438" s="124" t="n"/>
      <c r="C1438" s="127" t="n"/>
      <c r="D1438" s="127" t="n"/>
      <c r="E1438" s="132" t="n"/>
      <c r="F1438" s="130" t="n"/>
    </row>
    <row r="1439" ht="15" customHeight="1" s="75">
      <c r="A1439" s="124" t="n"/>
      <c r="B1439" s="124" t="n"/>
      <c r="C1439" s="127" t="n"/>
      <c r="D1439" s="127" t="n"/>
      <c r="E1439" s="132" t="n"/>
      <c r="F1439" s="130" t="n"/>
    </row>
    <row r="1440" ht="15" customHeight="1" s="75">
      <c r="A1440" s="124" t="n"/>
      <c r="B1440" s="124" t="n"/>
      <c r="C1440" s="127" t="n"/>
      <c r="D1440" s="127" t="n"/>
      <c r="E1440" s="132" t="n"/>
      <c r="F1440" s="130" t="n"/>
    </row>
    <row r="1441" ht="15" customHeight="1" s="75">
      <c r="A1441" s="124" t="n"/>
      <c r="B1441" s="124" t="n"/>
      <c r="C1441" s="127" t="n"/>
      <c r="D1441" s="127" t="n"/>
      <c r="E1441" s="132" t="n"/>
      <c r="F1441" s="130" t="n"/>
    </row>
    <row r="1442" ht="15" customHeight="1" s="75">
      <c r="A1442" s="124" t="n"/>
      <c r="B1442" s="124" t="n"/>
      <c r="C1442" s="127" t="n"/>
      <c r="D1442" s="127" t="n"/>
      <c r="E1442" s="132" t="n"/>
      <c r="F1442" s="130" t="n"/>
    </row>
    <row r="1443" ht="15" customHeight="1" s="75">
      <c r="A1443" s="124" t="n"/>
      <c r="B1443" s="124" t="n"/>
      <c r="C1443" s="127" t="n"/>
      <c r="D1443" s="127" t="n"/>
      <c r="E1443" s="132" t="n"/>
      <c r="F1443" s="130" t="n"/>
    </row>
    <row r="1444" ht="15" customHeight="1" s="75">
      <c r="A1444" s="124" t="n"/>
      <c r="B1444" s="124" t="n"/>
      <c r="C1444" s="127" t="n"/>
      <c r="D1444" s="127" t="n"/>
      <c r="E1444" s="132" t="n"/>
      <c r="F1444" s="130" t="n"/>
    </row>
    <row r="1445" ht="15" customHeight="1" s="75">
      <c r="A1445" s="124" t="n"/>
      <c r="B1445" s="124" t="n"/>
      <c r="C1445" s="127" t="n"/>
      <c r="D1445" s="127" t="n"/>
      <c r="E1445" s="132" t="n"/>
      <c r="F1445" s="130" t="n"/>
    </row>
    <row r="1446" ht="15" customHeight="1" s="75">
      <c r="A1446" s="124" t="n"/>
      <c r="B1446" s="124" t="n"/>
      <c r="C1446" s="127" t="n"/>
      <c r="D1446" s="127" t="n"/>
      <c r="E1446" s="132" t="n"/>
      <c r="F1446" s="130" t="n"/>
    </row>
    <row r="1447" ht="15" customHeight="1" s="75">
      <c r="A1447" s="124" t="n"/>
      <c r="B1447" s="124" t="n"/>
      <c r="C1447" s="127" t="n"/>
      <c r="D1447" s="127" t="n"/>
      <c r="E1447" s="132" t="n"/>
      <c r="F1447" s="130" t="n"/>
    </row>
    <row r="1448" ht="15" customHeight="1" s="75">
      <c r="A1448" s="124" t="n"/>
      <c r="B1448" s="124" t="n"/>
      <c r="C1448" s="127" t="n"/>
      <c r="D1448" s="127" t="n"/>
      <c r="E1448" s="132" t="n"/>
      <c r="F1448" s="130" t="n"/>
    </row>
    <row r="1449" ht="15" customHeight="1" s="75">
      <c r="A1449" s="124" t="n"/>
      <c r="B1449" s="124" t="n"/>
      <c r="C1449" s="127" t="n"/>
      <c r="D1449" s="127" t="n"/>
      <c r="E1449" s="132" t="n"/>
      <c r="F1449" s="130" t="n"/>
    </row>
    <row r="1450" ht="15" customHeight="1" s="75">
      <c r="A1450" s="124" t="n"/>
      <c r="B1450" s="124" t="n"/>
      <c r="C1450" s="127" t="n"/>
      <c r="D1450" s="127" t="n"/>
      <c r="E1450" s="132" t="n"/>
      <c r="F1450" s="130" t="n"/>
    </row>
    <row r="1451" ht="15" customHeight="1" s="75">
      <c r="A1451" s="124" t="n"/>
      <c r="B1451" s="124" t="n"/>
      <c r="C1451" s="127" t="n"/>
      <c r="D1451" s="127" t="n"/>
      <c r="E1451" s="132" t="n"/>
      <c r="F1451" s="130" t="n"/>
    </row>
    <row r="1452" ht="15" customHeight="1" s="75">
      <c r="A1452" s="124" t="n"/>
      <c r="B1452" s="124" t="n"/>
      <c r="C1452" s="127" t="n"/>
      <c r="D1452" s="127" t="n"/>
      <c r="E1452" s="132" t="n"/>
      <c r="F1452" s="130" t="n"/>
    </row>
    <row r="1453" ht="15" customHeight="1" s="75">
      <c r="A1453" s="124" t="n"/>
      <c r="B1453" s="124" t="n"/>
      <c r="C1453" s="127" t="n"/>
      <c r="D1453" s="127" t="n"/>
      <c r="E1453" s="132" t="n"/>
      <c r="F1453" s="130" t="n"/>
    </row>
    <row r="1454" ht="15" customHeight="1" s="75">
      <c r="A1454" s="124" t="n"/>
      <c r="B1454" s="124" t="n"/>
      <c r="C1454" s="127" t="n"/>
      <c r="D1454" s="127" t="n"/>
      <c r="E1454" s="132" t="n"/>
      <c r="F1454" s="130" t="n"/>
    </row>
    <row r="1455" ht="15" customHeight="1" s="75">
      <c r="A1455" s="124" t="n"/>
      <c r="B1455" s="124" t="n"/>
      <c r="C1455" s="127" t="n"/>
      <c r="D1455" s="127" t="n"/>
      <c r="E1455" s="132" t="n"/>
      <c r="F1455" s="130" t="n"/>
    </row>
    <row r="1456" ht="15" customHeight="1" s="75">
      <c r="A1456" s="124" t="n"/>
      <c r="B1456" s="124" t="n"/>
      <c r="C1456" s="127" t="n"/>
      <c r="D1456" s="127" t="n"/>
      <c r="E1456" s="132" t="n"/>
      <c r="F1456" s="130" t="n"/>
    </row>
    <row r="1457" ht="15" customHeight="1" s="75">
      <c r="A1457" s="124" t="n"/>
      <c r="B1457" s="124" t="n"/>
      <c r="C1457" s="127" t="n"/>
      <c r="D1457" s="127" t="n"/>
      <c r="E1457" s="132" t="n"/>
      <c r="F1457" s="130" t="n"/>
    </row>
    <row r="1458" ht="15" customHeight="1" s="75">
      <c r="A1458" s="124" t="n"/>
      <c r="B1458" s="124" t="n"/>
      <c r="C1458" s="127" t="n"/>
      <c r="D1458" s="127" t="n"/>
      <c r="E1458" s="132" t="n"/>
      <c r="F1458" s="130" t="n"/>
    </row>
    <row r="1459" ht="15" customHeight="1" s="75">
      <c r="A1459" s="124" t="n"/>
      <c r="B1459" s="124" t="n"/>
      <c r="C1459" s="127" t="n"/>
      <c r="D1459" s="127" t="n"/>
      <c r="E1459" s="132" t="n"/>
      <c r="F1459" s="130" t="n"/>
    </row>
    <row r="1460" ht="15" customHeight="1" s="75">
      <c r="A1460" s="124" t="n"/>
      <c r="B1460" s="124" t="n"/>
      <c r="C1460" s="127" t="n"/>
      <c r="D1460" s="127" t="n"/>
      <c r="E1460" s="132" t="n"/>
      <c r="F1460" s="130" t="n"/>
    </row>
    <row r="1461" ht="15" customHeight="1" s="75">
      <c r="A1461" s="124" t="n"/>
      <c r="B1461" s="124" t="n"/>
      <c r="C1461" s="127" t="n"/>
      <c r="D1461" s="127" t="n"/>
      <c r="E1461" s="132" t="n"/>
      <c r="F1461" s="130" t="n"/>
    </row>
    <row r="1462" ht="15" customHeight="1" s="75">
      <c r="A1462" s="124" t="n"/>
      <c r="B1462" s="124" t="n"/>
      <c r="C1462" s="127" t="n"/>
      <c r="D1462" s="127" t="n"/>
      <c r="E1462" s="132" t="n"/>
      <c r="F1462" s="130" t="n"/>
    </row>
    <row r="1463" ht="15" customHeight="1" s="75">
      <c r="A1463" s="124" t="n"/>
      <c r="B1463" s="124" t="n"/>
      <c r="C1463" s="127" t="n"/>
      <c r="D1463" s="127" t="n"/>
      <c r="E1463" s="132" t="n"/>
      <c r="F1463" s="130" t="n"/>
    </row>
    <row r="1464" ht="15" customHeight="1" s="75">
      <c r="A1464" s="124" t="n"/>
      <c r="B1464" s="124" t="n"/>
      <c r="C1464" s="127" t="n"/>
      <c r="D1464" s="127" t="n"/>
      <c r="E1464" s="132" t="n"/>
      <c r="F1464" s="130" t="n"/>
    </row>
    <row r="1465" ht="15" customHeight="1" s="75">
      <c r="A1465" s="124" t="n"/>
      <c r="B1465" s="124" t="n"/>
      <c r="C1465" s="127" t="n"/>
      <c r="D1465" s="127" t="n"/>
      <c r="E1465" s="132" t="n"/>
      <c r="F1465" s="130" t="n"/>
    </row>
    <row r="1466" ht="15" customHeight="1" s="75">
      <c r="A1466" s="124" t="n"/>
      <c r="B1466" s="124" t="n"/>
      <c r="C1466" s="127" t="n"/>
      <c r="D1466" s="127" t="n"/>
      <c r="E1466" s="132" t="n"/>
      <c r="F1466" s="130" t="n"/>
    </row>
    <row r="1467" ht="15" customHeight="1" s="75">
      <c r="A1467" s="124" t="n"/>
      <c r="B1467" s="124" t="n"/>
      <c r="C1467" s="127" t="n"/>
      <c r="D1467" s="127" t="n"/>
      <c r="E1467" s="132" t="n"/>
      <c r="F1467" s="130" t="n"/>
    </row>
    <row r="1468" ht="15" customHeight="1" s="75">
      <c r="A1468" s="124" t="n"/>
      <c r="B1468" s="124" t="n"/>
      <c r="C1468" s="127" t="n"/>
      <c r="D1468" s="127" t="n"/>
      <c r="E1468" s="132" t="n"/>
      <c r="F1468" s="130" t="n"/>
    </row>
    <row r="1469" ht="15" customHeight="1" s="75">
      <c r="A1469" s="124" t="n"/>
      <c r="B1469" s="124" t="n"/>
      <c r="C1469" s="127" t="n"/>
      <c r="D1469" s="127" t="n"/>
      <c r="E1469" s="132" t="n"/>
      <c r="F1469" s="130" t="n"/>
    </row>
    <row r="1470" ht="15" customHeight="1" s="75">
      <c r="A1470" s="124" t="n"/>
      <c r="B1470" s="124" t="n"/>
      <c r="C1470" s="127" t="n"/>
      <c r="D1470" s="127" t="n"/>
      <c r="E1470" s="132" t="n"/>
      <c r="F1470" s="130" t="n"/>
    </row>
    <row r="1471" ht="15" customHeight="1" s="75">
      <c r="A1471" s="124" t="n"/>
      <c r="B1471" s="124" t="n"/>
      <c r="C1471" s="127" t="n"/>
      <c r="D1471" s="127" t="n"/>
      <c r="E1471" s="132" t="n"/>
      <c r="F1471" s="130" t="n"/>
    </row>
    <row r="1472" ht="15" customHeight="1" s="75">
      <c r="A1472" s="124" t="n"/>
      <c r="B1472" s="124" t="n"/>
      <c r="C1472" s="127" t="n"/>
      <c r="D1472" s="127" t="n"/>
      <c r="E1472" s="132" t="n"/>
      <c r="F1472" s="130" t="n"/>
    </row>
    <row r="1473" ht="15" customHeight="1" s="75">
      <c r="A1473" s="124" t="n"/>
      <c r="B1473" s="124" t="n"/>
      <c r="C1473" s="127" t="n"/>
      <c r="D1473" s="127" t="n"/>
      <c r="E1473" s="132" t="n"/>
      <c r="F1473" s="130" t="n"/>
    </row>
    <row r="1474" ht="15" customHeight="1" s="75">
      <c r="A1474" s="124" t="n"/>
      <c r="B1474" s="124" t="n"/>
      <c r="C1474" s="127" t="n"/>
      <c r="D1474" s="127" t="n"/>
      <c r="E1474" s="132" t="n"/>
      <c r="F1474" s="130" t="n"/>
    </row>
    <row r="1475" ht="15" customHeight="1" s="75">
      <c r="A1475" s="124" t="n"/>
      <c r="B1475" s="124" t="n"/>
      <c r="C1475" s="127" t="n"/>
      <c r="D1475" s="127" t="n"/>
      <c r="E1475" s="132" t="n"/>
      <c r="F1475" s="130" t="n"/>
    </row>
    <row r="1476" ht="15" customHeight="1" s="75">
      <c r="A1476" s="124" t="n"/>
      <c r="B1476" s="124" t="n"/>
      <c r="C1476" s="127" t="n"/>
      <c r="D1476" s="127" t="n"/>
      <c r="E1476" s="132" t="n"/>
      <c r="F1476" s="130" t="n"/>
    </row>
    <row r="1477" ht="15" customHeight="1" s="75">
      <c r="A1477" s="124" t="n"/>
      <c r="B1477" s="124" t="n"/>
      <c r="C1477" s="127" t="n"/>
      <c r="D1477" s="127" t="n"/>
      <c r="E1477" s="132" t="n"/>
      <c r="F1477" s="130" t="n"/>
    </row>
    <row r="1478" ht="15" customHeight="1" s="75">
      <c r="A1478" s="124" t="n"/>
      <c r="B1478" s="124" t="n"/>
      <c r="C1478" s="127" t="n"/>
      <c r="D1478" s="127" t="n"/>
      <c r="E1478" s="132" t="n"/>
      <c r="F1478" s="130" t="n"/>
    </row>
    <row r="1479" ht="15" customHeight="1" s="75">
      <c r="A1479" s="124" t="n"/>
      <c r="B1479" s="124" t="n"/>
      <c r="C1479" s="127" t="n"/>
      <c r="D1479" s="127" t="n"/>
      <c r="E1479" s="132" t="n"/>
      <c r="F1479" s="130" t="n"/>
    </row>
    <row r="1480" ht="15" customHeight="1" s="75">
      <c r="A1480" s="124" t="n"/>
      <c r="B1480" s="124" t="n"/>
      <c r="C1480" s="127" t="n"/>
      <c r="D1480" s="127" t="n"/>
      <c r="E1480" s="132" t="n"/>
      <c r="F1480" s="130" t="n"/>
    </row>
    <row r="1481" ht="15" customHeight="1" s="75">
      <c r="A1481" s="124" t="n"/>
      <c r="B1481" s="124" t="n"/>
      <c r="C1481" s="127" t="n"/>
      <c r="D1481" s="127" t="n"/>
      <c r="E1481" s="132" t="n"/>
      <c r="F1481" s="130" t="n"/>
    </row>
    <row r="1482" ht="15" customHeight="1" s="75">
      <c r="A1482" s="124" t="n"/>
      <c r="B1482" s="124" t="n"/>
      <c r="C1482" s="127" t="n"/>
      <c r="D1482" s="127" t="n"/>
      <c r="E1482" s="132" t="n"/>
      <c r="F1482" s="130" t="n"/>
    </row>
    <row r="1483" ht="15" customHeight="1" s="75">
      <c r="A1483" s="124" t="n"/>
      <c r="B1483" s="124" t="n"/>
      <c r="C1483" s="127" t="n"/>
      <c r="D1483" s="127" t="n"/>
      <c r="E1483" s="132" t="n"/>
      <c r="F1483" s="130" t="n"/>
    </row>
    <row r="1484" ht="15" customHeight="1" s="75">
      <c r="A1484" s="124" t="n"/>
      <c r="B1484" s="124" t="n"/>
      <c r="C1484" s="127" t="n"/>
      <c r="D1484" s="127" t="n"/>
      <c r="E1484" s="132" t="n"/>
      <c r="F1484" s="130" t="n"/>
    </row>
    <row r="1485" ht="15" customHeight="1" s="75">
      <c r="A1485" s="124" t="n"/>
      <c r="B1485" s="124" t="n"/>
      <c r="C1485" s="127" t="n"/>
      <c r="D1485" s="127" t="n"/>
      <c r="E1485" s="132" t="n"/>
      <c r="F1485" s="130" t="n"/>
    </row>
    <row r="1486" ht="15" customHeight="1" s="75">
      <c r="A1486" s="124" t="n"/>
      <c r="B1486" s="124" t="n"/>
      <c r="C1486" s="127" t="n"/>
      <c r="D1486" s="127" t="n"/>
      <c r="E1486" s="132" t="n"/>
      <c r="F1486" s="130" t="n"/>
    </row>
    <row r="1487" ht="15" customHeight="1" s="75">
      <c r="A1487" s="124" t="n"/>
      <c r="B1487" s="124" t="n"/>
      <c r="C1487" s="127" t="n"/>
      <c r="D1487" s="127" t="n"/>
      <c r="E1487" s="132" t="n"/>
      <c r="F1487" s="130" t="n"/>
    </row>
    <row r="1488" ht="15" customHeight="1" s="75">
      <c r="A1488" s="124" t="n"/>
      <c r="B1488" s="124" t="n"/>
      <c r="C1488" s="127" t="n"/>
      <c r="D1488" s="127" t="n"/>
      <c r="E1488" s="132" t="n"/>
      <c r="F1488" s="130" t="n"/>
    </row>
    <row r="1489" ht="15" customHeight="1" s="75">
      <c r="A1489" s="124" t="n"/>
      <c r="B1489" s="124" t="n"/>
      <c r="C1489" s="127" t="n"/>
      <c r="D1489" s="127" t="n"/>
      <c r="E1489" s="132" t="n"/>
      <c r="F1489" s="130" t="n"/>
    </row>
    <row r="1490" ht="15" customHeight="1" s="75">
      <c r="A1490" s="124" t="n"/>
      <c r="B1490" s="124" t="n"/>
      <c r="C1490" s="127" t="n"/>
      <c r="D1490" s="127" t="n"/>
      <c r="E1490" s="132" t="n"/>
      <c r="F1490" s="130" t="n"/>
    </row>
    <row r="1491" ht="15" customHeight="1" s="75">
      <c r="A1491" s="124" t="n"/>
      <c r="B1491" s="124" t="n"/>
      <c r="C1491" s="127" t="n"/>
      <c r="D1491" s="127" t="n"/>
      <c r="E1491" s="132" t="n"/>
      <c r="F1491" s="130" t="n"/>
    </row>
    <row r="1492" ht="15" customHeight="1" s="75">
      <c r="A1492" s="124" t="n"/>
      <c r="B1492" s="124" t="n"/>
      <c r="C1492" s="127" t="n"/>
      <c r="D1492" s="127" t="n"/>
      <c r="E1492" s="132" t="n"/>
      <c r="F1492" s="130" t="n"/>
    </row>
    <row r="1493" ht="15" customHeight="1" s="75">
      <c r="A1493" s="124" t="n"/>
      <c r="B1493" s="124" t="n"/>
      <c r="C1493" s="127" t="n"/>
      <c r="D1493" s="127" t="n"/>
      <c r="E1493" s="132" t="n"/>
      <c r="F1493" s="130" t="n"/>
    </row>
    <row r="1494" ht="15" customHeight="1" s="75">
      <c r="A1494" s="124" t="n"/>
      <c r="B1494" s="124" t="n"/>
      <c r="C1494" s="127" t="n"/>
      <c r="D1494" s="127" t="n"/>
      <c r="E1494" s="132" t="n"/>
      <c r="F1494" s="130" t="n"/>
    </row>
    <row r="1495" ht="15" customHeight="1" s="75">
      <c r="A1495" s="124" t="n"/>
      <c r="B1495" s="124" t="n"/>
      <c r="C1495" s="127" t="n"/>
      <c r="D1495" s="127" t="n"/>
      <c r="E1495" s="132" t="n"/>
      <c r="F1495" s="130" t="n"/>
    </row>
    <row r="1496" ht="15" customHeight="1" s="75">
      <c r="A1496" s="124" t="n"/>
      <c r="B1496" s="124" t="n"/>
      <c r="C1496" s="127" t="n"/>
      <c r="D1496" s="127" t="n"/>
      <c r="E1496" s="132" t="n"/>
      <c r="F1496" s="130" t="n"/>
    </row>
    <row r="1497" ht="15" customHeight="1" s="75">
      <c r="A1497" s="124" t="n"/>
      <c r="B1497" s="124" t="n"/>
      <c r="C1497" s="127" t="n"/>
      <c r="D1497" s="127" t="n"/>
      <c r="E1497" s="132" t="n"/>
      <c r="F1497" s="130" t="n"/>
    </row>
    <row r="1498" ht="15" customHeight="1" s="75">
      <c r="A1498" s="124" t="n"/>
      <c r="B1498" s="124" t="n"/>
      <c r="C1498" s="127" t="n"/>
      <c r="D1498" s="127" t="n"/>
      <c r="E1498" s="132" t="n"/>
      <c r="F1498" s="130" t="n"/>
    </row>
    <row r="1499" ht="15" customHeight="1" s="75">
      <c r="A1499" s="124" t="n"/>
      <c r="B1499" s="124" t="n"/>
      <c r="C1499" s="127" t="n"/>
      <c r="D1499" s="127" t="n"/>
      <c r="E1499" s="132" t="n"/>
      <c r="F1499" s="130" t="n"/>
    </row>
    <row r="1500" ht="15" customHeight="1" s="75">
      <c r="A1500" s="124" t="n"/>
      <c r="B1500" s="124" t="n"/>
      <c r="C1500" s="127" t="n"/>
      <c r="D1500" s="127" t="n"/>
      <c r="E1500" s="132" t="n"/>
      <c r="F1500" s="130" t="n"/>
    </row>
    <row r="1501" ht="15" customHeight="1" s="75">
      <c r="A1501" s="124" t="n"/>
      <c r="B1501" s="124" t="n"/>
      <c r="C1501" s="127" t="n"/>
      <c r="D1501" s="127" t="n"/>
      <c r="E1501" s="132" t="n"/>
      <c r="F1501" s="130" t="n"/>
    </row>
    <row r="1502" ht="15" customHeight="1" s="75">
      <c r="A1502" s="124" t="n"/>
      <c r="B1502" s="124" t="n"/>
      <c r="C1502" s="127" t="n"/>
      <c r="D1502" s="127" t="n"/>
      <c r="E1502" s="132" t="n"/>
      <c r="F1502" s="130" t="n"/>
    </row>
    <row r="1503" ht="15" customHeight="1" s="75">
      <c r="A1503" s="124" t="n"/>
      <c r="B1503" s="124" t="n"/>
      <c r="C1503" s="127" t="n"/>
      <c r="D1503" s="127" t="n"/>
      <c r="E1503" s="132" t="n"/>
      <c r="F1503" s="130" t="n"/>
    </row>
    <row r="1504" ht="15" customHeight="1" s="75">
      <c r="A1504" s="124" t="n"/>
      <c r="B1504" s="124" t="n"/>
      <c r="C1504" s="127" t="n"/>
      <c r="D1504" s="127" t="n"/>
      <c r="E1504" s="132" t="n"/>
      <c r="F1504" s="130" t="n"/>
    </row>
    <row r="1505" ht="15" customHeight="1" s="75">
      <c r="A1505" s="124" t="n"/>
      <c r="B1505" s="124" t="n"/>
      <c r="C1505" s="127" t="n"/>
      <c r="D1505" s="127" t="n"/>
      <c r="E1505" s="132" t="n"/>
      <c r="F1505" s="130" t="n"/>
    </row>
    <row r="1506" ht="15" customHeight="1" s="75">
      <c r="A1506" s="124" t="n"/>
      <c r="B1506" s="124" t="n"/>
      <c r="C1506" s="127" t="n"/>
      <c r="D1506" s="127" t="n"/>
      <c r="E1506" s="132" t="n"/>
      <c r="F1506" s="130" t="n"/>
    </row>
    <row r="1507" ht="15" customHeight="1" s="75">
      <c r="A1507" s="124" t="n"/>
      <c r="B1507" s="124" t="n"/>
      <c r="C1507" s="127" t="n"/>
      <c r="D1507" s="127" t="n"/>
      <c r="E1507" s="132" t="n"/>
      <c r="F1507" s="130" t="n"/>
    </row>
    <row r="1508" ht="15" customHeight="1" s="75">
      <c r="A1508" s="124" t="n"/>
      <c r="B1508" s="124" t="n"/>
      <c r="C1508" s="127" t="n"/>
      <c r="D1508" s="127" t="n"/>
      <c r="E1508" s="132" t="n"/>
      <c r="F1508" s="130" t="n"/>
    </row>
    <row r="1509" ht="15" customHeight="1" s="75">
      <c r="A1509" s="124" t="n"/>
      <c r="B1509" s="124" t="n"/>
      <c r="C1509" s="127" t="n"/>
      <c r="D1509" s="127" t="n"/>
      <c r="E1509" s="132" t="n"/>
      <c r="F1509" s="130" t="n"/>
    </row>
    <row r="1510" ht="15" customHeight="1" s="75">
      <c r="A1510" s="124" t="n"/>
      <c r="B1510" s="124" t="n"/>
      <c r="C1510" s="127" t="n"/>
      <c r="D1510" s="127" t="n"/>
      <c r="E1510" s="132" t="n"/>
      <c r="F1510" s="130" t="n"/>
    </row>
    <row r="1511" ht="15" customHeight="1" s="75">
      <c r="A1511" s="124" t="n"/>
      <c r="B1511" s="124" t="n"/>
      <c r="C1511" s="127" t="n"/>
      <c r="D1511" s="127" t="n"/>
      <c r="E1511" s="132" t="n"/>
      <c r="F1511" s="130" t="n"/>
    </row>
    <row r="1512" ht="15" customHeight="1" s="75">
      <c r="A1512" s="124" t="n"/>
      <c r="B1512" s="124" t="n"/>
      <c r="C1512" s="127" t="n"/>
      <c r="D1512" s="127" t="n"/>
      <c r="E1512" s="132" t="n"/>
      <c r="F1512" s="130" t="n"/>
    </row>
    <row r="1513" ht="15" customHeight="1" s="75">
      <c r="A1513" s="124" t="n"/>
      <c r="B1513" s="124" t="n"/>
      <c r="C1513" s="127" t="n"/>
      <c r="D1513" s="127" t="n"/>
      <c r="E1513" s="132" t="n"/>
      <c r="F1513" s="130" t="n"/>
    </row>
    <row r="1514" ht="15" customHeight="1" s="75">
      <c r="A1514" s="124" t="n"/>
      <c r="B1514" s="124" t="n"/>
      <c r="C1514" s="127" t="n"/>
      <c r="D1514" s="127" t="n"/>
      <c r="E1514" s="132" t="n"/>
      <c r="F1514" s="130" t="n"/>
    </row>
    <row r="1515" ht="15" customHeight="1" s="75">
      <c r="A1515" s="124" t="n"/>
      <c r="B1515" s="124" t="n"/>
      <c r="C1515" s="127" t="n"/>
      <c r="D1515" s="127" t="n"/>
      <c r="E1515" s="132" t="n"/>
      <c r="F1515" s="130" t="n"/>
    </row>
    <row r="1516" ht="15" customHeight="1" s="75">
      <c r="A1516" s="124" t="n"/>
      <c r="B1516" s="124" t="n"/>
      <c r="C1516" s="127" t="n"/>
      <c r="D1516" s="127" t="n"/>
      <c r="E1516" s="132" t="n"/>
      <c r="F1516" s="130" t="n"/>
    </row>
    <row r="1517" ht="15" customHeight="1" s="75">
      <c r="A1517" s="124" t="n"/>
      <c r="B1517" s="124" t="n"/>
      <c r="C1517" s="127" t="n"/>
      <c r="D1517" s="127" t="n"/>
      <c r="E1517" s="132" t="n"/>
      <c r="F1517" s="130" t="n"/>
    </row>
    <row r="1518" ht="15" customHeight="1" s="75">
      <c r="A1518" s="124" t="n"/>
      <c r="B1518" s="124" t="n"/>
      <c r="C1518" s="127" t="n"/>
      <c r="D1518" s="127" t="n"/>
      <c r="E1518" s="132" t="n"/>
      <c r="F1518" s="130" t="n"/>
    </row>
    <row r="1519" ht="15" customHeight="1" s="75">
      <c r="A1519" s="124" t="n"/>
      <c r="B1519" s="124" t="n"/>
      <c r="C1519" s="127" t="n"/>
      <c r="D1519" s="127" t="n"/>
      <c r="E1519" s="132" t="n"/>
      <c r="F1519" s="130" t="n"/>
    </row>
    <row r="1520" ht="15" customHeight="1" s="75">
      <c r="A1520" s="124" t="n"/>
      <c r="B1520" s="124" t="n"/>
      <c r="C1520" s="127" t="n"/>
      <c r="D1520" s="127" t="n"/>
      <c r="E1520" s="132" t="n"/>
      <c r="F1520" s="130" t="n"/>
    </row>
    <row r="1521" ht="15" customHeight="1" s="75">
      <c r="A1521" s="124" t="n"/>
      <c r="B1521" s="124" t="n"/>
      <c r="C1521" s="127" t="n"/>
      <c r="D1521" s="127" t="n"/>
      <c r="E1521" s="132" t="n"/>
      <c r="F1521" s="130" t="n"/>
    </row>
    <row r="1522" ht="15" customHeight="1" s="75">
      <c r="A1522" s="124" t="n"/>
      <c r="B1522" s="124" t="n"/>
      <c r="C1522" s="127" t="n"/>
      <c r="D1522" s="127" t="n"/>
      <c r="E1522" s="132" t="n"/>
      <c r="F1522" s="130" t="n"/>
    </row>
    <row r="1523" ht="15" customHeight="1" s="75">
      <c r="A1523" s="124" t="n"/>
      <c r="B1523" s="124" t="n"/>
      <c r="C1523" s="127" t="n"/>
      <c r="D1523" s="127" t="n"/>
      <c r="E1523" s="132" t="n"/>
      <c r="F1523" s="130" t="n"/>
    </row>
    <row r="1524" ht="15" customHeight="1" s="75">
      <c r="A1524" s="124" t="n"/>
      <c r="B1524" s="124" t="n"/>
      <c r="C1524" s="127" t="n"/>
      <c r="D1524" s="127" t="n"/>
      <c r="E1524" s="132" t="n"/>
      <c r="F1524" s="130" t="n"/>
    </row>
    <row r="1525" ht="15" customHeight="1" s="75">
      <c r="A1525" s="124" t="n"/>
      <c r="B1525" s="124" t="n"/>
      <c r="C1525" s="127" t="n"/>
      <c r="D1525" s="127" t="n"/>
      <c r="E1525" s="132" t="n"/>
      <c r="F1525" s="130" t="n"/>
    </row>
    <row r="1526" ht="15" customHeight="1" s="75">
      <c r="A1526" s="124" t="n"/>
      <c r="B1526" s="124" t="n"/>
      <c r="C1526" s="127" t="n"/>
      <c r="D1526" s="127" t="n"/>
      <c r="E1526" s="132" t="n"/>
      <c r="F1526" s="130" t="n"/>
    </row>
    <row r="1527" ht="15" customHeight="1" s="75">
      <c r="A1527" s="124" t="n"/>
      <c r="B1527" s="124" t="n"/>
      <c r="C1527" s="127" t="n"/>
      <c r="D1527" s="127" t="n"/>
      <c r="E1527" s="132" t="n"/>
      <c r="F1527" s="130" t="n"/>
    </row>
    <row r="1528" ht="15" customHeight="1" s="75">
      <c r="A1528" s="124" t="n"/>
      <c r="B1528" s="124" t="n"/>
      <c r="C1528" s="127" t="n"/>
      <c r="D1528" s="127" t="n"/>
      <c r="E1528" s="132" t="n"/>
      <c r="F1528" s="130" t="n"/>
    </row>
    <row r="1529" ht="15" customHeight="1" s="75">
      <c r="A1529" s="124" t="n"/>
      <c r="B1529" s="124" t="n"/>
      <c r="C1529" s="127" t="n"/>
      <c r="D1529" s="127" t="n"/>
      <c r="E1529" s="132" t="n"/>
      <c r="F1529" s="130" t="n"/>
    </row>
    <row r="1530" ht="15" customHeight="1" s="75">
      <c r="A1530" s="124" t="n"/>
      <c r="B1530" s="124" t="n"/>
      <c r="C1530" s="127" t="n"/>
      <c r="D1530" s="127" t="n"/>
      <c r="E1530" s="132" t="n"/>
      <c r="F1530" s="130" t="n"/>
    </row>
    <row r="1531" ht="15" customHeight="1" s="75">
      <c r="A1531" s="124" t="n"/>
      <c r="B1531" s="124" t="n"/>
      <c r="C1531" s="127" t="n"/>
      <c r="D1531" s="127" t="n"/>
      <c r="E1531" s="132" t="n"/>
      <c r="F1531" s="130" t="n"/>
    </row>
    <row r="1532" ht="15" customHeight="1" s="75">
      <c r="A1532" s="124" t="n"/>
      <c r="B1532" s="124" t="n"/>
      <c r="C1532" s="127" t="n"/>
      <c r="D1532" s="127" t="n"/>
      <c r="E1532" s="132" t="n"/>
      <c r="F1532" s="130" t="n"/>
    </row>
    <row r="1533" ht="15" customHeight="1" s="75">
      <c r="A1533" s="124" t="n"/>
      <c r="B1533" s="124" t="n"/>
      <c r="C1533" s="127" t="n"/>
      <c r="D1533" s="127" t="n"/>
      <c r="E1533" s="132" t="n"/>
      <c r="F1533" s="130" t="n"/>
    </row>
    <row r="1534" ht="15" customHeight="1" s="75">
      <c r="A1534" s="124" t="n"/>
      <c r="B1534" s="124" t="n"/>
      <c r="C1534" s="127" t="n"/>
      <c r="D1534" s="127" t="n"/>
      <c r="E1534" s="132" t="n"/>
      <c r="F1534" s="130" t="n"/>
    </row>
    <row r="1535" ht="15" customHeight="1" s="75">
      <c r="A1535" s="124" t="n"/>
      <c r="B1535" s="124" t="n"/>
      <c r="C1535" s="127" t="n"/>
      <c r="D1535" s="127" t="n"/>
      <c r="E1535" s="132" t="n"/>
      <c r="F1535" s="130" t="n"/>
    </row>
    <row r="1536" ht="15" customHeight="1" s="75">
      <c r="A1536" s="124" t="n"/>
      <c r="B1536" s="124" t="n"/>
      <c r="C1536" s="127" t="n"/>
      <c r="D1536" s="127" t="n"/>
      <c r="E1536" s="132" t="n"/>
      <c r="F1536" s="130" t="n"/>
    </row>
    <row r="1537" ht="15" customHeight="1" s="75">
      <c r="A1537" s="124" t="n"/>
      <c r="B1537" s="124" t="n"/>
      <c r="C1537" s="127" t="n"/>
      <c r="D1537" s="127" t="n"/>
      <c r="E1537" s="132" t="n"/>
      <c r="F1537" s="130" t="n"/>
    </row>
    <row r="1538" ht="15" customHeight="1" s="75">
      <c r="A1538" s="124" t="n"/>
      <c r="B1538" s="124" t="n"/>
      <c r="C1538" s="127" t="n"/>
      <c r="D1538" s="127" t="n"/>
      <c r="E1538" s="132" t="n"/>
      <c r="F1538" s="130" t="n"/>
    </row>
    <row r="1539" ht="15" customHeight="1" s="75">
      <c r="A1539" s="124" t="n"/>
      <c r="B1539" s="124" t="n"/>
      <c r="C1539" s="127" t="n"/>
      <c r="D1539" s="127" t="n"/>
      <c r="E1539" s="132" t="n"/>
      <c r="F1539" s="130" t="n"/>
    </row>
    <row r="1540" ht="15" customHeight="1" s="75">
      <c r="A1540" s="124" t="n"/>
      <c r="B1540" s="124" t="n"/>
      <c r="C1540" s="127" t="n"/>
      <c r="D1540" s="127" t="n"/>
      <c r="E1540" s="132" t="n"/>
      <c r="F1540" s="130" t="n"/>
    </row>
    <row r="1541" ht="15" customHeight="1" s="75">
      <c r="A1541" s="124" t="n"/>
      <c r="B1541" s="124" t="n"/>
      <c r="C1541" s="127" t="n"/>
      <c r="D1541" s="127" t="n"/>
      <c r="E1541" s="132" t="n"/>
      <c r="F1541" s="130" t="n"/>
    </row>
    <row r="1542" ht="15" customHeight="1" s="75">
      <c r="A1542" s="124" t="n"/>
      <c r="B1542" s="124" t="n"/>
      <c r="C1542" s="127" t="n"/>
      <c r="D1542" s="127" t="n"/>
      <c r="E1542" s="132" t="n"/>
      <c r="F1542" s="130" t="n"/>
    </row>
    <row r="1543" ht="15" customHeight="1" s="75">
      <c r="A1543" s="124" t="n"/>
      <c r="B1543" s="124" t="n"/>
      <c r="C1543" s="127" t="n"/>
      <c r="D1543" s="127" t="n"/>
      <c r="E1543" s="132" t="n"/>
      <c r="F1543" s="130" t="n"/>
    </row>
    <row r="1544" ht="15" customHeight="1" s="75">
      <c r="A1544" s="124" t="n"/>
      <c r="B1544" s="124" t="n"/>
      <c r="C1544" s="127" t="n"/>
      <c r="D1544" s="127" t="n"/>
      <c r="E1544" s="132" t="n"/>
      <c r="F1544" s="130" t="n"/>
    </row>
    <row r="1545" ht="15" customHeight="1" s="75">
      <c r="A1545" s="124" t="n"/>
      <c r="B1545" s="124" t="n"/>
      <c r="C1545" s="127" t="n"/>
      <c r="D1545" s="127" t="n"/>
      <c r="E1545" s="132" t="n"/>
      <c r="F1545" s="130" t="n"/>
    </row>
    <row r="1546" ht="15" customHeight="1" s="75">
      <c r="A1546" s="124" t="n"/>
      <c r="B1546" s="124" t="n"/>
      <c r="C1546" s="127" t="n"/>
      <c r="D1546" s="127" t="n"/>
      <c r="E1546" s="132" t="n"/>
      <c r="F1546" s="130" t="n"/>
    </row>
    <row r="1547" ht="15" customHeight="1" s="75">
      <c r="A1547" s="124" t="n"/>
      <c r="B1547" s="124" t="n"/>
      <c r="C1547" s="127" t="n"/>
      <c r="D1547" s="127" t="n"/>
      <c r="E1547" s="132" t="n"/>
      <c r="F1547" s="130" t="n"/>
    </row>
    <row r="1548" ht="15" customHeight="1" s="75">
      <c r="A1548" s="124" t="n"/>
      <c r="B1548" s="124" t="n"/>
      <c r="C1548" s="127" t="n"/>
      <c r="D1548" s="127" t="n"/>
      <c r="E1548" s="132" t="n"/>
      <c r="F1548" s="130" t="n"/>
    </row>
    <row r="1549" ht="15" customHeight="1" s="75">
      <c r="A1549" s="124" t="n"/>
      <c r="B1549" s="124" t="n"/>
      <c r="C1549" s="127" t="n"/>
      <c r="D1549" s="127" t="n"/>
      <c r="E1549" s="132" t="n"/>
      <c r="F1549" s="130" t="n"/>
    </row>
    <row r="1550" ht="15" customHeight="1" s="75">
      <c r="A1550" s="124" t="n"/>
      <c r="B1550" s="124" t="n"/>
      <c r="C1550" s="127" t="n"/>
      <c r="D1550" s="127" t="n"/>
      <c r="E1550" s="132" t="n"/>
      <c r="F1550" s="130" t="n"/>
    </row>
    <row r="1551" ht="15" customHeight="1" s="75">
      <c r="A1551" s="124" t="n"/>
      <c r="B1551" s="124" t="n"/>
      <c r="C1551" s="127" t="n"/>
      <c r="D1551" s="127" t="n"/>
      <c r="E1551" s="132" t="n"/>
      <c r="F1551" s="130" t="n"/>
    </row>
    <row r="1552" ht="15" customHeight="1" s="75">
      <c r="A1552" s="124" t="n"/>
      <c r="B1552" s="124" t="n"/>
      <c r="C1552" s="127" t="n"/>
      <c r="D1552" s="127" t="n"/>
      <c r="E1552" s="132" t="n"/>
      <c r="F1552" s="130" t="n"/>
    </row>
    <row r="1553" ht="15" customHeight="1" s="75">
      <c r="A1553" s="124" t="n"/>
      <c r="B1553" s="124" t="n"/>
      <c r="C1553" s="127" t="n"/>
      <c r="D1553" s="127" t="n"/>
      <c r="E1553" s="132" t="n"/>
      <c r="F1553" s="130" t="n"/>
    </row>
    <row r="1554" ht="15" customHeight="1" s="75">
      <c r="A1554" s="124" t="n"/>
      <c r="B1554" s="124" t="n"/>
      <c r="C1554" s="127" t="n"/>
      <c r="D1554" s="127" t="n"/>
      <c r="E1554" s="132" t="n"/>
      <c r="F1554" s="130" t="n"/>
    </row>
    <row r="1555" ht="15" customHeight="1" s="75">
      <c r="A1555" s="124" t="n"/>
      <c r="B1555" s="124" t="n"/>
      <c r="C1555" s="127" t="n"/>
      <c r="D1555" s="127" t="n"/>
      <c r="E1555" s="132" t="n"/>
      <c r="F1555" s="130" t="n"/>
    </row>
    <row r="1556" ht="15" customHeight="1" s="75">
      <c r="A1556" s="124" t="n"/>
      <c r="B1556" s="124" t="n"/>
      <c r="C1556" s="127" t="n"/>
      <c r="D1556" s="127" t="n"/>
      <c r="E1556" s="132" t="n"/>
      <c r="F1556" s="130" t="n"/>
    </row>
    <row r="1557" ht="15" customHeight="1" s="75">
      <c r="A1557" s="124" t="n"/>
      <c r="B1557" s="124" t="n"/>
      <c r="C1557" s="127" t="n"/>
      <c r="D1557" s="127" t="n"/>
      <c r="E1557" s="132" t="n"/>
      <c r="F1557" s="130" t="n"/>
    </row>
    <row r="1558" ht="15" customHeight="1" s="75">
      <c r="A1558" s="124" t="n"/>
      <c r="B1558" s="124" t="n"/>
      <c r="C1558" s="127" t="n"/>
      <c r="D1558" s="127" t="n"/>
      <c r="E1558" s="132" t="n"/>
      <c r="F1558" s="130" t="n"/>
    </row>
    <row r="1559" ht="15" customHeight="1" s="75">
      <c r="A1559" s="124" t="n"/>
      <c r="B1559" s="124" t="n"/>
      <c r="C1559" s="127" t="n"/>
      <c r="D1559" s="127" t="n"/>
      <c r="E1559" s="132" t="n"/>
      <c r="F1559" s="130" t="n"/>
    </row>
    <row r="1560" ht="15" customHeight="1" s="75">
      <c r="A1560" s="124" t="n"/>
      <c r="B1560" s="124" t="n"/>
      <c r="C1560" s="127" t="n"/>
      <c r="D1560" s="127" t="n"/>
      <c r="E1560" s="132" t="n"/>
      <c r="F1560" s="130" t="n"/>
    </row>
    <row r="1561" ht="15" customHeight="1" s="75">
      <c r="A1561" s="124" t="n"/>
      <c r="B1561" s="124" t="n"/>
      <c r="C1561" s="127" t="n"/>
      <c r="D1561" s="127" t="n"/>
      <c r="E1561" s="132" t="n"/>
      <c r="F1561" s="130" t="n"/>
    </row>
    <row r="1562" ht="15" customHeight="1" s="75">
      <c r="A1562" s="124" t="n"/>
      <c r="B1562" s="124" t="n"/>
      <c r="C1562" s="127" t="n"/>
      <c r="D1562" s="127" t="n"/>
      <c r="E1562" s="132" t="n"/>
      <c r="F1562" s="130" t="n"/>
    </row>
    <row r="1563" ht="15" customHeight="1" s="75">
      <c r="A1563" s="124" t="n"/>
      <c r="B1563" s="124" t="n"/>
      <c r="C1563" s="127" t="n"/>
      <c r="D1563" s="127" t="n"/>
      <c r="E1563" s="132" t="n"/>
      <c r="F1563" s="130" t="n"/>
    </row>
    <row r="1564" ht="15" customHeight="1" s="75">
      <c r="A1564" s="124" t="n"/>
      <c r="B1564" s="124" t="n"/>
      <c r="C1564" s="127" t="n"/>
      <c r="D1564" s="127" t="n"/>
      <c r="E1564" s="132" t="n"/>
      <c r="F1564" s="130" t="n"/>
    </row>
    <row r="1565" ht="15" customHeight="1" s="75">
      <c r="A1565" s="124" t="n"/>
      <c r="B1565" s="124" t="n"/>
      <c r="C1565" s="127" t="n"/>
      <c r="D1565" s="127" t="n"/>
      <c r="E1565" s="132" t="n"/>
      <c r="F1565" s="130" t="n"/>
    </row>
    <row r="1566" ht="15" customHeight="1" s="75">
      <c r="A1566" s="124" t="n"/>
      <c r="B1566" s="124" t="n"/>
      <c r="C1566" s="127" t="n"/>
      <c r="D1566" s="127" t="n"/>
      <c r="E1566" s="132" t="n"/>
      <c r="F1566" s="130" t="n"/>
    </row>
    <row r="1567" ht="15" customHeight="1" s="75">
      <c r="A1567" s="124" t="n"/>
      <c r="B1567" s="124" t="n"/>
      <c r="C1567" s="127" t="n"/>
      <c r="D1567" s="127" t="n"/>
      <c r="E1567" s="132" t="n"/>
      <c r="F1567" s="130" t="n"/>
    </row>
    <row r="1568" ht="15" customHeight="1" s="75">
      <c r="A1568" s="124" t="n"/>
      <c r="B1568" s="124" t="n"/>
      <c r="C1568" s="127" t="n"/>
      <c r="D1568" s="127" t="n"/>
      <c r="E1568" s="132" t="n"/>
      <c r="F1568" s="130" t="n"/>
    </row>
    <row r="1569" ht="15" customHeight="1" s="75">
      <c r="A1569" s="124" t="n"/>
      <c r="B1569" s="124" t="n"/>
      <c r="C1569" s="127" t="n"/>
      <c r="D1569" s="127" t="n"/>
      <c r="E1569" s="132" t="n"/>
      <c r="F1569" s="130" t="n"/>
    </row>
    <row r="1570" ht="15" customHeight="1" s="75">
      <c r="A1570" s="124" t="n"/>
      <c r="B1570" s="124" t="n"/>
      <c r="C1570" s="127" t="n"/>
      <c r="D1570" s="127" t="n"/>
      <c r="E1570" s="132" t="n"/>
      <c r="F1570" s="130" t="n"/>
    </row>
    <row r="1571" ht="15" customHeight="1" s="75">
      <c r="A1571" s="124" t="n"/>
      <c r="B1571" s="124" t="n"/>
      <c r="C1571" s="127" t="n"/>
      <c r="D1571" s="127" t="n"/>
      <c r="E1571" s="132" t="n"/>
      <c r="F1571" s="130" t="n"/>
    </row>
    <row r="1572" ht="15" customHeight="1" s="75">
      <c r="A1572" s="124" t="n"/>
      <c r="B1572" s="124" t="n"/>
      <c r="C1572" s="127" t="n"/>
      <c r="D1572" s="127" t="n"/>
      <c r="E1572" s="132" t="n"/>
      <c r="F1572" s="130" t="n"/>
    </row>
    <row r="1573" ht="15" customHeight="1" s="75">
      <c r="A1573" s="124" t="n"/>
      <c r="B1573" s="124" t="n"/>
      <c r="C1573" s="127" t="n"/>
      <c r="D1573" s="127" t="n"/>
      <c r="E1573" s="132" t="n"/>
      <c r="F1573" s="130" t="n"/>
    </row>
    <row r="1574" ht="15" customHeight="1" s="75">
      <c r="A1574" s="124" t="n"/>
      <c r="B1574" s="124" t="n"/>
      <c r="C1574" s="127" t="n"/>
      <c r="D1574" s="127" t="n"/>
      <c r="E1574" s="132" t="n"/>
      <c r="F1574" s="130" t="n"/>
    </row>
    <row r="1575" ht="15" customHeight="1" s="75">
      <c r="A1575" s="124" t="n"/>
      <c r="B1575" s="124" t="n"/>
      <c r="C1575" s="127" t="n"/>
      <c r="D1575" s="127" t="n"/>
      <c r="E1575" s="132" t="n"/>
      <c r="F1575" s="130" t="n"/>
    </row>
    <row r="1576" ht="15" customHeight="1" s="75">
      <c r="A1576" s="124" t="n"/>
      <c r="B1576" s="124" t="n"/>
      <c r="C1576" s="127" t="n"/>
      <c r="D1576" s="127" t="n"/>
      <c r="E1576" s="132" t="n"/>
      <c r="F1576" s="130" t="n"/>
    </row>
    <row r="1577" ht="15" customHeight="1" s="75">
      <c r="A1577" s="124" t="n"/>
      <c r="B1577" s="124" t="n"/>
      <c r="C1577" s="127" t="n"/>
      <c r="D1577" s="127" t="n"/>
      <c r="E1577" s="132" t="n"/>
      <c r="F1577" s="130" t="n"/>
    </row>
    <row r="1578" ht="15" customHeight="1" s="75">
      <c r="A1578" s="124" t="n"/>
      <c r="B1578" s="124" t="n"/>
      <c r="C1578" s="127" t="n"/>
      <c r="D1578" s="127" t="n"/>
      <c r="E1578" s="132" t="n"/>
      <c r="F1578" s="130" t="n"/>
    </row>
    <row r="1579" ht="15" customHeight="1" s="75">
      <c r="A1579" s="124" t="n"/>
      <c r="B1579" s="124" t="n"/>
      <c r="C1579" s="127" t="n"/>
      <c r="D1579" s="127" t="n"/>
      <c r="E1579" s="132" t="n"/>
      <c r="F1579" s="130" t="n"/>
    </row>
    <row r="1580" ht="15" customHeight="1" s="75">
      <c r="A1580" s="124" t="n"/>
      <c r="B1580" s="124" t="n"/>
      <c r="C1580" s="127" t="n"/>
      <c r="D1580" s="127" t="n"/>
      <c r="E1580" s="132" t="n"/>
      <c r="F1580" s="130" t="n"/>
    </row>
    <row r="1581" ht="15" customHeight="1" s="75">
      <c r="A1581" s="124" t="n"/>
      <c r="B1581" s="124" t="n"/>
      <c r="C1581" s="127" t="n"/>
      <c r="D1581" s="127" t="n"/>
      <c r="E1581" s="132" t="n"/>
      <c r="F1581" s="130" t="n"/>
    </row>
    <row r="1582" ht="15" customHeight="1" s="75">
      <c r="A1582" s="124" t="n"/>
      <c r="B1582" s="124" t="n"/>
      <c r="C1582" s="127" t="n"/>
      <c r="D1582" s="127" t="n"/>
      <c r="E1582" s="132" t="n"/>
      <c r="F1582" s="130" t="n"/>
    </row>
    <row r="1583" ht="15" customHeight="1" s="75">
      <c r="A1583" s="124" t="n"/>
      <c r="B1583" s="124" t="n"/>
      <c r="C1583" s="127" t="n"/>
      <c r="D1583" s="127" t="n"/>
      <c r="E1583" s="132" t="n"/>
      <c r="F1583" s="130" t="n"/>
    </row>
    <row r="1584" ht="15" customHeight="1" s="75">
      <c r="A1584" s="124" t="n"/>
      <c r="B1584" s="124" t="n"/>
      <c r="C1584" s="127" t="n"/>
      <c r="D1584" s="127" t="n"/>
      <c r="E1584" s="132" t="n"/>
      <c r="F1584" s="130" t="n"/>
    </row>
    <row r="1585" ht="15" customHeight="1" s="75">
      <c r="A1585" s="124" t="n"/>
      <c r="B1585" s="124" t="n"/>
      <c r="C1585" s="127" t="n"/>
      <c r="D1585" s="127" t="n"/>
      <c r="E1585" s="132" t="n"/>
      <c r="F1585" s="130" t="n"/>
    </row>
    <row r="1586" ht="15" customHeight="1" s="75">
      <c r="A1586" s="124" t="n"/>
      <c r="B1586" s="124" t="n"/>
      <c r="C1586" s="127" t="n"/>
      <c r="D1586" s="127" t="n"/>
      <c r="E1586" s="132" t="n"/>
      <c r="F1586" s="130" t="n"/>
    </row>
    <row r="1587" ht="15" customHeight="1" s="75">
      <c r="A1587" s="124" t="n"/>
      <c r="B1587" s="124" t="n"/>
      <c r="C1587" s="127" t="n"/>
      <c r="D1587" s="127" t="n"/>
      <c r="E1587" s="132" t="n"/>
      <c r="F1587" s="130" t="n"/>
    </row>
    <row r="1588" ht="15" customHeight="1" s="75">
      <c r="A1588" s="124" t="n"/>
      <c r="B1588" s="124" t="n"/>
      <c r="C1588" s="127" t="n"/>
      <c r="D1588" s="127" t="n"/>
      <c r="E1588" s="132" t="n"/>
      <c r="F1588" s="130" t="n"/>
    </row>
    <row r="1589" ht="15" customHeight="1" s="75">
      <c r="A1589" s="124" t="n"/>
      <c r="B1589" s="124" t="n"/>
      <c r="C1589" s="127" t="n"/>
      <c r="D1589" s="127" t="n"/>
      <c r="E1589" s="132" t="n"/>
      <c r="F1589" s="130" t="n"/>
    </row>
    <row r="1590" ht="15" customHeight="1" s="75">
      <c r="A1590" s="124" t="n"/>
      <c r="B1590" s="124" t="n"/>
      <c r="C1590" s="127" t="n"/>
      <c r="D1590" s="127" t="n"/>
      <c r="E1590" s="132" t="n"/>
      <c r="F1590" s="130" t="n"/>
    </row>
    <row r="1591" ht="15" customHeight="1" s="75">
      <c r="A1591" s="124" t="n"/>
      <c r="B1591" s="124" t="n"/>
      <c r="C1591" s="127" t="n"/>
      <c r="D1591" s="127" t="n"/>
      <c r="E1591" s="132" t="n"/>
      <c r="F1591" s="130" t="n"/>
    </row>
    <row r="1592" ht="15" customHeight="1" s="75">
      <c r="A1592" s="124" t="n"/>
      <c r="B1592" s="124" t="n"/>
      <c r="C1592" s="127" t="n"/>
      <c r="D1592" s="127" t="n"/>
      <c r="E1592" s="132" t="n"/>
      <c r="F1592" s="130" t="n"/>
    </row>
    <row r="1593" ht="15" customHeight="1" s="75">
      <c r="A1593" s="124" t="n"/>
      <c r="B1593" s="124" t="n"/>
      <c r="C1593" s="127" t="n"/>
      <c r="D1593" s="127" t="n"/>
      <c r="E1593" s="132" t="n"/>
      <c r="F1593" s="130" t="n"/>
    </row>
    <row r="1594" ht="15" customHeight="1" s="75">
      <c r="A1594" s="124" t="n"/>
      <c r="B1594" s="124" t="n"/>
      <c r="C1594" s="127" t="n"/>
      <c r="D1594" s="127" t="n"/>
      <c r="E1594" s="132" t="n"/>
      <c r="F1594" s="130" t="n"/>
    </row>
    <row r="1595" ht="15" customHeight="1" s="75">
      <c r="A1595" s="124" t="n"/>
      <c r="B1595" s="124" t="n"/>
      <c r="C1595" s="127" t="n"/>
      <c r="D1595" s="127" t="n"/>
      <c r="E1595" s="132" t="n"/>
      <c r="F1595" s="130" t="n"/>
    </row>
    <row r="1596" ht="15" customHeight="1" s="75">
      <c r="A1596" s="124" t="n"/>
      <c r="B1596" s="124" t="n"/>
      <c r="C1596" s="127" t="n"/>
      <c r="D1596" s="127" t="n"/>
      <c r="E1596" s="132" t="n"/>
      <c r="F1596" s="130" t="n"/>
    </row>
    <row r="1597" ht="15" customHeight="1" s="75">
      <c r="A1597" s="124" t="n"/>
      <c r="B1597" s="124" t="n"/>
      <c r="C1597" s="127" t="n"/>
      <c r="D1597" s="127" t="n"/>
      <c r="E1597" s="132" t="n"/>
      <c r="F1597" s="130" t="n"/>
    </row>
    <row r="1598" ht="15" customHeight="1" s="75">
      <c r="A1598" s="124" t="n"/>
      <c r="B1598" s="124" t="n"/>
      <c r="C1598" s="127" t="n"/>
      <c r="D1598" s="127" t="n"/>
      <c r="E1598" s="132" t="n"/>
      <c r="F1598" s="130" t="n"/>
    </row>
    <row r="1599" ht="15" customHeight="1" s="75">
      <c r="A1599" s="124" t="n"/>
      <c r="B1599" s="124" t="n"/>
      <c r="C1599" s="127" t="n"/>
      <c r="D1599" s="127" t="n"/>
      <c r="E1599" s="132" t="n"/>
      <c r="F1599" s="130" t="n"/>
    </row>
    <row r="1600" ht="15" customHeight="1" s="75">
      <c r="A1600" s="124" t="n"/>
      <c r="B1600" s="124" t="n"/>
      <c r="C1600" s="127" t="n"/>
      <c r="D1600" s="127" t="n"/>
      <c r="E1600" s="132" t="n"/>
      <c r="F1600" s="130" t="n"/>
    </row>
    <row r="1601" ht="15" customHeight="1" s="75">
      <c r="A1601" s="124" t="n"/>
      <c r="B1601" s="124" t="n"/>
      <c r="C1601" s="127" t="n"/>
      <c r="D1601" s="127" t="n"/>
      <c r="E1601" s="132" t="n"/>
      <c r="F1601" s="130" t="n"/>
    </row>
    <row r="1602" ht="15" customHeight="1" s="75">
      <c r="A1602" s="124" t="n"/>
      <c r="B1602" s="124" t="n"/>
      <c r="C1602" s="127" t="n"/>
      <c r="D1602" s="127" t="n"/>
      <c r="E1602" s="132" t="n"/>
      <c r="F1602" s="130" t="n"/>
    </row>
    <row r="1603" ht="15" customHeight="1" s="75">
      <c r="A1603" s="124" t="n"/>
      <c r="B1603" s="124" t="n"/>
      <c r="C1603" s="127" t="n"/>
      <c r="D1603" s="127" t="n"/>
      <c r="E1603" s="132" t="n"/>
      <c r="F1603" s="130" t="n"/>
    </row>
    <row r="1604" ht="15" customHeight="1" s="75">
      <c r="A1604" s="124" t="n"/>
      <c r="B1604" s="124" t="n"/>
      <c r="C1604" s="127" t="n"/>
      <c r="D1604" s="127" t="n"/>
      <c r="E1604" s="132" t="n"/>
      <c r="F1604" s="130" t="n"/>
    </row>
    <row r="1605" ht="15" customHeight="1" s="75">
      <c r="A1605" s="124" t="n"/>
      <c r="B1605" s="124" t="n"/>
      <c r="C1605" s="127" t="n"/>
      <c r="D1605" s="127" t="n"/>
      <c r="E1605" s="132" t="n"/>
      <c r="F1605" s="130" t="n"/>
    </row>
    <row r="1606" ht="15" customHeight="1" s="75">
      <c r="A1606" s="124" t="n"/>
      <c r="B1606" s="124" t="n"/>
      <c r="C1606" s="127" t="n"/>
      <c r="D1606" s="127" t="n"/>
      <c r="E1606" s="132" t="n"/>
      <c r="F1606" s="130" t="n"/>
    </row>
    <row r="1607" ht="15" customHeight="1" s="75">
      <c r="A1607" s="124" t="n"/>
      <c r="B1607" s="124" t="n"/>
      <c r="C1607" s="127" t="n"/>
      <c r="D1607" s="127" t="n"/>
      <c r="E1607" s="132" t="n"/>
      <c r="F1607" s="130" t="n"/>
    </row>
    <row r="1608" ht="15" customHeight="1" s="75">
      <c r="A1608" s="124" t="n"/>
      <c r="B1608" s="124" t="n"/>
      <c r="C1608" s="127" t="n"/>
      <c r="D1608" s="127" t="n"/>
      <c r="E1608" s="132" t="n"/>
      <c r="F1608" s="130" t="n"/>
    </row>
    <row r="1609" ht="15" customHeight="1" s="75">
      <c r="A1609" s="124" t="n"/>
      <c r="B1609" s="124" t="n"/>
      <c r="C1609" s="127" t="n"/>
      <c r="D1609" s="127" t="n"/>
      <c r="E1609" s="132" t="n"/>
      <c r="F1609" s="130" t="n"/>
    </row>
    <row r="1610" ht="15" customHeight="1" s="75">
      <c r="A1610" s="124" t="n"/>
      <c r="B1610" s="124" t="n"/>
      <c r="C1610" s="127" t="n"/>
      <c r="D1610" s="127" t="n"/>
      <c r="E1610" s="132" t="n"/>
      <c r="F1610" s="130" t="n"/>
    </row>
    <row r="1611" ht="15" customHeight="1" s="75">
      <c r="A1611" s="124" t="n"/>
      <c r="B1611" s="124" t="n"/>
      <c r="C1611" s="127" t="n"/>
      <c r="D1611" s="127" t="n"/>
      <c r="E1611" s="132" t="n"/>
      <c r="F1611" s="130" t="n"/>
    </row>
    <row r="1612" ht="15" customHeight="1" s="75">
      <c r="A1612" s="124" t="n"/>
      <c r="B1612" s="124" t="n"/>
      <c r="C1612" s="127" t="n"/>
      <c r="D1612" s="127" t="n"/>
      <c r="E1612" s="132" t="n"/>
      <c r="F1612" s="130" t="n"/>
    </row>
    <row r="1613" ht="15" customHeight="1" s="75">
      <c r="A1613" s="124" t="n"/>
      <c r="B1613" s="124" t="n"/>
      <c r="C1613" s="127" t="n"/>
      <c r="D1613" s="127" t="n"/>
      <c r="E1613" s="132" t="n"/>
      <c r="F1613" s="130" t="n"/>
    </row>
    <row r="1614" ht="15" customHeight="1" s="75">
      <c r="A1614" s="124" t="n"/>
      <c r="B1614" s="124" t="n"/>
      <c r="C1614" s="127" t="n"/>
      <c r="D1614" s="127" t="n"/>
      <c r="E1614" s="132" t="n"/>
      <c r="F1614" s="130" t="n"/>
    </row>
    <row r="1615" ht="15" customHeight="1" s="75">
      <c r="A1615" s="124" t="n"/>
      <c r="B1615" s="124" t="n"/>
      <c r="C1615" s="127" t="n"/>
      <c r="D1615" s="127" t="n"/>
      <c r="E1615" s="132" t="n"/>
      <c r="F1615" s="130" t="n"/>
    </row>
    <row r="1616" ht="15" customHeight="1" s="75">
      <c r="A1616" s="124" t="n"/>
      <c r="B1616" s="124" t="n"/>
      <c r="C1616" s="127" t="n"/>
      <c r="D1616" s="127" t="n"/>
      <c r="E1616" s="132" t="n"/>
      <c r="F1616" s="130" t="n"/>
    </row>
    <row r="1617" ht="15" customHeight="1" s="75">
      <c r="A1617" s="124" t="n"/>
      <c r="B1617" s="124" t="n"/>
      <c r="C1617" s="127" t="n"/>
      <c r="D1617" s="127" t="n"/>
      <c r="E1617" s="132" t="n"/>
      <c r="F1617" s="130" t="n"/>
    </row>
    <row r="1618" ht="15" customHeight="1" s="75">
      <c r="A1618" s="124" t="n"/>
      <c r="B1618" s="124" t="n"/>
      <c r="C1618" s="127" t="n"/>
      <c r="D1618" s="127" t="n"/>
      <c r="E1618" s="132" t="n"/>
      <c r="F1618" s="130" t="n"/>
    </row>
    <row r="1619" ht="15" customHeight="1" s="75">
      <c r="A1619" s="124" t="n"/>
      <c r="B1619" s="124" t="n"/>
      <c r="C1619" s="127" t="n"/>
      <c r="D1619" s="127" t="n"/>
      <c r="E1619" s="132" t="n"/>
      <c r="F1619" s="130" t="n"/>
    </row>
    <row r="1620" ht="15" customHeight="1" s="75">
      <c r="A1620" s="124" t="n"/>
      <c r="B1620" s="124" t="n"/>
      <c r="C1620" s="127" t="n"/>
      <c r="D1620" s="127" t="n"/>
      <c r="E1620" s="132" t="n"/>
      <c r="F1620" s="130" t="n"/>
    </row>
    <row r="1621" ht="15" customHeight="1" s="75">
      <c r="A1621" s="124" t="n"/>
      <c r="B1621" s="124" t="n"/>
      <c r="C1621" s="127" t="n"/>
      <c r="D1621" s="127" t="n"/>
      <c r="E1621" s="132" t="n"/>
      <c r="F1621" s="130" t="n"/>
    </row>
    <row r="1622" ht="15" customHeight="1" s="75">
      <c r="A1622" s="124" t="n"/>
      <c r="B1622" s="124" t="n"/>
      <c r="C1622" s="127" t="n"/>
      <c r="D1622" s="127" t="n"/>
      <c r="E1622" s="132" t="n"/>
      <c r="F1622" s="130" t="n"/>
    </row>
    <row r="1623" ht="15" customHeight="1" s="75">
      <c r="A1623" s="124" t="n"/>
      <c r="B1623" s="124" t="n"/>
      <c r="C1623" s="127" t="n"/>
      <c r="D1623" s="127" t="n"/>
      <c r="E1623" s="132" t="n"/>
      <c r="F1623" s="130" t="n"/>
    </row>
    <row r="1624" ht="15" customHeight="1" s="75">
      <c r="A1624" s="124" t="n"/>
      <c r="B1624" s="124" t="n"/>
      <c r="C1624" s="127" t="n"/>
      <c r="D1624" s="127" t="n"/>
      <c r="E1624" s="132" t="n"/>
      <c r="F1624" s="130" t="n"/>
    </row>
    <row r="1625" ht="15" customHeight="1" s="75">
      <c r="A1625" s="124" t="n"/>
      <c r="B1625" s="124" t="n"/>
      <c r="C1625" s="127" t="n"/>
      <c r="D1625" s="127" t="n"/>
      <c r="E1625" s="132" t="n"/>
      <c r="F1625" s="130" t="n"/>
    </row>
    <row r="1626" ht="15" customHeight="1" s="75">
      <c r="A1626" s="124" t="n"/>
      <c r="B1626" s="124" t="n"/>
      <c r="C1626" s="127" t="n"/>
      <c r="D1626" s="127" t="n"/>
      <c r="E1626" s="132" t="n"/>
      <c r="F1626" s="130" t="n"/>
    </row>
    <row r="1627" ht="15" customHeight="1" s="75">
      <c r="A1627" s="124" t="n"/>
      <c r="B1627" s="124" t="n"/>
      <c r="C1627" s="127" t="n"/>
      <c r="D1627" s="127" t="n"/>
      <c r="E1627" s="132" t="n"/>
      <c r="F1627" s="130" t="n"/>
    </row>
    <row r="1628" ht="15" customHeight="1" s="75">
      <c r="A1628" s="124" t="n"/>
      <c r="B1628" s="124" t="n"/>
      <c r="C1628" s="127" t="n"/>
      <c r="D1628" s="127" t="n"/>
      <c r="E1628" s="132" t="n"/>
      <c r="F1628" s="130" t="n"/>
    </row>
    <row r="1629" ht="15" customHeight="1" s="75">
      <c r="A1629" s="124" t="n"/>
      <c r="B1629" s="124" t="n"/>
      <c r="C1629" s="127" t="n"/>
      <c r="D1629" s="127" t="n"/>
      <c r="E1629" s="132" t="n"/>
      <c r="F1629" s="130" t="n"/>
    </row>
    <row r="1630" ht="15" customHeight="1" s="75">
      <c r="A1630" s="124" t="n"/>
      <c r="B1630" s="124" t="n"/>
      <c r="C1630" s="127" t="n"/>
      <c r="D1630" s="127" t="n"/>
      <c r="E1630" s="132" t="n"/>
      <c r="F1630" s="130" t="n"/>
    </row>
    <row r="1631" ht="15" customHeight="1" s="75">
      <c r="A1631" s="124" t="n"/>
      <c r="B1631" s="124" t="n"/>
      <c r="C1631" s="127" t="n"/>
      <c r="D1631" s="127" t="n"/>
      <c r="E1631" s="132" t="n"/>
      <c r="F1631" s="130" t="n"/>
    </row>
    <row r="1632" ht="15" customHeight="1" s="75">
      <c r="A1632" s="124" t="n"/>
      <c r="B1632" s="124" t="n"/>
      <c r="C1632" s="127" t="n"/>
      <c r="D1632" s="127" t="n"/>
      <c r="E1632" s="132" t="n"/>
      <c r="F1632" s="130" t="n"/>
    </row>
    <row r="1633" ht="15" customHeight="1" s="75">
      <c r="A1633" s="124" t="n"/>
      <c r="B1633" s="124" t="n"/>
      <c r="C1633" s="127" t="n"/>
      <c r="D1633" s="127" t="n"/>
      <c r="E1633" s="132" t="n"/>
      <c r="F1633" s="130" t="n"/>
    </row>
    <row r="1634" ht="15" customHeight="1" s="75">
      <c r="A1634" s="124" t="n"/>
      <c r="B1634" s="124" t="n"/>
      <c r="C1634" s="127" t="n"/>
      <c r="D1634" s="127" t="n"/>
      <c r="E1634" s="132" t="n"/>
      <c r="F1634" s="130" t="n"/>
    </row>
    <row r="1635" ht="15" customHeight="1" s="75">
      <c r="A1635" s="124" t="n"/>
      <c r="B1635" s="124" t="n"/>
      <c r="C1635" s="127" t="n"/>
      <c r="D1635" s="127" t="n"/>
      <c r="E1635" s="132" t="n"/>
      <c r="F1635" s="130" t="n"/>
    </row>
    <row r="1636" ht="15" customHeight="1" s="75">
      <c r="A1636" s="124" t="n"/>
      <c r="B1636" s="124" t="n"/>
      <c r="C1636" s="127" t="n"/>
      <c r="D1636" s="127" t="n"/>
      <c r="E1636" s="132" t="n"/>
      <c r="F1636" s="130" t="n"/>
    </row>
    <row r="1637" ht="15" customHeight="1" s="75">
      <c r="A1637" s="124" t="n"/>
      <c r="B1637" s="124" t="n"/>
      <c r="C1637" s="127" t="n"/>
      <c r="D1637" s="127" t="n"/>
      <c r="E1637" s="132" t="n"/>
      <c r="F1637" s="130" t="n"/>
    </row>
    <row r="1638" ht="15" customHeight="1" s="75">
      <c r="A1638" s="124" t="n"/>
      <c r="B1638" s="124" t="n"/>
      <c r="C1638" s="127" t="n"/>
      <c r="D1638" s="127" t="n"/>
      <c r="E1638" s="132" t="n"/>
      <c r="F1638" s="130" t="n"/>
    </row>
    <row r="1639" ht="15" customHeight="1" s="75">
      <c r="A1639" s="124" t="n"/>
      <c r="B1639" s="124" t="n"/>
      <c r="C1639" s="127" t="n"/>
      <c r="D1639" s="127" t="n"/>
      <c r="E1639" s="132" t="n"/>
      <c r="F1639" s="130" t="n"/>
    </row>
    <row r="1640" ht="15" customHeight="1" s="75">
      <c r="A1640" s="124" t="n"/>
      <c r="B1640" s="124" t="n"/>
      <c r="C1640" s="127" t="n"/>
      <c r="D1640" s="127" t="n"/>
      <c r="E1640" s="132" t="n"/>
      <c r="F1640" s="130" t="n"/>
    </row>
    <row r="1641" ht="15" customHeight="1" s="75">
      <c r="A1641" s="124" t="n"/>
      <c r="B1641" s="124" t="n"/>
      <c r="C1641" s="127" t="n"/>
      <c r="D1641" s="127" t="n"/>
      <c r="E1641" s="132" t="n"/>
      <c r="F1641" s="130" t="n"/>
    </row>
    <row r="1642" ht="15" customHeight="1" s="75">
      <c r="A1642" s="124" t="n"/>
      <c r="B1642" s="124" t="n"/>
      <c r="C1642" s="127" t="n"/>
      <c r="D1642" s="127" t="n"/>
      <c r="E1642" s="132" t="n"/>
      <c r="F1642" s="130" t="n"/>
    </row>
    <row r="1643" ht="15" customHeight="1" s="75">
      <c r="A1643" s="124" t="n"/>
      <c r="B1643" s="124" t="n"/>
      <c r="C1643" s="127" t="n"/>
      <c r="D1643" s="127" t="n"/>
      <c r="E1643" s="132" t="n"/>
      <c r="F1643" s="130" t="n"/>
    </row>
    <row r="1644" ht="15" customHeight="1" s="75">
      <c r="A1644" s="124" t="n"/>
      <c r="B1644" s="124" t="n"/>
      <c r="C1644" s="127" t="n"/>
      <c r="D1644" s="127" t="n"/>
      <c r="E1644" s="132" t="n"/>
      <c r="F1644" s="130" t="n"/>
    </row>
    <row r="1645" ht="15" customHeight="1" s="75">
      <c r="A1645" s="124" t="n"/>
      <c r="B1645" s="124" t="n"/>
      <c r="C1645" s="127" t="n"/>
      <c r="D1645" s="127" t="n"/>
      <c r="E1645" s="132" t="n"/>
      <c r="F1645" s="130" t="n"/>
    </row>
    <row r="1646" ht="15" customHeight="1" s="75">
      <c r="A1646" s="124" t="n"/>
      <c r="B1646" s="124" t="n"/>
      <c r="C1646" s="127" t="n"/>
      <c r="D1646" s="127" t="n"/>
      <c r="E1646" s="132" t="n"/>
      <c r="F1646" s="130" t="n"/>
    </row>
    <row r="1647" ht="15" customHeight="1" s="75">
      <c r="A1647" s="124" t="n"/>
      <c r="B1647" s="124" t="n"/>
      <c r="C1647" s="127" t="n"/>
      <c r="D1647" s="127" t="n"/>
      <c r="E1647" s="132" t="n"/>
      <c r="F1647" s="130" t="n"/>
    </row>
    <row r="1648" ht="15" customHeight="1" s="75">
      <c r="A1648" s="124" t="n"/>
      <c r="B1648" s="124" t="n"/>
      <c r="C1648" s="127" t="n"/>
      <c r="D1648" s="127" t="n"/>
      <c r="E1648" s="132" t="n"/>
      <c r="F1648" s="130" t="n"/>
    </row>
    <row r="1649" ht="15" customHeight="1" s="75">
      <c r="A1649" s="124" t="n"/>
      <c r="B1649" s="124" t="n"/>
      <c r="C1649" s="127" t="n"/>
      <c r="D1649" s="127" t="n"/>
      <c r="E1649" s="132" t="n"/>
      <c r="F1649" s="130" t="n"/>
    </row>
    <row r="1650" ht="15" customHeight="1" s="75">
      <c r="A1650" s="124" t="n"/>
      <c r="B1650" s="124" t="n"/>
      <c r="C1650" s="127" t="n"/>
      <c r="D1650" s="127" t="n"/>
      <c r="E1650" s="132" t="n"/>
      <c r="F1650" s="130" t="n"/>
    </row>
    <row r="1651" ht="15" customHeight="1" s="75">
      <c r="A1651" s="124" t="n"/>
      <c r="B1651" s="124" t="n"/>
      <c r="C1651" s="127" t="n"/>
      <c r="D1651" s="127" t="n"/>
      <c r="E1651" s="132" t="n"/>
      <c r="F1651" s="130" t="n"/>
    </row>
    <row r="1652" ht="15" customHeight="1" s="75">
      <c r="A1652" s="124" t="n"/>
      <c r="B1652" s="124" t="n"/>
      <c r="C1652" s="127" t="n"/>
      <c r="D1652" s="127" t="n"/>
      <c r="E1652" s="132" t="n"/>
      <c r="F1652" s="130" t="n"/>
    </row>
    <row r="1653" ht="15" customHeight="1" s="75">
      <c r="A1653" s="124" t="n"/>
      <c r="B1653" s="124" t="n"/>
      <c r="C1653" s="127" t="n"/>
      <c r="D1653" s="127" t="n"/>
      <c r="E1653" s="132" t="n"/>
      <c r="F1653" s="130" t="n"/>
    </row>
    <row r="1654" ht="15" customHeight="1" s="75">
      <c r="A1654" s="124" t="n"/>
      <c r="B1654" s="124" t="n"/>
      <c r="C1654" s="127" t="n"/>
      <c r="D1654" s="127" t="n"/>
      <c r="E1654" s="132" t="n"/>
      <c r="F1654" s="130" t="n"/>
    </row>
    <row r="1655" ht="15" customHeight="1" s="75">
      <c r="A1655" s="124" t="n"/>
      <c r="B1655" s="124" t="n"/>
      <c r="C1655" s="127" t="n"/>
      <c r="D1655" s="127" t="n"/>
      <c r="E1655" s="132" t="n"/>
      <c r="F1655" s="130" t="n"/>
    </row>
    <row r="1656" ht="15" customHeight="1" s="75">
      <c r="A1656" s="124" t="n"/>
      <c r="B1656" s="124" t="n"/>
      <c r="C1656" s="127" t="n"/>
      <c r="D1656" s="127" t="n"/>
      <c r="E1656" s="132" t="n"/>
      <c r="F1656" s="130" t="n"/>
    </row>
    <row r="1657" ht="15" customHeight="1" s="75">
      <c r="A1657" s="124" t="n"/>
      <c r="B1657" s="124" t="n"/>
      <c r="C1657" s="127" t="n"/>
      <c r="D1657" s="127" t="n"/>
      <c r="E1657" s="132" t="n"/>
      <c r="F1657" s="130" t="n"/>
    </row>
    <row r="1658" ht="15" customHeight="1" s="75">
      <c r="A1658" s="124" t="n"/>
      <c r="B1658" s="124" t="n"/>
      <c r="C1658" s="127" t="n"/>
      <c r="D1658" s="127" t="n"/>
      <c r="E1658" s="132" t="n"/>
      <c r="F1658" s="130" t="n"/>
    </row>
    <row r="1659" ht="15" customHeight="1" s="75">
      <c r="A1659" s="124" t="n"/>
      <c r="B1659" s="124" t="n"/>
      <c r="C1659" s="127" t="n"/>
      <c r="D1659" s="127" t="n"/>
      <c r="E1659" s="132" t="n"/>
      <c r="F1659" s="130" t="n"/>
    </row>
    <row r="1660" ht="15" customHeight="1" s="75">
      <c r="A1660" s="124" t="n"/>
      <c r="B1660" s="124" t="n"/>
      <c r="C1660" s="127" t="n"/>
      <c r="D1660" s="127" t="n"/>
      <c r="E1660" s="132" t="n"/>
      <c r="F1660" s="130" t="n"/>
    </row>
    <row r="1661" ht="15" customHeight="1" s="75">
      <c r="A1661" s="124" t="n"/>
      <c r="B1661" s="124" t="n"/>
      <c r="C1661" s="127" t="n"/>
      <c r="D1661" s="127" t="n"/>
      <c r="E1661" s="132" t="n"/>
      <c r="F1661" s="130" t="n"/>
    </row>
    <row r="1662" ht="15" customHeight="1" s="75">
      <c r="A1662" s="124" t="n"/>
      <c r="B1662" s="124" t="n"/>
      <c r="C1662" s="127" t="n"/>
      <c r="D1662" s="127" t="n"/>
      <c r="E1662" s="132" t="n"/>
      <c r="F1662" s="130" t="n"/>
    </row>
    <row r="1663" ht="15" customHeight="1" s="75">
      <c r="A1663" s="124" t="n"/>
      <c r="B1663" s="124" t="n"/>
      <c r="C1663" s="127" t="n"/>
      <c r="D1663" s="127" t="n"/>
      <c r="E1663" s="132" t="n"/>
      <c r="F1663" s="130" t="n"/>
    </row>
    <row r="1664" ht="15" customHeight="1" s="75">
      <c r="A1664" s="124" t="n"/>
      <c r="B1664" s="124" t="n"/>
      <c r="C1664" s="127" t="n"/>
      <c r="D1664" s="127" t="n"/>
      <c r="E1664" s="132" t="n"/>
      <c r="F1664" s="130" t="n"/>
    </row>
    <row r="1665" ht="15" customHeight="1" s="75">
      <c r="A1665" s="124" t="n"/>
      <c r="B1665" s="124" t="n"/>
      <c r="C1665" s="127" t="n"/>
      <c r="D1665" s="127" t="n"/>
      <c r="E1665" s="132" t="n"/>
      <c r="F1665" s="130" t="n"/>
    </row>
    <row r="1666" ht="15" customHeight="1" s="75">
      <c r="A1666" s="124" t="n"/>
      <c r="B1666" s="124" t="n"/>
      <c r="C1666" s="127" t="n"/>
      <c r="D1666" s="127" t="n"/>
      <c r="E1666" s="132" t="n"/>
      <c r="F1666" s="130" t="n"/>
    </row>
    <row r="1667" ht="15" customHeight="1" s="75">
      <c r="A1667" s="124" t="n"/>
      <c r="B1667" s="124" t="n"/>
      <c r="C1667" s="127" t="n"/>
      <c r="D1667" s="127" t="n"/>
      <c r="E1667" s="132" t="n"/>
      <c r="F1667" s="130" t="n"/>
    </row>
    <row r="1668" ht="15" customHeight="1" s="75">
      <c r="A1668" s="124" t="n"/>
      <c r="B1668" s="124" t="n"/>
      <c r="C1668" s="127" t="n"/>
      <c r="D1668" s="127" t="n"/>
      <c r="E1668" s="132" t="n"/>
      <c r="F1668" s="130" t="n"/>
    </row>
    <row r="1669" ht="15" customHeight="1" s="75">
      <c r="A1669" s="124" t="n"/>
      <c r="B1669" s="124" t="n"/>
      <c r="C1669" s="127" t="n"/>
      <c r="D1669" s="127" t="n"/>
      <c r="E1669" s="132" t="n"/>
      <c r="F1669" s="130" t="n"/>
    </row>
    <row r="1670" ht="15" customHeight="1" s="75">
      <c r="A1670" s="124" t="n"/>
      <c r="B1670" s="124" t="n"/>
      <c r="C1670" s="127" t="n"/>
      <c r="D1670" s="127" t="n"/>
      <c r="E1670" s="132" t="n"/>
      <c r="F1670" s="130" t="n"/>
    </row>
    <row r="1671" ht="15" customHeight="1" s="75">
      <c r="A1671" s="124" t="n"/>
      <c r="B1671" s="124" t="n"/>
      <c r="C1671" s="127" t="n"/>
      <c r="D1671" s="127" t="n"/>
      <c r="E1671" s="132" t="n"/>
      <c r="F1671" s="130" t="n"/>
    </row>
    <row r="1672" ht="15" customHeight="1" s="75">
      <c r="A1672" s="124" t="n"/>
      <c r="B1672" s="124" t="n"/>
      <c r="C1672" s="127" t="n"/>
      <c r="D1672" s="127" t="n"/>
      <c r="E1672" s="132" t="n"/>
      <c r="F1672" s="130" t="n"/>
    </row>
    <row r="1673" ht="15" customHeight="1" s="75">
      <c r="A1673" s="124" t="n"/>
      <c r="B1673" s="124" t="n"/>
      <c r="C1673" s="127" t="n"/>
      <c r="D1673" s="127" t="n"/>
      <c r="E1673" s="132" t="n"/>
      <c r="F1673" s="130" t="n"/>
    </row>
    <row r="1674" ht="15" customHeight="1" s="75">
      <c r="A1674" s="124" t="n"/>
      <c r="B1674" s="124" t="n"/>
      <c r="C1674" s="127" t="n"/>
      <c r="D1674" s="127" t="n"/>
      <c r="E1674" s="132" t="n"/>
      <c r="F1674" s="130" t="n"/>
    </row>
    <row r="1675" ht="15" customHeight="1" s="75">
      <c r="A1675" s="124" t="n"/>
      <c r="B1675" s="124" t="n"/>
      <c r="C1675" s="127" t="n"/>
      <c r="D1675" s="127" t="n"/>
      <c r="E1675" s="132" t="n"/>
      <c r="F1675" s="130" t="n"/>
    </row>
    <row r="1676" ht="15" customHeight="1" s="75">
      <c r="A1676" s="124" t="n"/>
      <c r="B1676" s="124" t="n"/>
      <c r="C1676" s="127" t="n"/>
      <c r="D1676" s="127" t="n"/>
      <c r="E1676" s="132" t="n"/>
      <c r="F1676" s="130" t="n"/>
    </row>
    <row r="1677" ht="15" customHeight="1" s="75">
      <c r="A1677" s="124" t="n"/>
      <c r="B1677" s="124" t="n"/>
      <c r="C1677" s="127" t="n"/>
      <c r="D1677" s="127" t="n"/>
      <c r="E1677" s="132" t="n"/>
      <c r="F1677" s="130" t="n"/>
    </row>
    <row r="1678" ht="15" customHeight="1" s="75">
      <c r="A1678" s="124" t="n"/>
      <c r="B1678" s="124" t="n"/>
      <c r="C1678" s="127" t="n"/>
      <c r="D1678" s="127" t="n"/>
      <c r="E1678" s="132" t="n"/>
      <c r="F1678" s="130" t="n"/>
    </row>
    <row r="1679" ht="15" customHeight="1" s="75">
      <c r="A1679" s="124" t="n"/>
      <c r="B1679" s="124" t="n"/>
      <c r="C1679" s="127" t="n"/>
      <c r="D1679" s="127" t="n"/>
      <c r="E1679" s="132" t="n"/>
      <c r="F1679" s="130" t="n"/>
    </row>
    <row r="1680" ht="15" customHeight="1" s="75">
      <c r="A1680" s="124" t="n"/>
      <c r="B1680" s="124" t="n"/>
      <c r="C1680" s="127" t="n"/>
      <c r="D1680" s="127" t="n"/>
      <c r="E1680" s="132" t="n"/>
      <c r="F1680" s="130" t="n"/>
    </row>
    <row r="1681" ht="15" customHeight="1" s="75">
      <c r="A1681" s="124" t="n"/>
      <c r="B1681" s="124" t="n"/>
      <c r="C1681" s="127" t="n"/>
      <c r="D1681" s="127" t="n"/>
      <c r="E1681" s="132" t="n"/>
      <c r="F1681" s="130" t="n"/>
    </row>
    <row r="1682" ht="15" customHeight="1" s="75">
      <c r="A1682" s="124" t="n"/>
      <c r="B1682" s="124" t="n"/>
      <c r="C1682" s="127" t="n"/>
      <c r="D1682" s="127" t="n"/>
      <c r="E1682" s="132" t="n"/>
      <c r="F1682" s="130" t="n"/>
    </row>
    <row r="1683" ht="15" customHeight="1" s="75">
      <c r="A1683" s="124" t="n"/>
      <c r="B1683" s="124" t="n"/>
      <c r="C1683" s="127" t="n"/>
      <c r="D1683" s="127" t="n"/>
      <c r="E1683" s="132" t="n"/>
      <c r="F1683" s="130" t="n"/>
    </row>
    <row r="1684" ht="15" customHeight="1" s="75">
      <c r="A1684" s="124" t="n"/>
      <c r="B1684" s="124" t="n"/>
      <c r="C1684" s="127" t="n"/>
      <c r="D1684" s="127" t="n"/>
      <c r="E1684" s="132" t="n"/>
      <c r="F1684" s="130" t="n"/>
    </row>
    <row r="1685" ht="15" customHeight="1" s="75">
      <c r="A1685" s="124" t="n"/>
      <c r="B1685" s="124" t="n"/>
      <c r="C1685" s="127" t="n"/>
      <c r="D1685" s="127" t="n"/>
      <c r="E1685" s="132" t="n"/>
      <c r="F1685" s="130" t="n"/>
    </row>
    <row r="1686" ht="15" customHeight="1" s="75">
      <c r="A1686" s="124" t="n"/>
      <c r="B1686" s="124" t="n"/>
      <c r="C1686" s="127" t="n"/>
      <c r="D1686" s="127" t="n"/>
      <c r="E1686" s="132" t="n"/>
      <c r="F1686" s="130" t="n"/>
    </row>
    <row r="1687" ht="15" customHeight="1" s="75">
      <c r="A1687" s="124" t="n"/>
      <c r="B1687" s="124" t="n"/>
      <c r="C1687" s="127" t="n"/>
      <c r="D1687" s="127" t="n"/>
      <c r="E1687" s="132" t="n"/>
      <c r="F1687" s="130" t="n"/>
    </row>
    <row r="1688" ht="15" customHeight="1" s="75">
      <c r="A1688" s="124" t="n"/>
      <c r="B1688" s="124" t="n"/>
      <c r="C1688" s="127" t="n"/>
      <c r="D1688" s="127" t="n"/>
      <c r="E1688" s="132" t="n"/>
      <c r="F1688" s="130" t="n"/>
    </row>
    <row r="1689" ht="15" customHeight="1" s="75">
      <c r="A1689" s="124" t="n"/>
      <c r="B1689" s="124" t="n"/>
      <c r="C1689" s="127" t="n"/>
      <c r="D1689" s="127" t="n"/>
      <c r="E1689" s="132" t="n"/>
      <c r="F1689" s="130" t="n"/>
    </row>
    <row r="1690" ht="15" customHeight="1" s="75">
      <c r="A1690" s="124" t="n"/>
      <c r="B1690" s="124" t="n"/>
      <c r="C1690" s="127" t="n"/>
      <c r="D1690" s="127" t="n"/>
      <c r="E1690" s="132" t="n"/>
      <c r="F1690" s="130" t="n"/>
    </row>
    <row r="1691" ht="15" customHeight="1" s="75">
      <c r="A1691" s="124" t="n"/>
      <c r="B1691" s="124" t="n"/>
      <c r="C1691" s="127" t="n"/>
      <c r="D1691" s="127" t="n"/>
      <c r="E1691" s="132" t="n"/>
      <c r="F1691" s="130" t="n"/>
    </row>
    <row r="1692" ht="15" customHeight="1" s="75">
      <c r="A1692" s="124" t="n"/>
      <c r="B1692" s="124" t="n"/>
      <c r="C1692" s="127" t="n"/>
      <c r="D1692" s="127" t="n"/>
      <c r="E1692" s="132" t="n"/>
      <c r="F1692" s="130" t="n"/>
    </row>
    <row r="1693" ht="15" customHeight="1" s="75">
      <c r="A1693" s="124" t="n"/>
      <c r="B1693" s="124" t="n"/>
      <c r="C1693" s="127" t="n"/>
      <c r="D1693" s="127" t="n"/>
      <c r="E1693" s="132" t="n"/>
      <c r="F1693" s="130" t="n"/>
    </row>
    <row r="1694" ht="15" customHeight="1" s="75">
      <c r="A1694" s="124" t="n"/>
      <c r="B1694" s="124" t="n"/>
      <c r="C1694" s="127" t="n"/>
      <c r="D1694" s="127" t="n"/>
      <c r="E1694" s="132" t="n"/>
      <c r="F1694" s="130" t="n"/>
    </row>
    <row r="1695" ht="15" customHeight="1" s="75">
      <c r="A1695" s="124" t="n"/>
      <c r="B1695" s="124" t="n"/>
      <c r="C1695" s="127" t="n"/>
      <c r="D1695" s="127" t="n"/>
      <c r="E1695" s="132" t="n"/>
      <c r="F1695" s="130" t="n"/>
    </row>
    <row r="1696" ht="15" customHeight="1" s="75">
      <c r="A1696" s="124" t="n"/>
      <c r="B1696" s="124" t="n"/>
      <c r="C1696" s="127" t="n"/>
      <c r="D1696" s="127" t="n"/>
      <c r="E1696" s="132" t="n"/>
      <c r="F1696" s="130" t="n"/>
    </row>
    <row r="1697" ht="15" customHeight="1" s="75">
      <c r="A1697" s="124" t="n"/>
      <c r="B1697" s="124" t="n"/>
      <c r="C1697" s="127" t="n"/>
      <c r="D1697" s="127" t="n"/>
      <c r="E1697" s="132" t="n"/>
      <c r="F1697" s="130" t="n"/>
    </row>
    <row r="1698" ht="15" customHeight="1" s="75">
      <c r="A1698" s="124" t="n"/>
      <c r="B1698" s="124" t="n"/>
      <c r="C1698" s="127" t="n"/>
      <c r="D1698" s="127" t="n"/>
      <c r="E1698" s="132" t="n"/>
      <c r="F1698" s="130" t="n"/>
    </row>
    <row r="1699" ht="15" customHeight="1" s="75">
      <c r="A1699" s="124" t="n"/>
      <c r="B1699" s="124" t="n"/>
      <c r="C1699" s="127" t="n"/>
      <c r="D1699" s="127" t="n"/>
      <c r="E1699" s="132" t="n"/>
      <c r="F1699" s="130" t="n"/>
    </row>
    <row r="1700" ht="15" customHeight="1" s="75">
      <c r="A1700" s="124" t="n"/>
      <c r="B1700" s="124" t="n"/>
      <c r="C1700" s="127" t="n"/>
      <c r="D1700" s="127" t="n"/>
      <c r="E1700" s="132" t="n"/>
      <c r="F1700" s="130" t="n"/>
    </row>
    <row r="1701" ht="15" customHeight="1" s="75">
      <c r="A1701" s="124" t="n"/>
      <c r="B1701" s="124" t="n"/>
      <c r="C1701" s="127" t="n"/>
      <c r="D1701" s="127" t="n"/>
      <c r="E1701" s="132" t="n"/>
      <c r="F1701" s="130" t="n"/>
    </row>
    <row r="1702" ht="15" customHeight="1" s="75">
      <c r="A1702" s="124" t="n"/>
      <c r="B1702" s="124" t="n"/>
      <c r="C1702" s="127" t="n"/>
      <c r="D1702" s="127" t="n"/>
      <c r="E1702" s="132" t="n"/>
      <c r="F1702" s="130" t="n"/>
    </row>
    <row r="1703" ht="15" customHeight="1" s="75">
      <c r="A1703" s="124" t="n"/>
      <c r="B1703" s="124" t="n"/>
      <c r="C1703" s="127" t="n"/>
      <c r="D1703" s="127" t="n"/>
      <c r="E1703" s="132" t="n"/>
      <c r="F1703" s="130" t="n"/>
    </row>
    <row r="1704" ht="15" customHeight="1" s="75">
      <c r="A1704" s="124" t="n"/>
      <c r="B1704" s="124" t="n"/>
      <c r="C1704" s="127" t="n"/>
      <c r="D1704" s="127" t="n"/>
      <c r="E1704" s="132" t="n"/>
      <c r="F1704" s="130" t="n"/>
    </row>
    <row r="1705" ht="15" customHeight="1" s="75">
      <c r="A1705" s="124" t="n"/>
      <c r="B1705" s="124" t="n"/>
      <c r="C1705" s="127" t="n"/>
      <c r="D1705" s="127" t="n"/>
      <c r="E1705" s="132" t="n"/>
      <c r="F1705" s="130" t="n"/>
    </row>
    <row r="1706" ht="15" customHeight="1" s="75">
      <c r="A1706" s="124" t="n"/>
      <c r="B1706" s="124" t="n"/>
      <c r="C1706" s="127" t="n"/>
      <c r="D1706" s="127" t="n"/>
      <c r="E1706" s="132" t="n"/>
      <c r="F1706" s="130" t="n"/>
    </row>
    <row r="1707" ht="15" customHeight="1" s="75">
      <c r="A1707" s="124" t="n"/>
      <c r="B1707" s="124" t="n"/>
      <c r="C1707" s="127" t="n"/>
      <c r="D1707" s="127" t="n"/>
      <c r="E1707" s="132" t="n"/>
      <c r="F1707" s="130" t="n"/>
    </row>
    <row r="1708" ht="15" customHeight="1" s="75">
      <c r="A1708" s="124" t="n"/>
      <c r="B1708" s="124" t="n"/>
      <c r="C1708" s="127" t="n"/>
      <c r="D1708" s="127" t="n"/>
      <c r="E1708" s="132" t="n"/>
      <c r="F1708" s="130" t="n"/>
    </row>
    <row r="1709" ht="15" customHeight="1" s="75">
      <c r="A1709" s="124" t="n"/>
      <c r="B1709" s="124" t="n"/>
      <c r="C1709" s="127" t="n"/>
      <c r="D1709" s="127" t="n"/>
      <c r="E1709" s="132" t="n"/>
      <c r="F1709" s="130" t="n"/>
    </row>
    <row r="1710" ht="15" customHeight="1" s="75">
      <c r="A1710" s="124" t="n"/>
      <c r="B1710" s="124" t="n"/>
      <c r="C1710" s="127" t="n"/>
      <c r="D1710" s="127" t="n"/>
      <c r="E1710" s="132" t="n"/>
      <c r="F1710" s="130" t="n"/>
    </row>
    <row r="1711" ht="15" customHeight="1" s="75">
      <c r="A1711" s="124" t="n"/>
      <c r="B1711" s="124" t="n"/>
      <c r="C1711" s="127" t="n"/>
      <c r="D1711" s="127" t="n"/>
      <c r="E1711" s="132" t="n"/>
      <c r="F1711" s="130" t="n"/>
    </row>
    <row r="1712" ht="15" customHeight="1" s="75">
      <c r="A1712" s="124" t="n"/>
      <c r="B1712" s="124" t="n"/>
      <c r="C1712" s="127" t="n"/>
      <c r="D1712" s="127" t="n"/>
      <c r="E1712" s="132" t="n"/>
      <c r="F1712" s="130" t="n"/>
    </row>
    <row r="1713" ht="15" customHeight="1" s="75">
      <c r="A1713" s="124" t="n"/>
      <c r="B1713" s="124" t="n"/>
      <c r="C1713" s="127" t="n"/>
      <c r="D1713" s="127" t="n"/>
      <c r="E1713" s="132" t="n"/>
      <c r="F1713" s="130" t="n"/>
    </row>
    <row r="1714" ht="15" customHeight="1" s="75">
      <c r="A1714" s="124" t="n"/>
      <c r="B1714" s="124" t="n"/>
      <c r="C1714" s="127" t="n"/>
      <c r="D1714" s="127" t="n"/>
      <c r="E1714" s="132" t="n"/>
      <c r="F1714" s="130" t="n"/>
    </row>
    <row r="1715" ht="15" customHeight="1" s="75">
      <c r="A1715" s="124" t="n"/>
      <c r="B1715" s="124" t="n"/>
      <c r="C1715" s="127" t="n"/>
      <c r="D1715" s="127" t="n"/>
      <c r="E1715" s="132" t="n"/>
      <c r="F1715" s="130" t="n"/>
    </row>
    <row r="1716" ht="15" customHeight="1" s="75">
      <c r="A1716" s="124" t="n"/>
      <c r="B1716" s="124" t="n"/>
      <c r="C1716" s="127" t="n"/>
      <c r="D1716" s="127" t="n"/>
      <c r="E1716" s="132" t="n"/>
      <c r="F1716" s="130" t="n"/>
    </row>
    <row r="1717" ht="15" customHeight="1" s="75">
      <c r="A1717" s="124" t="n"/>
      <c r="B1717" s="124" t="n"/>
      <c r="C1717" s="127" t="n"/>
      <c r="D1717" s="127" t="n"/>
      <c r="E1717" s="132" t="n"/>
      <c r="F1717" s="130" t="n"/>
    </row>
    <row r="1718" ht="15" customHeight="1" s="75">
      <c r="A1718" s="124" t="n"/>
      <c r="B1718" s="124" t="n"/>
      <c r="C1718" s="127" t="n"/>
      <c r="D1718" s="127" t="n"/>
      <c r="E1718" s="132" t="n"/>
      <c r="F1718" s="130" t="n"/>
    </row>
    <row r="1719" ht="15" customHeight="1" s="75">
      <c r="A1719" s="124" t="n"/>
      <c r="B1719" s="124" t="n"/>
      <c r="C1719" s="127" t="n"/>
      <c r="D1719" s="127" t="n"/>
      <c r="E1719" s="132" t="n"/>
      <c r="F1719" s="130" t="n"/>
    </row>
    <row r="1720" ht="15" customHeight="1" s="75">
      <c r="A1720" s="124" t="n"/>
      <c r="B1720" s="124" t="n"/>
      <c r="C1720" s="127" t="n"/>
      <c r="D1720" s="127" t="n"/>
      <c r="E1720" s="132" t="n"/>
      <c r="F1720" s="130" t="n"/>
    </row>
    <row r="1721" ht="15" customHeight="1" s="75">
      <c r="A1721" s="124" t="n"/>
      <c r="B1721" s="124" t="n"/>
      <c r="C1721" s="127" t="n"/>
      <c r="D1721" s="127" t="n"/>
      <c r="E1721" s="132" t="n"/>
      <c r="F1721" s="130" t="n"/>
    </row>
    <row r="1722" ht="15" customHeight="1" s="75">
      <c r="A1722" s="124" t="n"/>
      <c r="B1722" s="124" t="n"/>
      <c r="C1722" s="127" t="n"/>
      <c r="D1722" s="127" t="n"/>
      <c r="E1722" s="132" t="n"/>
      <c r="F1722" s="130" t="n"/>
    </row>
    <row r="1723" ht="15" customHeight="1" s="75">
      <c r="A1723" s="124" t="n"/>
      <c r="B1723" s="124" t="n"/>
      <c r="C1723" s="127" t="n"/>
      <c r="D1723" s="127" t="n"/>
      <c r="E1723" s="132" t="n"/>
      <c r="F1723" s="130" t="n"/>
    </row>
    <row r="1724" ht="15" customHeight="1" s="75">
      <c r="A1724" s="124" t="n"/>
      <c r="B1724" s="124" t="n"/>
      <c r="C1724" s="127" t="n"/>
      <c r="D1724" s="127" t="n"/>
      <c r="E1724" s="132" t="n"/>
      <c r="F1724" s="130" t="n"/>
    </row>
    <row r="1725" ht="15" customHeight="1" s="75">
      <c r="A1725" s="124" t="n"/>
      <c r="B1725" s="124" t="n"/>
      <c r="C1725" s="127" t="n"/>
      <c r="D1725" s="127" t="n"/>
      <c r="E1725" s="132" t="n"/>
      <c r="F1725" s="130" t="n"/>
    </row>
    <row r="1726" ht="15" customHeight="1" s="75">
      <c r="A1726" s="124" t="n"/>
      <c r="B1726" s="124" t="n"/>
      <c r="C1726" s="127" t="n"/>
      <c r="D1726" s="127" t="n"/>
      <c r="E1726" s="132" t="n"/>
      <c r="F1726" s="130" t="n"/>
    </row>
    <row r="1727" ht="15" customHeight="1" s="75">
      <c r="A1727" s="124" t="n"/>
      <c r="B1727" s="124" t="n"/>
      <c r="C1727" s="127" t="n"/>
      <c r="D1727" s="127" t="n"/>
      <c r="E1727" s="132" t="n"/>
      <c r="F1727" s="130" t="n"/>
    </row>
    <row r="1728" ht="15" customHeight="1" s="75">
      <c r="A1728" s="124" t="n"/>
      <c r="B1728" s="124" t="n"/>
      <c r="C1728" s="127" t="n"/>
      <c r="D1728" s="127" t="n"/>
      <c r="E1728" s="132" t="n"/>
      <c r="F1728" s="130" t="n"/>
    </row>
    <row r="1729" ht="15" customHeight="1" s="75">
      <c r="A1729" s="124" t="n"/>
      <c r="B1729" s="124" t="n"/>
      <c r="C1729" s="127" t="n"/>
      <c r="D1729" s="127" t="n"/>
      <c r="E1729" s="132" t="n"/>
      <c r="F1729" s="130" t="n"/>
    </row>
    <row r="1730" ht="15" customHeight="1" s="75">
      <c r="A1730" s="124" t="n"/>
      <c r="B1730" s="124" t="n"/>
      <c r="C1730" s="127" t="n"/>
      <c r="D1730" s="127" t="n"/>
      <c r="E1730" s="132" t="n"/>
      <c r="F1730" s="130" t="n"/>
    </row>
    <row r="1731" ht="15" customHeight="1" s="75">
      <c r="A1731" s="124" t="n"/>
      <c r="B1731" s="124" t="n"/>
      <c r="C1731" s="127" t="n"/>
      <c r="D1731" s="127" t="n"/>
      <c r="E1731" s="132" t="n"/>
      <c r="F1731" s="130" t="n"/>
    </row>
    <row r="1732" ht="15" customHeight="1" s="75">
      <c r="A1732" s="124" t="n"/>
      <c r="B1732" s="124" t="n"/>
      <c r="C1732" s="127" t="n"/>
      <c r="D1732" s="127" t="n"/>
      <c r="E1732" s="132" t="n"/>
      <c r="F1732" s="130" t="n"/>
    </row>
    <row r="1733" ht="15" customHeight="1" s="75">
      <c r="A1733" s="124" t="n"/>
      <c r="B1733" s="124" t="n"/>
      <c r="C1733" s="127" t="n"/>
      <c r="D1733" s="127" t="n"/>
      <c r="E1733" s="132" t="n"/>
      <c r="F1733" s="130" t="n"/>
    </row>
    <row r="1734" ht="15" customHeight="1" s="75">
      <c r="A1734" s="124" t="n"/>
      <c r="B1734" s="124" t="n"/>
      <c r="C1734" s="127" t="n"/>
      <c r="D1734" s="127" t="n"/>
      <c r="E1734" s="132" t="n"/>
      <c r="F1734" s="130" t="n"/>
    </row>
    <row r="1735" ht="15" customHeight="1" s="75">
      <c r="A1735" s="124" t="n"/>
      <c r="B1735" s="124" t="n"/>
      <c r="C1735" s="127" t="n"/>
      <c r="D1735" s="127" t="n"/>
      <c r="E1735" s="132" t="n"/>
      <c r="F1735" s="130" t="n"/>
    </row>
    <row r="1736" ht="15" customHeight="1" s="75">
      <c r="A1736" s="124" t="n"/>
      <c r="B1736" s="124" t="n"/>
      <c r="C1736" s="127" t="n"/>
      <c r="D1736" s="127" t="n"/>
      <c r="E1736" s="132" t="n"/>
      <c r="F1736" s="130" t="n"/>
    </row>
    <row r="1737" ht="15" customHeight="1" s="75">
      <c r="A1737" s="124" t="n"/>
      <c r="B1737" s="124" t="n"/>
      <c r="C1737" s="127" t="n"/>
      <c r="D1737" s="127" t="n"/>
      <c r="E1737" s="132" t="n"/>
      <c r="F1737" s="130" t="n"/>
    </row>
    <row r="1738" ht="15" customHeight="1" s="75">
      <c r="A1738" s="124" t="n"/>
      <c r="B1738" s="124" t="n"/>
      <c r="C1738" s="127" t="n"/>
      <c r="D1738" s="127" t="n"/>
      <c r="E1738" s="132" t="n"/>
      <c r="F1738" s="130" t="n"/>
    </row>
    <row r="1739" ht="15" customHeight="1" s="75">
      <c r="A1739" s="124" t="n"/>
      <c r="B1739" s="124" t="n"/>
      <c r="C1739" s="127" t="n"/>
      <c r="D1739" s="127" t="n"/>
      <c r="E1739" s="132" t="n"/>
      <c r="F1739" s="130" t="n"/>
    </row>
    <row r="1740" ht="15" customHeight="1" s="75">
      <c r="A1740" s="124" t="n"/>
      <c r="B1740" s="124" t="n"/>
      <c r="C1740" s="127" t="n"/>
      <c r="D1740" s="127" t="n"/>
      <c r="E1740" s="132" t="n"/>
      <c r="F1740" s="130" t="n"/>
    </row>
    <row r="1741" ht="15" customHeight="1" s="75">
      <c r="A1741" s="124" t="n"/>
      <c r="B1741" s="124" t="n"/>
      <c r="C1741" s="127" t="n"/>
      <c r="D1741" s="127" t="n"/>
      <c r="E1741" s="132" t="n"/>
      <c r="F1741" s="130" t="n"/>
    </row>
    <row r="1742" ht="15" customHeight="1" s="75">
      <c r="A1742" s="124" t="n"/>
      <c r="B1742" s="124" t="n"/>
      <c r="C1742" s="127" t="n"/>
      <c r="D1742" s="127" t="n"/>
      <c r="E1742" s="132" t="n"/>
      <c r="F1742" s="130" t="n"/>
    </row>
    <row r="1743" ht="15" customHeight="1" s="75">
      <c r="A1743" s="124" t="n"/>
      <c r="B1743" s="124" t="n"/>
      <c r="C1743" s="127" t="n"/>
      <c r="D1743" s="127" t="n"/>
      <c r="E1743" s="132" t="n"/>
      <c r="F1743" s="130" t="n"/>
    </row>
    <row r="1744" ht="15" customHeight="1" s="75">
      <c r="A1744" s="124" t="n"/>
      <c r="B1744" s="124" t="n"/>
      <c r="C1744" s="127" t="n"/>
      <c r="D1744" s="127" t="n"/>
      <c r="E1744" s="132" t="n"/>
      <c r="F1744" s="130" t="n"/>
    </row>
    <row r="1745" ht="15" customHeight="1" s="75">
      <c r="A1745" s="124" t="n"/>
      <c r="B1745" s="124" t="n"/>
      <c r="C1745" s="127" t="n"/>
      <c r="D1745" s="127" t="n"/>
      <c r="E1745" s="132" t="n"/>
      <c r="F1745" s="130" t="n"/>
    </row>
    <row r="1746" ht="15" customHeight="1" s="75">
      <c r="A1746" s="124" t="n"/>
      <c r="B1746" s="124" t="n"/>
      <c r="C1746" s="127" t="n"/>
      <c r="D1746" s="127" t="n"/>
      <c r="E1746" s="132" t="n"/>
      <c r="F1746" s="130" t="n"/>
    </row>
    <row r="1747" ht="15" customHeight="1" s="75">
      <c r="A1747" s="124" t="n"/>
      <c r="B1747" s="124" t="n"/>
      <c r="C1747" s="127" t="n"/>
      <c r="D1747" s="127" t="n"/>
      <c r="E1747" s="132" t="n"/>
      <c r="F1747" s="130" t="n"/>
    </row>
    <row r="1748" ht="15" customHeight="1" s="75">
      <c r="A1748" s="124" t="n"/>
      <c r="B1748" s="124" t="n"/>
      <c r="C1748" s="127" t="n"/>
      <c r="D1748" s="127" t="n"/>
      <c r="E1748" s="132" t="n"/>
      <c r="F1748" s="130" t="n"/>
    </row>
    <row r="1749" ht="15" customHeight="1" s="75">
      <c r="A1749" s="124" t="n"/>
      <c r="B1749" s="124" t="n"/>
      <c r="C1749" s="127" t="n"/>
      <c r="D1749" s="127" t="n"/>
      <c r="E1749" s="132" t="n"/>
      <c r="F1749" s="130" t="n"/>
    </row>
    <row r="1750" ht="15" customHeight="1" s="75">
      <c r="A1750" s="124" t="n"/>
      <c r="B1750" s="124" t="n"/>
      <c r="C1750" s="127" t="n"/>
      <c r="D1750" s="127" t="n"/>
      <c r="E1750" s="132" t="n"/>
      <c r="F1750" s="130" t="n"/>
    </row>
    <row r="1751" ht="15" customHeight="1" s="75">
      <c r="A1751" s="124" t="n"/>
      <c r="B1751" s="124" t="n"/>
      <c r="C1751" s="127" t="n"/>
      <c r="D1751" s="127" t="n"/>
      <c r="E1751" s="132" t="n"/>
      <c r="F1751" s="130" t="n"/>
    </row>
    <row r="1752" ht="15" customHeight="1" s="75">
      <c r="A1752" s="124" t="n"/>
      <c r="B1752" s="124" t="n"/>
      <c r="C1752" s="127" t="n"/>
      <c r="D1752" s="127" t="n"/>
      <c r="E1752" s="132" t="n"/>
      <c r="F1752" s="130" t="n"/>
    </row>
    <row r="1753" ht="15" customHeight="1" s="75">
      <c r="A1753" s="124" t="n"/>
      <c r="B1753" s="124" t="n"/>
      <c r="C1753" s="127" t="n"/>
      <c r="D1753" s="127" t="n"/>
      <c r="E1753" s="132" t="n"/>
      <c r="F1753" s="130" t="n"/>
    </row>
    <row r="1754" ht="15" customHeight="1" s="75">
      <c r="A1754" s="124" t="n"/>
      <c r="B1754" s="124" t="n"/>
      <c r="C1754" s="127" t="n"/>
      <c r="D1754" s="127" t="n"/>
      <c r="E1754" s="132" t="n"/>
      <c r="F1754" s="130" t="n"/>
    </row>
    <row r="1755" ht="15" customHeight="1" s="75">
      <c r="A1755" s="124" t="n"/>
      <c r="B1755" s="124" t="n"/>
      <c r="C1755" s="127" t="n"/>
      <c r="D1755" s="127" t="n"/>
      <c r="E1755" s="132" t="n"/>
      <c r="F1755" s="130" t="n"/>
    </row>
    <row r="1756" ht="15" customHeight="1" s="75">
      <c r="A1756" s="124" t="n"/>
      <c r="B1756" s="124" t="n"/>
      <c r="C1756" s="127" t="n"/>
      <c r="D1756" s="127" t="n"/>
      <c r="E1756" s="132" t="n"/>
      <c r="F1756" s="130" t="n"/>
    </row>
    <row r="1757" ht="15" customHeight="1" s="75">
      <c r="A1757" s="124" t="n"/>
      <c r="B1757" s="124" t="n"/>
      <c r="C1757" s="127" t="n"/>
      <c r="D1757" s="127" t="n"/>
      <c r="E1757" s="132" t="n"/>
      <c r="F1757" s="130" t="n"/>
    </row>
    <row r="1758" ht="15" customHeight="1" s="75">
      <c r="A1758" s="124" t="n"/>
      <c r="B1758" s="124" t="n"/>
      <c r="C1758" s="127" t="n"/>
      <c r="D1758" s="127" t="n"/>
      <c r="E1758" s="132" t="n"/>
      <c r="F1758" s="130" t="n"/>
    </row>
    <row r="1759" ht="15" customHeight="1" s="75">
      <c r="A1759" s="124" t="n"/>
      <c r="B1759" s="124" t="n"/>
      <c r="C1759" s="127" t="n"/>
      <c r="D1759" s="127" t="n"/>
      <c r="E1759" s="132" t="n"/>
      <c r="F1759" s="130" t="n"/>
    </row>
    <row r="1760" ht="15" customHeight="1" s="75">
      <c r="A1760" s="124" t="n"/>
      <c r="B1760" s="124" t="n"/>
      <c r="C1760" s="127" t="n"/>
      <c r="D1760" s="127" t="n"/>
      <c r="E1760" s="132" t="n"/>
      <c r="F1760" s="130" t="n"/>
    </row>
    <row r="1761" ht="15" customHeight="1" s="75">
      <c r="A1761" s="124" t="n"/>
      <c r="B1761" s="124" t="n"/>
      <c r="C1761" s="127" t="n"/>
      <c r="D1761" s="127" t="n"/>
      <c r="E1761" s="132" t="n"/>
      <c r="F1761" s="130" t="n"/>
    </row>
    <row r="1762" ht="15" customHeight="1" s="75">
      <c r="A1762" s="124" t="n"/>
      <c r="B1762" s="124" t="n"/>
      <c r="C1762" s="127" t="n"/>
      <c r="D1762" s="127" t="n"/>
      <c r="E1762" s="132" t="n"/>
      <c r="F1762" s="130" t="n"/>
    </row>
    <row r="1763" ht="15" customHeight="1" s="75">
      <c r="A1763" s="124" t="n"/>
      <c r="B1763" s="124" t="n"/>
      <c r="C1763" s="127" t="n"/>
      <c r="D1763" s="127" t="n"/>
      <c r="E1763" s="132" t="n"/>
      <c r="F1763" s="130" t="n"/>
    </row>
    <row r="1764" ht="15" customHeight="1" s="75">
      <c r="A1764" s="124" t="n"/>
      <c r="B1764" s="124" t="n"/>
      <c r="C1764" s="127" t="n"/>
      <c r="D1764" s="127" t="n"/>
      <c r="E1764" s="132" t="n"/>
      <c r="F1764" s="130" t="n"/>
    </row>
    <row r="1765" ht="15" customHeight="1" s="75">
      <c r="A1765" s="124" t="n"/>
      <c r="B1765" s="124" t="n"/>
      <c r="C1765" s="127" t="n"/>
      <c r="D1765" s="127" t="n"/>
      <c r="E1765" s="132" t="n"/>
      <c r="F1765" s="130" t="n"/>
    </row>
    <row r="1766" ht="15" customHeight="1" s="75">
      <c r="A1766" s="124" t="n"/>
      <c r="B1766" s="124" t="n"/>
      <c r="C1766" s="127" t="n"/>
      <c r="D1766" s="127" t="n"/>
      <c r="E1766" s="132" t="n"/>
      <c r="F1766" s="130" t="n"/>
    </row>
    <row r="1767" ht="15" customHeight="1" s="75">
      <c r="A1767" s="124" t="n"/>
      <c r="B1767" s="124" t="n"/>
      <c r="C1767" s="127" t="n"/>
      <c r="D1767" s="127" t="n"/>
      <c r="E1767" s="132" t="n"/>
      <c r="F1767" s="130" t="n"/>
    </row>
    <row r="1768" ht="15" customHeight="1" s="75">
      <c r="A1768" s="124" t="n"/>
      <c r="B1768" s="124" t="n"/>
      <c r="C1768" s="127" t="n"/>
      <c r="D1768" s="127" t="n"/>
      <c r="E1768" s="132" t="n"/>
      <c r="F1768" s="130" t="n"/>
    </row>
    <row r="1769" ht="15" customHeight="1" s="75">
      <c r="A1769" s="124" t="n"/>
      <c r="B1769" s="124" t="n"/>
      <c r="C1769" s="127" t="n"/>
      <c r="D1769" s="127" t="n"/>
      <c r="E1769" s="132" t="n"/>
      <c r="F1769" s="130" t="n"/>
    </row>
    <row r="1770" ht="15" customHeight="1" s="75">
      <c r="A1770" s="124" t="n"/>
      <c r="B1770" s="124" t="n"/>
      <c r="C1770" s="127" t="n"/>
      <c r="D1770" s="127" t="n"/>
      <c r="E1770" s="132" t="n"/>
      <c r="F1770" s="130" t="n"/>
    </row>
    <row r="1771" ht="15" customHeight="1" s="75">
      <c r="A1771" s="124" t="n"/>
      <c r="B1771" s="124" t="n"/>
      <c r="C1771" s="127" t="n"/>
      <c r="D1771" s="127" t="n"/>
      <c r="E1771" s="132" t="n"/>
      <c r="F1771" s="130" t="n"/>
    </row>
    <row r="1772" ht="15" customHeight="1" s="75">
      <c r="A1772" s="124" t="n"/>
      <c r="B1772" s="124" t="n"/>
      <c r="C1772" s="127" t="n"/>
      <c r="D1772" s="127" t="n"/>
      <c r="E1772" s="132" t="n"/>
      <c r="F1772" s="130" t="n"/>
    </row>
    <row r="1773" ht="15" customHeight="1" s="75">
      <c r="A1773" s="124" t="n"/>
      <c r="B1773" s="124" t="n"/>
      <c r="C1773" s="127" t="n"/>
      <c r="D1773" s="127" t="n"/>
      <c r="E1773" s="132" t="n"/>
      <c r="F1773" s="130" t="n"/>
    </row>
    <row r="1774" ht="15" customHeight="1" s="75">
      <c r="A1774" s="124" t="n"/>
      <c r="B1774" s="124" t="n"/>
      <c r="C1774" s="127" t="n"/>
      <c r="D1774" s="127" t="n"/>
      <c r="E1774" s="132" t="n"/>
      <c r="F1774" s="130" t="n"/>
    </row>
    <row r="1775" ht="15" customHeight="1" s="75">
      <c r="A1775" s="124" t="n"/>
      <c r="B1775" s="124" t="n"/>
      <c r="C1775" s="127" t="n"/>
      <c r="D1775" s="127" t="n"/>
      <c r="E1775" s="132" t="n"/>
      <c r="F1775" s="130" t="n"/>
    </row>
    <row r="1776" ht="15" customHeight="1" s="75">
      <c r="A1776" s="124" t="n"/>
      <c r="B1776" s="124" t="n"/>
      <c r="C1776" s="127" t="n"/>
      <c r="D1776" s="127" t="n"/>
      <c r="E1776" s="132" t="n"/>
      <c r="F1776" s="130" t="n"/>
    </row>
    <row r="1777" ht="15" customHeight="1" s="75">
      <c r="A1777" s="124" t="n"/>
      <c r="B1777" s="124" t="n"/>
      <c r="C1777" s="127" t="n"/>
      <c r="D1777" s="127" t="n"/>
      <c r="E1777" s="132" t="n"/>
      <c r="F1777" s="130" t="n"/>
    </row>
    <row r="1778" ht="15" customHeight="1" s="75">
      <c r="A1778" s="124" t="n"/>
      <c r="B1778" s="124" t="n"/>
      <c r="C1778" s="127" t="n"/>
      <c r="D1778" s="127" t="n"/>
      <c r="E1778" s="132" t="n"/>
      <c r="F1778" s="130" t="n"/>
    </row>
    <row r="1779" ht="15" customHeight="1" s="75">
      <c r="A1779" s="124" t="n"/>
      <c r="B1779" s="124" t="n"/>
      <c r="C1779" s="127" t="n"/>
      <c r="D1779" s="127" t="n"/>
      <c r="E1779" s="132" t="n"/>
      <c r="F1779" s="130" t="n"/>
    </row>
    <row r="1780" ht="15" customHeight="1" s="75">
      <c r="A1780" s="124" t="n"/>
      <c r="B1780" s="124" t="n"/>
      <c r="C1780" s="127" t="n"/>
      <c r="D1780" s="127" t="n"/>
      <c r="E1780" s="132" t="n"/>
      <c r="F1780" s="130" t="n"/>
    </row>
    <row r="1781" ht="15" customHeight="1" s="75">
      <c r="A1781" s="124" t="n"/>
      <c r="B1781" s="124" t="n"/>
      <c r="C1781" s="127" t="n"/>
      <c r="D1781" s="127" t="n"/>
      <c r="E1781" s="132" t="n"/>
      <c r="F1781" s="130" t="n"/>
    </row>
    <row r="1782" ht="15" customHeight="1" s="75">
      <c r="A1782" s="124" t="n"/>
      <c r="B1782" s="124" t="n"/>
      <c r="C1782" s="127" t="n"/>
      <c r="D1782" s="127" t="n"/>
      <c r="E1782" s="132" t="n"/>
      <c r="F1782" s="130" t="n"/>
    </row>
    <row r="1783" ht="15" customHeight="1" s="75">
      <c r="A1783" s="124" t="n"/>
      <c r="B1783" s="124" t="n"/>
      <c r="C1783" s="127" t="n"/>
      <c r="D1783" s="127" t="n"/>
      <c r="E1783" s="132" t="n"/>
      <c r="F1783" s="130" t="n"/>
    </row>
    <row r="1784" ht="15" customHeight="1" s="75">
      <c r="A1784" s="124" t="n"/>
      <c r="B1784" s="124" t="n"/>
      <c r="C1784" s="127" t="n"/>
      <c r="D1784" s="127" t="n"/>
      <c r="E1784" s="132" t="n"/>
      <c r="F1784" s="130" t="n"/>
    </row>
    <row r="1785" ht="15" customHeight="1" s="75">
      <c r="A1785" s="124" t="n"/>
      <c r="B1785" s="124" t="n"/>
      <c r="C1785" s="127" t="n"/>
      <c r="D1785" s="127" t="n"/>
      <c r="E1785" s="132" t="n"/>
      <c r="F1785" s="130" t="n"/>
    </row>
    <row r="1786" ht="15" customHeight="1" s="75">
      <c r="A1786" s="124" t="n"/>
      <c r="B1786" s="124" t="n"/>
      <c r="C1786" s="127" t="n"/>
      <c r="D1786" s="127" t="n"/>
      <c r="E1786" s="132" t="n"/>
      <c r="F1786" s="130" t="n"/>
    </row>
    <row r="1787" ht="15" customHeight="1" s="75">
      <c r="A1787" s="124" t="n"/>
      <c r="B1787" s="124" t="n"/>
      <c r="C1787" s="127" t="n"/>
      <c r="D1787" s="127" t="n"/>
      <c r="E1787" s="132" t="n"/>
      <c r="F1787" s="130" t="n"/>
    </row>
    <row r="1788" ht="15" customHeight="1" s="75">
      <c r="A1788" s="124" t="n"/>
      <c r="B1788" s="124" t="n"/>
      <c r="C1788" s="127" t="n"/>
      <c r="D1788" s="127" t="n"/>
      <c r="E1788" s="132" t="n"/>
      <c r="F1788" s="130" t="n"/>
    </row>
    <row r="1789" ht="15" customHeight="1" s="75">
      <c r="A1789" s="124" t="n"/>
      <c r="B1789" s="124" t="n"/>
      <c r="C1789" s="127" t="n"/>
      <c r="D1789" s="127" t="n"/>
      <c r="E1789" s="132" t="n"/>
      <c r="F1789" s="130" t="n"/>
    </row>
    <row r="1790" ht="15" customHeight="1" s="75">
      <c r="A1790" s="124" t="n"/>
      <c r="B1790" s="124" t="n"/>
      <c r="C1790" s="127" t="n"/>
      <c r="D1790" s="127" t="n"/>
      <c r="E1790" s="132" t="n"/>
      <c r="F1790" s="130" t="n"/>
    </row>
    <row r="1791" ht="15" customHeight="1" s="75">
      <c r="A1791" s="124" t="n"/>
      <c r="B1791" s="124" t="n"/>
      <c r="C1791" s="127" t="n"/>
      <c r="D1791" s="127" t="n"/>
      <c r="E1791" s="132" t="n"/>
      <c r="F1791" s="130" t="n"/>
    </row>
    <row r="1792" ht="15" customHeight="1" s="75">
      <c r="A1792" s="124" t="n"/>
      <c r="B1792" s="124" t="n"/>
      <c r="C1792" s="127" t="n"/>
      <c r="D1792" s="127" t="n"/>
      <c r="E1792" s="132" t="n"/>
      <c r="F1792" s="130" t="n"/>
    </row>
    <row r="1793" ht="15" customHeight="1" s="75">
      <c r="A1793" s="124" t="n"/>
      <c r="B1793" s="124" t="n"/>
      <c r="C1793" s="127" t="n"/>
      <c r="D1793" s="127" t="n"/>
      <c r="E1793" s="132" t="n"/>
      <c r="F1793" s="130" t="n"/>
    </row>
    <row r="1794" ht="15" customHeight="1" s="75">
      <c r="A1794" s="124" t="n"/>
      <c r="B1794" s="124" t="n"/>
      <c r="C1794" s="127" t="n"/>
      <c r="D1794" s="127" t="n"/>
      <c r="E1794" s="132" t="n"/>
      <c r="F1794" s="130" t="n"/>
    </row>
    <row r="1795" ht="15" customHeight="1" s="75">
      <c r="A1795" s="124" t="n"/>
      <c r="B1795" s="124" t="n"/>
      <c r="C1795" s="127" t="n"/>
      <c r="D1795" s="127" t="n"/>
      <c r="E1795" s="132" t="n"/>
      <c r="F1795" s="130" t="n"/>
    </row>
    <row r="1796" ht="15" customHeight="1" s="75">
      <c r="A1796" s="124" t="n"/>
      <c r="B1796" s="124" t="n"/>
      <c r="C1796" s="127" t="n"/>
      <c r="D1796" s="127" t="n"/>
      <c r="E1796" s="132" t="n"/>
      <c r="F1796" s="130" t="n"/>
    </row>
    <row r="1797" ht="15" customHeight="1" s="75">
      <c r="A1797" s="124" t="n"/>
      <c r="B1797" s="124" t="n"/>
      <c r="C1797" s="127" t="n"/>
      <c r="D1797" s="127" t="n"/>
      <c r="E1797" s="132" t="n"/>
      <c r="F1797" s="130" t="n"/>
    </row>
    <row r="1798" ht="15" customHeight="1" s="75">
      <c r="A1798" s="124" t="n"/>
      <c r="B1798" s="124" t="n"/>
      <c r="C1798" s="127" t="n"/>
      <c r="D1798" s="127" t="n"/>
      <c r="E1798" s="132" t="n"/>
      <c r="F1798" s="130" t="n"/>
    </row>
    <row r="1799" ht="15" customHeight="1" s="75">
      <c r="A1799" s="124" t="n"/>
      <c r="B1799" s="124" t="n"/>
      <c r="C1799" s="127" t="n"/>
      <c r="D1799" s="127" t="n"/>
      <c r="E1799" s="132" t="n"/>
      <c r="F1799" s="130" t="n"/>
    </row>
    <row r="1800" ht="15" customHeight="1" s="75">
      <c r="A1800" s="124" t="n"/>
      <c r="B1800" s="124" t="n"/>
      <c r="C1800" s="127" t="n"/>
      <c r="D1800" s="127" t="n"/>
      <c r="E1800" s="132" t="n"/>
      <c r="F1800" s="130" t="n"/>
    </row>
    <row r="1801" ht="15" customHeight="1" s="75">
      <c r="A1801" s="124" t="n"/>
      <c r="B1801" s="124" t="n"/>
      <c r="C1801" s="127" t="n"/>
      <c r="D1801" s="127" t="n"/>
      <c r="E1801" s="132" t="n"/>
      <c r="F1801" s="130" t="n"/>
    </row>
    <row r="1802" ht="15" customHeight="1" s="75">
      <c r="A1802" s="124" t="n"/>
      <c r="B1802" s="124" t="n"/>
      <c r="C1802" s="127" t="n"/>
      <c r="D1802" s="127" t="n"/>
      <c r="E1802" s="132" t="n"/>
      <c r="F1802" s="130" t="n"/>
    </row>
    <row r="1803" ht="15" customHeight="1" s="75">
      <c r="A1803" s="124" t="n"/>
      <c r="B1803" s="124" t="n"/>
      <c r="C1803" s="127" t="n"/>
      <c r="D1803" s="127" t="n"/>
      <c r="E1803" s="132" t="n"/>
      <c r="F1803" s="130" t="n"/>
    </row>
    <row r="1804" ht="15" customHeight="1" s="75">
      <c r="A1804" s="124" t="n"/>
      <c r="B1804" s="124" t="n"/>
      <c r="C1804" s="127" t="n"/>
      <c r="D1804" s="127" t="n"/>
      <c r="E1804" s="132" t="n"/>
      <c r="F1804" s="130" t="n"/>
    </row>
    <row r="1805" ht="15" customHeight="1" s="75">
      <c r="A1805" s="124" t="n"/>
      <c r="B1805" s="124" t="n"/>
      <c r="C1805" s="127" t="n"/>
      <c r="D1805" s="127" t="n"/>
      <c r="E1805" s="132" t="n"/>
      <c r="F1805" s="130" t="n"/>
    </row>
    <row r="1806" ht="15" customHeight="1" s="75">
      <c r="A1806" s="124" t="n"/>
      <c r="B1806" s="124" t="n"/>
      <c r="C1806" s="127" t="n"/>
      <c r="D1806" s="127" t="n"/>
      <c r="E1806" s="132" t="n"/>
      <c r="F1806" s="130" t="n"/>
    </row>
    <row r="1807" ht="15" customHeight="1" s="75">
      <c r="A1807" s="124" t="n"/>
      <c r="B1807" s="124" t="n"/>
      <c r="C1807" s="127" t="n"/>
      <c r="D1807" s="127" t="n"/>
      <c r="E1807" s="132" t="n"/>
      <c r="F1807" s="130" t="n"/>
    </row>
    <row r="1808" ht="15" customHeight="1" s="75">
      <c r="A1808" s="124" t="n"/>
      <c r="B1808" s="124" t="n"/>
      <c r="C1808" s="127" t="n"/>
      <c r="D1808" s="127" t="n"/>
      <c r="E1808" s="132" t="n"/>
      <c r="F1808" s="130" t="n"/>
    </row>
    <row r="1809" ht="15" customHeight="1" s="75">
      <c r="A1809" s="124" t="n"/>
      <c r="B1809" s="124" t="n"/>
      <c r="C1809" s="127" t="n"/>
      <c r="D1809" s="127" t="n"/>
      <c r="E1809" s="132" t="n"/>
      <c r="F1809" s="130" t="n"/>
    </row>
    <row r="1810" ht="15" customHeight="1" s="75">
      <c r="A1810" s="124" t="n"/>
      <c r="B1810" s="124" t="n"/>
      <c r="C1810" s="127" t="n"/>
      <c r="D1810" s="127" t="n"/>
      <c r="E1810" s="132" t="n"/>
      <c r="F1810" s="130" t="n"/>
    </row>
    <row r="1811" ht="15" customHeight="1" s="75">
      <c r="A1811" s="124" t="n"/>
      <c r="B1811" s="124" t="n"/>
      <c r="C1811" s="127" t="n"/>
      <c r="D1811" s="127" t="n"/>
      <c r="E1811" s="132" t="n"/>
      <c r="F1811" s="130" t="n"/>
    </row>
    <row r="1812" ht="15" customHeight="1" s="75">
      <c r="A1812" s="124" t="n"/>
      <c r="B1812" s="124" t="n"/>
      <c r="C1812" s="127" t="n"/>
      <c r="D1812" s="127" t="n"/>
      <c r="E1812" s="132" t="n"/>
      <c r="F1812" s="130" t="n"/>
    </row>
    <row r="1813" ht="15" customHeight="1" s="75">
      <c r="A1813" s="124" t="n"/>
      <c r="B1813" s="124" t="n"/>
      <c r="C1813" s="127" t="n"/>
      <c r="D1813" s="127" t="n"/>
      <c r="E1813" s="132" t="n"/>
      <c r="F1813" s="130" t="n"/>
    </row>
    <row r="1814" ht="15" customHeight="1" s="75">
      <c r="A1814" s="124" t="n"/>
      <c r="B1814" s="124" t="n"/>
      <c r="C1814" s="127" t="n"/>
      <c r="D1814" s="127" t="n"/>
      <c r="E1814" s="132" t="n"/>
      <c r="F1814" s="130" t="n"/>
    </row>
    <row r="1815" ht="15" customHeight="1" s="75">
      <c r="A1815" s="124" t="n"/>
      <c r="B1815" s="124" t="n"/>
      <c r="C1815" s="127" t="n"/>
      <c r="D1815" s="127" t="n"/>
      <c r="E1815" s="132" t="n"/>
      <c r="F1815" s="130" t="n"/>
    </row>
    <row r="1816" ht="15" customHeight="1" s="75">
      <c r="A1816" s="124" t="n"/>
      <c r="B1816" s="124" t="n"/>
      <c r="C1816" s="127" t="n"/>
      <c r="D1816" s="127" t="n"/>
      <c r="E1816" s="132" t="n"/>
      <c r="F1816" s="130" t="n"/>
    </row>
    <row r="1817" ht="15" customHeight="1" s="75">
      <c r="A1817" s="124" t="n"/>
      <c r="B1817" s="124" t="n"/>
      <c r="C1817" s="127" t="n"/>
      <c r="D1817" s="127" t="n"/>
      <c r="E1817" s="132" t="n"/>
      <c r="F1817" s="130" t="n"/>
    </row>
    <row r="1818" ht="15" customHeight="1" s="75">
      <c r="A1818" s="124" t="n"/>
      <c r="B1818" s="124" t="n"/>
      <c r="C1818" s="127" t="n"/>
      <c r="D1818" s="127" t="n"/>
      <c r="E1818" s="132" t="n"/>
      <c r="F1818" s="130" t="n"/>
    </row>
    <row r="1819" ht="15" customHeight="1" s="75">
      <c r="A1819" s="124" t="n"/>
      <c r="B1819" s="124" t="n"/>
      <c r="C1819" s="127" t="n"/>
      <c r="D1819" s="127" t="n"/>
      <c r="E1819" s="132" t="n"/>
      <c r="F1819" s="130" t="n"/>
    </row>
    <row r="1820" ht="15" customHeight="1" s="75">
      <c r="A1820" s="124" t="n"/>
      <c r="B1820" s="124" t="n"/>
      <c r="C1820" s="127" t="n"/>
      <c r="D1820" s="127" t="n"/>
      <c r="E1820" s="132" t="n"/>
      <c r="F1820" s="130" t="n"/>
    </row>
    <row r="1821" ht="15" customHeight="1" s="75">
      <c r="A1821" s="124" t="n"/>
      <c r="B1821" s="124" t="n"/>
      <c r="C1821" s="127" t="n"/>
      <c r="D1821" s="127" t="n"/>
      <c r="E1821" s="132" t="n"/>
      <c r="F1821" s="130" t="n"/>
    </row>
    <row r="1822" ht="15" customHeight="1" s="75">
      <c r="A1822" s="124" t="n"/>
      <c r="B1822" s="124" t="n"/>
      <c r="C1822" s="127" t="n"/>
      <c r="D1822" s="127" t="n"/>
      <c r="E1822" s="132" t="n"/>
      <c r="F1822" s="130" t="n"/>
    </row>
    <row r="1823" ht="15" customHeight="1" s="75">
      <c r="A1823" s="124" t="n"/>
      <c r="B1823" s="124" t="n"/>
      <c r="C1823" s="127" t="n"/>
      <c r="D1823" s="127" t="n"/>
      <c r="E1823" s="132" t="n"/>
      <c r="F1823" s="130" t="n"/>
    </row>
    <row r="1824" ht="15" customHeight="1" s="75">
      <c r="A1824" s="124" t="n"/>
      <c r="B1824" s="124" t="n"/>
      <c r="C1824" s="127" t="n"/>
      <c r="D1824" s="127" t="n"/>
      <c r="E1824" s="132" t="n"/>
      <c r="F1824" s="130" t="n"/>
    </row>
    <row r="1825" ht="15" customHeight="1" s="75">
      <c r="A1825" s="124" t="n"/>
      <c r="B1825" s="124" t="n"/>
      <c r="C1825" s="127" t="n"/>
      <c r="D1825" s="127" t="n"/>
      <c r="E1825" s="132" t="n"/>
      <c r="F1825" s="130" t="n"/>
    </row>
    <row r="1826" ht="15" customHeight="1" s="75">
      <c r="A1826" s="124" t="n"/>
      <c r="B1826" s="124" t="n"/>
      <c r="C1826" s="127" t="n"/>
      <c r="D1826" s="127" t="n"/>
      <c r="E1826" s="132" t="n"/>
      <c r="F1826" s="130" t="n"/>
    </row>
    <row r="1827" ht="15" customHeight="1" s="75">
      <c r="A1827" s="124" t="n"/>
      <c r="B1827" s="124" t="n"/>
      <c r="C1827" s="127" t="n"/>
      <c r="D1827" s="127" t="n"/>
      <c r="E1827" s="132" t="n"/>
      <c r="F1827" s="130" t="n"/>
    </row>
    <row r="1828" ht="15" customHeight="1" s="75">
      <c r="A1828" s="124" t="n"/>
      <c r="B1828" s="124" t="n"/>
      <c r="C1828" s="127" t="n"/>
      <c r="D1828" s="127" t="n"/>
      <c r="E1828" s="132" t="n"/>
      <c r="F1828" s="130" t="n"/>
    </row>
    <row r="1829" ht="15" customHeight="1" s="75">
      <c r="A1829" s="124" t="n"/>
      <c r="B1829" s="124" t="n"/>
      <c r="C1829" s="127" t="n"/>
      <c r="D1829" s="127" t="n"/>
      <c r="E1829" s="132" t="n"/>
      <c r="F1829" s="130" t="n"/>
    </row>
    <row r="1830" ht="15" customHeight="1" s="75">
      <c r="A1830" s="124" t="n"/>
      <c r="B1830" s="124" t="n"/>
      <c r="C1830" s="127" t="n"/>
      <c r="D1830" s="127" t="n"/>
      <c r="E1830" s="132" t="n"/>
      <c r="F1830" s="130" t="n"/>
    </row>
    <row r="1831" ht="15" customHeight="1" s="75">
      <c r="A1831" s="124" t="n"/>
      <c r="B1831" s="124" t="n"/>
      <c r="C1831" s="127" t="n"/>
      <c r="D1831" s="127" t="n"/>
      <c r="E1831" s="132" t="n"/>
      <c r="F1831" s="130" t="n"/>
    </row>
    <row r="1832" ht="15" customHeight="1" s="75">
      <c r="A1832" s="124" t="n"/>
      <c r="B1832" s="124" t="n"/>
      <c r="C1832" s="127" t="n"/>
      <c r="D1832" s="127" t="n"/>
      <c r="E1832" s="132" t="n"/>
      <c r="F1832" s="130" t="n"/>
    </row>
    <row r="1833" ht="15" customHeight="1" s="75">
      <c r="A1833" s="124" t="n"/>
      <c r="B1833" s="124" t="n"/>
      <c r="C1833" s="127" t="n"/>
      <c r="D1833" s="127" t="n"/>
      <c r="E1833" s="132" t="n"/>
      <c r="F1833" s="130" t="n"/>
    </row>
    <row r="1834" ht="15" customHeight="1" s="75">
      <c r="A1834" s="124" t="n"/>
      <c r="B1834" s="124" t="n"/>
      <c r="C1834" s="127" t="n"/>
      <c r="D1834" s="127" t="n"/>
      <c r="E1834" s="132" t="n"/>
      <c r="F1834" s="130" t="n"/>
    </row>
    <row r="1835" ht="15" customHeight="1" s="75">
      <c r="A1835" s="124" t="n"/>
      <c r="B1835" s="124" t="n"/>
      <c r="C1835" s="127" t="n"/>
      <c r="D1835" s="127" t="n"/>
      <c r="E1835" s="132" t="n"/>
      <c r="F1835" s="130" t="n"/>
    </row>
    <row r="1836" ht="15" customHeight="1" s="75">
      <c r="A1836" s="124" t="n"/>
      <c r="B1836" s="124" t="n"/>
      <c r="C1836" s="127" t="n"/>
      <c r="D1836" s="127" t="n"/>
      <c r="E1836" s="132" t="n"/>
      <c r="F1836" s="130" t="n"/>
    </row>
    <row r="1837" ht="15" customHeight="1" s="75">
      <c r="A1837" s="124" t="n"/>
      <c r="B1837" s="124" t="n"/>
      <c r="C1837" s="127" t="n"/>
      <c r="D1837" s="127" t="n"/>
      <c r="E1837" s="132" t="n"/>
      <c r="F1837" s="130" t="n"/>
    </row>
    <row r="1838" ht="15" customHeight="1" s="75">
      <c r="A1838" s="124" t="n"/>
      <c r="B1838" s="124" t="n"/>
      <c r="C1838" s="127" t="n"/>
      <c r="D1838" s="127" t="n"/>
      <c r="E1838" s="132" t="n"/>
      <c r="F1838" s="130" t="n"/>
    </row>
    <row r="1839" ht="15" customHeight="1" s="75">
      <c r="A1839" s="124" t="n"/>
      <c r="B1839" s="124" t="n"/>
      <c r="C1839" s="127" t="n"/>
      <c r="D1839" s="127" t="n"/>
      <c r="E1839" s="132" t="n"/>
      <c r="F1839" s="130" t="n"/>
    </row>
    <row r="1840" ht="15" customHeight="1" s="75">
      <c r="A1840" s="124" t="n"/>
      <c r="B1840" s="124" t="n"/>
      <c r="C1840" s="127" t="n"/>
      <c r="D1840" s="127" t="n"/>
      <c r="E1840" s="132" t="n"/>
      <c r="F1840" s="130" t="n"/>
    </row>
    <row r="1841" ht="15" customHeight="1" s="75">
      <c r="A1841" s="124" t="n"/>
      <c r="B1841" s="124" t="n"/>
      <c r="C1841" s="127" t="n"/>
      <c r="D1841" s="127" t="n"/>
      <c r="E1841" s="132" t="n"/>
      <c r="F1841" s="130" t="n"/>
    </row>
    <row r="1842" ht="15" customHeight="1" s="75">
      <c r="A1842" s="124" t="n"/>
      <c r="B1842" s="124" t="n"/>
      <c r="C1842" s="127" t="n"/>
      <c r="D1842" s="127" t="n"/>
      <c r="E1842" s="132" t="n"/>
      <c r="F1842" s="130" t="n"/>
    </row>
    <row r="1843" ht="15" customHeight="1" s="75">
      <c r="A1843" s="124" t="n"/>
      <c r="B1843" s="124" t="n"/>
      <c r="C1843" s="127" t="n"/>
      <c r="D1843" s="127" t="n"/>
      <c r="E1843" s="132" t="n"/>
      <c r="F1843" s="130" t="n"/>
    </row>
    <row r="1844" ht="15" customHeight="1" s="75">
      <c r="A1844" s="124" t="n"/>
      <c r="B1844" s="124" t="n"/>
      <c r="C1844" s="127" t="n"/>
      <c r="D1844" s="127" t="n"/>
      <c r="E1844" s="132" t="n"/>
      <c r="F1844" s="130" t="n"/>
    </row>
    <row r="1845" ht="15" customHeight="1" s="75">
      <c r="A1845" s="124" t="n"/>
      <c r="B1845" s="124" t="n"/>
      <c r="C1845" s="127" t="n"/>
      <c r="D1845" s="127" t="n"/>
      <c r="E1845" s="132" t="n"/>
      <c r="F1845" s="130" t="n"/>
    </row>
    <row r="1846" ht="15" customHeight="1" s="75">
      <c r="A1846" s="124" t="n"/>
      <c r="B1846" s="124" t="n"/>
      <c r="C1846" s="127" t="n"/>
      <c r="D1846" s="127" t="n"/>
      <c r="E1846" s="132" t="n"/>
      <c r="F1846" s="130" t="n"/>
    </row>
    <row r="1847" ht="15" customHeight="1" s="75">
      <c r="A1847" s="124" t="n"/>
      <c r="B1847" s="124" t="n"/>
      <c r="C1847" s="127" t="n"/>
      <c r="D1847" s="127" t="n"/>
      <c r="E1847" s="132" t="n"/>
      <c r="F1847" s="130" t="n"/>
    </row>
    <row r="1848" ht="15" customHeight="1" s="75">
      <c r="A1848" s="124" t="n"/>
      <c r="B1848" s="124" t="n"/>
      <c r="C1848" s="127" t="n"/>
      <c r="D1848" s="127" t="n"/>
      <c r="E1848" s="132" t="n"/>
      <c r="F1848" s="130" t="n"/>
    </row>
    <row r="1849" ht="15" customHeight="1" s="75">
      <c r="A1849" s="124" t="n"/>
      <c r="B1849" s="124" t="n"/>
      <c r="C1849" s="127" t="n"/>
      <c r="D1849" s="127" t="n"/>
      <c r="E1849" s="132" t="n"/>
      <c r="F1849" s="130" t="n"/>
    </row>
    <row r="1850" ht="15" customHeight="1" s="75">
      <c r="A1850" s="124" t="n"/>
      <c r="B1850" s="124" t="n"/>
      <c r="C1850" s="127" t="n"/>
      <c r="D1850" s="127" t="n"/>
      <c r="E1850" s="132" t="n"/>
      <c r="F1850" s="130" t="n"/>
    </row>
    <row r="1851" ht="15" customHeight="1" s="75">
      <c r="A1851" s="124" t="n"/>
      <c r="B1851" s="124" t="n"/>
      <c r="C1851" s="127" t="n"/>
      <c r="D1851" s="127" t="n"/>
      <c r="E1851" s="132" t="n"/>
      <c r="F1851" s="130" t="n"/>
    </row>
    <row r="1852" ht="15" customHeight="1" s="75">
      <c r="A1852" s="124" t="n"/>
      <c r="B1852" s="124" t="n"/>
      <c r="C1852" s="127" t="n"/>
      <c r="D1852" s="127" t="n"/>
      <c r="E1852" s="132" t="n"/>
      <c r="F1852" s="130" t="n"/>
    </row>
    <row r="1853" ht="15" customHeight="1" s="75">
      <c r="A1853" s="124" t="n"/>
      <c r="B1853" s="124" t="n"/>
      <c r="C1853" s="127" t="n"/>
      <c r="D1853" s="127" t="n"/>
      <c r="E1853" s="132" t="n"/>
      <c r="F1853" s="130" t="n"/>
    </row>
    <row r="1854" ht="15" customHeight="1" s="75">
      <c r="A1854" s="124" t="n"/>
      <c r="B1854" s="124" t="n"/>
      <c r="C1854" s="127" t="n"/>
      <c r="D1854" s="127" t="n"/>
      <c r="E1854" s="132" t="n"/>
      <c r="F1854" s="130" t="n"/>
    </row>
    <row r="1855" ht="15" customHeight="1" s="75">
      <c r="A1855" s="124" t="n"/>
      <c r="B1855" s="124" t="n"/>
      <c r="C1855" s="127" t="n"/>
      <c r="D1855" s="127" t="n"/>
      <c r="E1855" s="132" t="n"/>
      <c r="F1855" s="130" t="n"/>
    </row>
    <row r="1856" ht="15" customHeight="1" s="75">
      <c r="A1856" s="124" t="n"/>
      <c r="B1856" s="124" t="n"/>
      <c r="C1856" s="127" t="n"/>
      <c r="D1856" s="127" t="n"/>
      <c r="E1856" s="132" t="n"/>
      <c r="F1856" s="130" t="n"/>
    </row>
    <row r="1857" ht="15" customHeight="1" s="75">
      <c r="A1857" s="124" t="n"/>
      <c r="B1857" s="124" t="n"/>
      <c r="C1857" s="127" t="n"/>
      <c r="D1857" s="127" t="n"/>
      <c r="E1857" s="132" t="n"/>
      <c r="F1857" s="130" t="n"/>
    </row>
    <row r="1858" ht="15" customHeight="1" s="75">
      <c r="A1858" s="124" t="n"/>
      <c r="B1858" s="124" t="n"/>
      <c r="C1858" s="127" t="n"/>
      <c r="D1858" s="127" t="n"/>
      <c r="E1858" s="132" t="n"/>
      <c r="F1858" s="130" t="n"/>
    </row>
    <row r="1859" ht="15" customHeight="1" s="75">
      <c r="A1859" s="124" t="n"/>
      <c r="B1859" s="124" t="n"/>
      <c r="C1859" s="127" t="n"/>
      <c r="D1859" s="127" t="n"/>
      <c r="E1859" s="132" t="n"/>
      <c r="F1859" s="130" t="n"/>
    </row>
    <row r="1860" ht="15" customHeight="1" s="75">
      <c r="A1860" s="124" t="n"/>
      <c r="B1860" s="124" t="n"/>
      <c r="C1860" s="127" t="n"/>
      <c r="D1860" s="127" t="n"/>
      <c r="E1860" s="132" t="n"/>
      <c r="F1860" s="130" t="n"/>
    </row>
    <row r="1861" ht="15" customHeight="1" s="75">
      <c r="A1861" s="124" t="n"/>
      <c r="B1861" s="124" t="n"/>
      <c r="C1861" s="127" t="n"/>
      <c r="D1861" s="127" t="n"/>
      <c r="E1861" s="132" t="n"/>
      <c r="F1861" s="130" t="n"/>
    </row>
    <row r="1862" ht="15" customHeight="1" s="75">
      <c r="A1862" s="124" t="n"/>
      <c r="B1862" s="124" t="n"/>
      <c r="C1862" s="127" t="n"/>
      <c r="D1862" s="127" t="n"/>
      <c r="E1862" s="132" t="n"/>
      <c r="F1862" s="130" t="n"/>
    </row>
    <row r="1863" ht="15" customHeight="1" s="75">
      <c r="A1863" s="124" t="n"/>
      <c r="B1863" s="124" t="n"/>
      <c r="C1863" s="127" t="n"/>
      <c r="D1863" s="127" t="n"/>
      <c r="E1863" s="132" t="n"/>
      <c r="F1863" s="130" t="n"/>
    </row>
    <row r="1864" ht="15" customHeight="1" s="75">
      <c r="A1864" s="124" t="n"/>
      <c r="B1864" s="124" t="n"/>
      <c r="C1864" s="127" t="n"/>
      <c r="D1864" s="127" t="n"/>
      <c r="E1864" s="132" t="n"/>
      <c r="F1864" s="130" t="n"/>
    </row>
    <row r="1865" ht="15" customHeight="1" s="75">
      <c r="A1865" s="124" t="n"/>
      <c r="B1865" s="124" t="n"/>
      <c r="C1865" s="127" t="n"/>
      <c r="D1865" s="127" t="n"/>
      <c r="E1865" s="132" t="n"/>
      <c r="F1865" s="130" t="n"/>
    </row>
    <row r="1866" ht="15" customHeight="1" s="75">
      <c r="A1866" s="124" t="n"/>
      <c r="B1866" s="124" t="n"/>
      <c r="C1866" s="127" t="n"/>
      <c r="D1866" s="127" t="n"/>
      <c r="E1866" s="132" t="n"/>
      <c r="F1866" s="130" t="n"/>
    </row>
    <row r="1867" ht="15" customHeight="1" s="75">
      <c r="A1867" s="124" t="n"/>
      <c r="B1867" s="124" t="n"/>
      <c r="C1867" s="127" t="n"/>
      <c r="D1867" s="127" t="n"/>
      <c r="E1867" s="132" t="n"/>
      <c r="F1867" s="130" t="n"/>
    </row>
    <row r="1868" ht="15" customHeight="1" s="75">
      <c r="A1868" s="124" t="n"/>
      <c r="B1868" s="124" t="n"/>
      <c r="C1868" s="127" t="n"/>
      <c r="D1868" s="127" t="n"/>
      <c r="E1868" s="132" t="n"/>
      <c r="F1868" s="130" t="n"/>
    </row>
    <row r="1869" ht="15" customHeight="1" s="75">
      <c r="A1869" s="124" t="n"/>
      <c r="B1869" s="124" t="n"/>
      <c r="C1869" s="127" t="n"/>
      <c r="D1869" s="127" t="n"/>
      <c r="E1869" s="132" t="n"/>
      <c r="F1869" s="130" t="n"/>
    </row>
    <row r="1870" ht="15" customHeight="1" s="75">
      <c r="A1870" s="124" t="n"/>
      <c r="B1870" s="124" t="n"/>
      <c r="C1870" s="127" t="n"/>
      <c r="D1870" s="127" t="n"/>
      <c r="E1870" s="132" t="n"/>
      <c r="F1870" s="130" t="n"/>
    </row>
    <row r="1871" ht="15" customHeight="1" s="75">
      <c r="A1871" s="124" t="n"/>
      <c r="B1871" s="124" t="n"/>
      <c r="C1871" s="127" t="n"/>
      <c r="D1871" s="127" t="n"/>
      <c r="E1871" s="132" t="n"/>
      <c r="F1871" s="130" t="n"/>
    </row>
    <row r="1872" ht="15" customHeight="1" s="75">
      <c r="A1872" s="124" t="n"/>
      <c r="B1872" s="124" t="n"/>
      <c r="C1872" s="127" t="n"/>
      <c r="D1872" s="127" t="n"/>
      <c r="E1872" s="132" t="n"/>
      <c r="F1872" s="130" t="n"/>
    </row>
    <row r="1873" ht="15" customHeight="1" s="75">
      <c r="A1873" s="124" t="n"/>
      <c r="B1873" s="124" t="n"/>
      <c r="C1873" s="127" t="n"/>
      <c r="D1873" s="127" t="n"/>
      <c r="E1873" s="132" t="n"/>
      <c r="F1873" s="130" t="n"/>
    </row>
    <row r="1874" ht="15" customHeight="1" s="75">
      <c r="A1874" s="124" t="n"/>
      <c r="B1874" s="124" t="n"/>
      <c r="C1874" s="127" t="n"/>
      <c r="D1874" s="127" t="n"/>
      <c r="E1874" s="132" t="n"/>
      <c r="F1874" s="130" t="n"/>
    </row>
    <row r="1875" ht="15" customHeight="1" s="75">
      <c r="A1875" s="124" t="n"/>
      <c r="B1875" s="124" t="n"/>
      <c r="C1875" s="127" t="n"/>
      <c r="D1875" s="127" t="n"/>
      <c r="E1875" s="132" t="n"/>
      <c r="F1875" s="130" t="n"/>
    </row>
    <row r="1876" ht="15" customHeight="1" s="75">
      <c r="A1876" s="124" t="n"/>
      <c r="B1876" s="124" t="n"/>
      <c r="C1876" s="127" t="n"/>
      <c r="D1876" s="127" t="n"/>
      <c r="E1876" s="132" t="n"/>
      <c r="F1876" s="130" t="n"/>
    </row>
    <row r="1877" ht="15" customHeight="1" s="75">
      <c r="A1877" s="124" t="n"/>
      <c r="B1877" s="124" t="n"/>
      <c r="C1877" s="127" t="n"/>
      <c r="D1877" s="127" t="n"/>
      <c r="E1877" s="132" t="n"/>
      <c r="F1877" s="130" t="n"/>
    </row>
    <row r="1878" ht="15" customHeight="1" s="75">
      <c r="A1878" s="124" t="n"/>
      <c r="B1878" s="124" t="n"/>
      <c r="C1878" s="127" t="n"/>
      <c r="D1878" s="127" t="n"/>
      <c r="E1878" s="132" t="n"/>
      <c r="F1878" s="130" t="n"/>
    </row>
    <row r="1879" ht="15" customHeight="1" s="75">
      <c r="A1879" s="124" t="n"/>
      <c r="B1879" s="124" t="n"/>
      <c r="C1879" s="127" t="n"/>
      <c r="D1879" s="127" t="n"/>
      <c r="E1879" s="132" t="n"/>
      <c r="F1879" s="130" t="n"/>
    </row>
    <row r="1880" ht="15" customHeight="1" s="75">
      <c r="A1880" s="124" t="n"/>
      <c r="B1880" s="124" t="n"/>
      <c r="C1880" s="127" t="n"/>
      <c r="D1880" s="127" t="n"/>
      <c r="E1880" s="132" t="n"/>
      <c r="F1880" s="130" t="n"/>
    </row>
    <row r="1881" ht="15" customHeight="1" s="75">
      <c r="A1881" s="124" t="n"/>
      <c r="B1881" s="124" t="n"/>
      <c r="C1881" s="127" t="n"/>
      <c r="D1881" s="127" t="n"/>
      <c r="E1881" s="132" t="n"/>
      <c r="F1881" s="130" t="n"/>
    </row>
    <row r="1882" ht="15" customHeight="1" s="75">
      <c r="A1882" s="124" t="n"/>
      <c r="B1882" s="124" t="n"/>
      <c r="C1882" s="127" t="n"/>
      <c r="D1882" s="127" t="n"/>
      <c r="E1882" s="132" t="n"/>
      <c r="F1882" s="130" t="n"/>
    </row>
    <row r="1883" ht="15" customHeight="1" s="75">
      <c r="A1883" s="124" t="n"/>
      <c r="B1883" s="124" t="n"/>
      <c r="C1883" s="127" t="n"/>
      <c r="D1883" s="127" t="n"/>
      <c r="E1883" s="132" t="n"/>
      <c r="F1883" s="130" t="n"/>
    </row>
    <row r="1884" ht="15" customHeight="1" s="75">
      <c r="A1884" s="124" t="n"/>
      <c r="B1884" s="124" t="n"/>
      <c r="C1884" s="127" t="n"/>
      <c r="D1884" s="127" t="n"/>
      <c r="E1884" s="132" t="n"/>
      <c r="F1884" s="130" t="n"/>
    </row>
    <row r="1885" ht="15" customHeight="1" s="75">
      <c r="A1885" s="124" t="n"/>
      <c r="B1885" s="124" t="n"/>
      <c r="C1885" s="127" t="n"/>
      <c r="D1885" s="127" t="n"/>
      <c r="E1885" s="132" t="n"/>
      <c r="F1885" s="130" t="n"/>
    </row>
    <row r="1886" ht="15" customHeight="1" s="75">
      <c r="A1886" s="124" t="n"/>
      <c r="B1886" s="124" t="n"/>
      <c r="C1886" s="127" t="n"/>
      <c r="D1886" s="127" t="n"/>
      <c r="E1886" s="132" t="n"/>
      <c r="F1886" s="130" t="n"/>
    </row>
    <row r="1887" ht="15" customHeight="1" s="75">
      <c r="A1887" s="124" t="n"/>
      <c r="B1887" s="124" t="n"/>
      <c r="C1887" s="127" t="n"/>
      <c r="D1887" s="127" t="n"/>
      <c r="E1887" s="132" t="n"/>
      <c r="F1887" s="130" t="n"/>
    </row>
    <row r="1888" ht="15" customHeight="1" s="75">
      <c r="A1888" s="124" t="n"/>
      <c r="B1888" s="124" t="n"/>
      <c r="C1888" s="127" t="n"/>
      <c r="D1888" s="127" t="n"/>
      <c r="E1888" s="132" t="n"/>
      <c r="F1888" s="130" t="n"/>
    </row>
    <row r="1889" ht="15" customHeight="1" s="75">
      <c r="A1889" s="124" t="n"/>
      <c r="B1889" s="124" t="n"/>
      <c r="C1889" s="127" t="n"/>
      <c r="D1889" s="127" t="n"/>
      <c r="E1889" s="132" t="n"/>
      <c r="F1889" s="130" t="n"/>
    </row>
    <row r="1890" ht="15" customHeight="1" s="75">
      <c r="A1890" s="124" t="n"/>
      <c r="B1890" s="124" t="n"/>
      <c r="C1890" s="127" t="n"/>
      <c r="D1890" s="127" t="n"/>
      <c r="E1890" s="132" t="n"/>
      <c r="F1890" s="130" t="n"/>
    </row>
    <row r="1891" ht="15" customHeight="1" s="75">
      <c r="A1891" s="124" t="n"/>
      <c r="B1891" s="124" t="n"/>
      <c r="C1891" s="127" t="n"/>
      <c r="D1891" s="127" t="n"/>
      <c r="E1891" s="132" t="n"/>
      <c r="F1891" s="130" t="n"/>
    </row>
    <row r="1892" ht="15" customHeight="1" s="75">
      <c r="A1892" s="124" t="n"/>
      <c r="B1892" s="124" t="n"/>
      <c r="C1892" s="127" t="n"/>
      <c r="D1892" s="127" t="n"/>
      <c r="E1892" s="132" t="n"/>
      <c r="F1892" s="130" t="n"/>
    </row>
    <row r="1893" ht="15" customHeight="1" s="75">
      <c r="A1893" s="124" t="n"/>
      <c r="B1893" s="124" t="n"/>
      <c r="C1893" s="127" t="n"/>
      <c r="D1893" s="127" t="n"/>
      <c r="E1893" s="132" t="n"/>
      <c r="F1893" s="130" t="n"/>
    </row>
    <row r="1894" ht="15" customHeight="1" s="75">
      <c r="A1894" s="124" t="n"/>
      <c r="B1894" s="124" t="n"/>
      <c r="C1894" s="127" t="n"/>
      <c r="D1894" s="127" t="n"/>
      <c r="E1894" s="132" t="n"/>
      <c r="F1894" s="130" t="n"/>
    </row>
    <row r="1895" ht="15" customHeight="1" s="75">
      <c r="A1895" s="124" t="n"/>
      <c r="B1895" s="124" t="n"/>
      <c r="C1895" s="127" t="n"/>
      <c r="D1895" s="127" t="n"/>
      <c r="E1895" s="132" t="n"/>
      <c r="F1895" s="130" t="n"/>
    </row>
    <row r="1896" ht="15" customHeight="1" s="75">
      <c r="A1896" s="124" t="n"/>
      <c r="B1896" s="124" t="n"/>
      <c r="C1896" s="127" t="n"/>
      <c r="D1896" s="127" t="n"/>
      <c r="E1896" s="132" t="n"/>
      <c r="F1896" s="130" t="n"/>
    </row>
    <row r="1897" ht="15" customHeight="1" s="75">
      <c r="A1897" s="124" t="n"/>
      <c r="B1897" s="124" t="n"/>
      <c r="C1897" s="127" t="n"/>
      <c r="D1897" s="127" t="n"/>
      <c r="E1897" s="132" t="n"/>
      <c r="F1897" s="130" t="n"/>
    </row>
    <row r="1898" ht="15" customHeight="1" s="75">
      <c r="A1898" s="124" t="n"/>
      <c r="B1898" s="124" t="n"/>
      <c r="C1898" s="127" t="n"/>
      <c r="D1898" s="127" t="n"/>
      <c r="E1898" s="132" t="n"/>
      <c r="F1898" s="130" t="n"/>
    </row>
    <row r="1899" ht="15" customHeight="1" s="75">
      <c r="A1899" s="124" t="n"/>
      <c r="B1899" s="124" t="n"/>
      <c r="C1899" s="127" t="n"/>
      <c r="D1899" s="127" t="n"/>
      <c r="E1899" s="132" t="n"/>
      <c r="F1899" s="130" t="n"/>
    </row>
    <row r="1900" ht="15" customHeight="1" s="75">
      <c r="A1900" s="124" t="n"/>
      <c r="B1900" s="124" t="n"/>
      <c r="C1900" s="127" t="n"/>
      <c r="D1900" s="127" t="n"/>
      <c r="E1900" s="132" t="n"/>
      <c r="F1900" s="130" t="n"/>
    </row>
    <row r="1901" ht="15" customHeight="1" s="75">
      <c r="A1901" s="124" t="n"/>
      <c r="B1901" s="124" t="n"/>
      <c r="C1901" s="127" t="n"/>
      <c r="D1901" s="127" t="n"/>
      <c r="E1901" s="132" t="n"/>
      <c r="F1901" s="130" t="n"/>
    </row>
    <row r="1902" ht="15" customHeight="1" s="75">
      <c r="A1902" s="124" t="n"/>
      <c r="B1902" s="124" t="n"/>
      <c r="C1902" s="127" t="n"/>
      <c r="D1902" s="127" t="n"/>
      <c r="E1902" s="132" t="n"/>
      <c r="F1902" s="130" t="n"/>
    </row>
    <row r="1903" ht="15" customHeight="1" s="75">
      <c r="A1903" s="124" t="n"/>
      <c r="B1903" s="124" t="n"/>
      <c r="C1903" s="127" t="n"/>
      <c r="D1903" s="127" t="n"/>
      <c r="E1903" s="132" t="n"/>
      <c r="F1903" s="130" t="n"/>
    </row>
    <row r="1904" ht="15" customHeight="1" s="75">
      <c r="A1904" s="124" t="n"/>
      <c r="B1904" s="124" t="n"/>
      <c r="C1904" s="127" t="n"/>
      <c r="D1904" s="127" t="n"/>
      <c r="E1904" s="132" t="n"/>
      <c r="F1904" s="130" t="n"/>
    </row>
    <row r="1905" ht="15" customHeight="1" s="75">
      <c r="A1905" s="124" t="n"/>
      <c r="B1905" s="124" t="n"/>
      <c r="C1905" s="127" t="n"/>
      <c r="D1905" s="127" t="n"/>
      <c r="E1905" s="132" t="n"/>
      <c r="F1905" s="130" t="n"/>
    </row>
    <row r="1906" ht="15" customHeight="1" s="75">
      <c r="A1906" s="124" t="n"/>
      <c r="B1906" s="124" t="n"/>
      <c r="C1906" s="127" t="n"/>
      <c r="D1906" s="127" t="n"/>
      <c r="E1906" s="132" t="n"/>
      <c r="F1906" s="130" t="n"/>
    </row>
    <row r="1907" ht="15" customHeight="1" s="75">
      <c r="A1907" s="124" t="n"/>
      <c r="B1907" s="124" t="n"/>
      <c r="C1907" s="127" t="n"/>
      <c r="D1907" s="127" t="n"/>
      <c r="E1907" s="132" t="n"/>
      <c r="F1907" s="130" t="n"/>
    </row>
    <row r="1908" ht="15" customHeight="1" s="75">
      <c r="A1908" s="124" t="n"/>
      <c r="B1908" s="124" t="n"/>
      <c r="C1908" s="127" t="n"/>
      <c r="D1908" s="127" t="n"/>
      <c r="E1908" s="132" t="n"/>
      <c r="F1908" s="130" t="n"/>
    </row>
    <row r="1909" ht="15" customHeight="1" s="75">
      <c r="A1909" s="124" t="n"/>
      <c r="B1909" s="124" t="n"/>
      <c r="C1909" s="127" t="n"/>
      <c r="D1909" s="127" t="n"/>
      <c r="E1909" s="132" t="n"/>
      <c r="F1909" s="130" t="n"/>
    </row>
    <row r="1910" ht="15" customHeight="1" s="75">
      <c r="A1910" s="124" t="n"/>
      <c r="B1910" s="124" t="n"/>
      <c r="C1910" s="127" t="n"/>
      <c r="D1910" s="127" t="n"/>
      <c r="E1910" s="132" t="n"/>
      <c r="F1910" s="130" t="n"/>
    </row>
    <row r="1911" ht="15" customHeight="1" s="75">
      <c r="A1911" s="124" t="n"/>
      <c r="B1911" s="124" t="n"/>
      <c r="C1911" s="127" t="n"/>
      <c r="D1911" s="127" t="n"/>
      <c r="E1911" s="132" t="n"/>
      <c r="F1911" s="130" t="n"/>
    </row>
    <row r="1912" ht="15" customHeight="1" s="75">
      <c r="A1912" s="124" t="n"/>
      <c r="B1912" s="124" t="n"/>
      <c r="C1912" s="127" t="n"/>
      <c r="D1912" s="127" t="n"/>
      <c r="E1912" s="132" t="n"/>
      <c r="F1912" s="130" t="n"/>
    </row>
    <row r="1913" ht="15" customHeight="1" s="75">
      <c r="A1913" s="124" t="n"/>
      <c r="B1913" s="124" t="n"/>
      <c r="C1913" s="127" t="n"/>
      <c r="D1913" s="127" t="n"/>
      <c r="E1913" s="132" t="n"/>
      <c r="F1913" s="130" t="n"/>
    </row>
    <row r="1914" ht="15" customHeight="1" s="75">
      <c r="A1914" s="124" t="n"/>
      <c r="B1914" s="124" t="n"/>
      <c r="C1914" s="127" t="n"/>
      <c r="D1914" s="127" t="n"/>
      <c r="E1914" s="132" t="n"/>
      <c r="F1914" s="130" t="n"/>
    </row>
    <row r="1915" ht="15" customHeight="1" s="75">
      <c r="A1915" s="124" t="n"/>
      <c r="B1915" s="124" t="n"/>
      <c r="C1915" s="127" t="n"/>
      <c r="D1915" s="127" t="n"/>
      <c r="E1915" s="132" t="n"/>
      <c r="F1915" s="130" t="n"/>
    </row>
    <row r="1916" ht="15" customHeight="1" s="75">
      <c r="A1916" s="124" t="n"/>
      <c r="B1916" s="124" t="n"/>
      <c r="C1916" s="127" t="n"/>
      <c r="D1916" s="127" t="n"/>
      <c r="E1916" s="132" t="n"/>
      <c r="F1916" s="130" t="n"/>
    </row>
    <row r="1917" ht="15" customHeight="1" s="75">
      <c r="A1917" s="124" t="n"/>
      <c r="B1917" s="124" t="n"/>
      <c r="C1917" s="127" t="n"/>
      <c r="D1917" s="127" t="n"/>
      <c r="E1917" s="132" t="n"/>
      <c r="F1917" s="130" t="n"/>
    </row>
    <row r="1918" ht="15" customHeight="1" s="75">
      <c r="A1918" s="124" t="n"/>
      <c r="B1918" s="124" t="n"/>
      <c r="C1918" s="127" t="n"/>
      <c r="D1918" s="127" t="n"/>
      <c r="E1918" s="132" t="n"/>
      <c r="F1918" s="130" t="n"/>
    </row>
    <row r="1919" ht="15" customHeight="1" s="75">
      <c r="A1919" s="124" t="n"/>
      <c r="B1919" s="124" t="n"/>
      <c r="C1919" s="127" t="n"/>
      <c r="D1919" s="127" t="n"/>
      <c r="E1919" s="132" t="n"/>
      <c r="F1919" s="130" t="n"/>
    </row>
    <row r="1920" ht="15" customHeight="1" s="75">
      <c r="A1920" s="124" t="n"/>
      <c r="B1920" s="124" t="n"/>
      <c r="C1920" s="127" t="n"/>
      <c r="D1920" s="127" t="n"/>
      <c r="E1920" s="132" t="n"/>
      <c r="F1920" s="130" t="n"/>
    </row>
    <row r="1921" ht="15" customHeight="1" s="75">
      <c r="A1921" s="124" t="n"/>
      <c r="B1921" s="124" t="n"/>
      <c r="C1921" s="127" t="n"/>
      <c r="D1921" s="127" t="n"/>
      <c r="E1921" s="132" t="n"/>
      <c r="F1921" s="130" t="n"/>
    </row>
    <row r="1922" ht="15" customHeight="1" s="75">
      <c r="A1922" s="124" t="n"/>
      <c r="B1922" s="124" t="n"/>
      <c r="C1922" s="127" t="n"/>
      <c r="D1922" s="127" t="n"/>
      <c r="E1922" s="132" t="n"/>
      <c r="F1922" s="130" t="n"/>
    </row>
    <row r="1923" ht="15" customHeight="1" s="75">
      <c r="A1923" s="124" t="n"/>
      <c r="B1923" s="124" t="n"/>
      <c r="C1923" s="127" t="n"/>
      <c r="D1923" s="127" t="n"/>
      <c r="E1923" s="132" t="n"/>
      <c r="F1923" s="130" t="n"/>
    </row>
    <row r="1924" ht="15" customHeight="1" s="75">
      <c r="A1924" s="124" t="n"/>
      <c r="B1924" s="124" t="n"/>
      <c r="C1924" s="127" t="n"/>
      <c r="D1924" s="127" t="n"/>
      <c r="E1924" s="132" t="n"/>
      <c r="F1924" s="130" t="n"/>
    </row>
    <row r="1925" ht="15" customHeight="1" s="75">
      <c r="A1925" s="124" t="n"/>
      <c r="B1925" s="124" t="n"/>
      <c r="C1925" s="127" t="n"/>
      <c r="D1925" s="127" t="n"/>
      <c r="E1925" s="132" t="n"/>
      <c r="F1925" s="130" t="n"/>
    </row>
    <row r="1926" ht="15" customHeight="1" s="75">
      <c r="A1926" s="124" t="n"/>
      <c r="B1926" s="124" t="n"/>
      <c r="C1926" s="127" t="n"/>
      <c r="D1926" s="127" t="n"/>
      <c r="E1926" s="132" t="n"/>
      <c r="F1926" s="130" t="n"/>
    </row>
    <row r="1927" ht="15" customHeight="1" s="75">
      <c r="A1927" s="124" t="n"/>
      <c r="B1927" s="124" t="n"/>
      <c r="C1927" s="127" t="n"/>
      <c r="D1927" s="127" t="n"/>
      <c r="E1927" s="132" t="n"/>
      <c r="F1927" s="130" t="n"/>
    </row>
    <row r="1928" ht="15" customHeight="1" s="75">
      <c r="A1928" s="124" t="n"/>
      <c r="B1928" s="124" t="n"/>
      <c r="C1928" s="127" t="n"/>
      <c r="D1928" s="127" t="n"/>
      <c r="E1928" s="132" t="n"/>
      <c r="F1928" s="130" t="n"/>
    </row>
    <row r="1929" ht="15" customHeight="1" s="75">
      <c r="A1929" s="124" t="n"/>
      <c r="B1929" s="124" t="n"/>
      <c r="C1929" s="127" t="n"/>
      <c r="D1929" s="127" t="n"/>
      <c r="E1929" s="132" t="n"/>
      <c r="F1929" s="130" t="n"/>
    </row>
    <row r="1930" ht="15" customHeight="1" s="75">
      <c r="A1930" s="124" t="n"/>
      <c r="B1930" s="124" t="n"/>
      <c r="C1930" s="127" t="n"/>
      <c r="D1930" s="127" t="n"/>
      <c r="E1930" s="132" t="n"/>
      <c r="F1930" s="130" t="n"/>
    </row>
    <row r="1931" ht="15" customHeight="1" s="75">
      <c r="A1931" s="124" t="n"/>
      <c r="B1931" s="124" t="n"/>
      <c r="C1931" s="127" t="n"/>
      <c r="D1931" s="127" t="n"/>
      <c r="E1931" s="132" t="n"/>
      <c r="F1931" s="130" t="n"/>
    </row>
    <row r="1932" ht="15" customHeight="1" s="75">
      <c r="A1932" s="124" t="n"/>
      <c r="B1932" s="124" t="n"/>
      <c r="C1932" s="127" t="n"/>
      <c r="D1932" s="127" t="n"/>
      <c r="E1932" s="132" t="n"/>
      <c r="F1932" s="130" t="n"/>
    </row>
    <row r="1933" ht="15" customHeight="1" s="75">
      <c r="A1933" s="124" t="n"/>
      <c r="B1933" s="124" t="n"/>
      <c r="C1933" s="127" t="n"/>
      <c r="D1933" s="127" t="n"/>
      <c r="E1933" s="132" t="n"/>
      <c r="F1933" s="130" t="n"/>
    </row>
    <row r="1934" ht="15" customHeight="1" s="75">
      <c r="A1934" s="124" t="n"/>
      <c r="B1934" s="124" t="n"/>
      <c r="C1934" s="127" t="n"/>
      <c r="D1934" s="127" t="n"/>
      <c r="E1934" s="132" t="n"/>
      <c r="F1934" s="130" t="n"/>
    </row>
    <row r="1935" ht="15" customHeight="1" s="75">
      <c r="A1935" s="124" t="n"/>
      <c r="B1935" s="124" t="n"/>
      <c r="C1935" s="127" t="n"/>
      <c r="D1935" s="127" t="n"/>
      <c r="E1935" s="132" t="n"/>
      <c r="F1935" s="130" t="n"/>
    </row>
    <row r="1936" ht="15" customHeight="1" s="75">
      <c r="A1936" s="124" t="n"/>
      <c r="B1936" s="124" t="n"/>
      <c r="C1936" s="127" t="n"/>
      <c r="D1936" s="127" t="n"/>
      <c r="E1936" s="132" t="n"/>
      <c r="F1936" s="130" t="n"/>
    </row>
    <row r="1937" ht="15" customHeight="1" s="75">
      <c r="A1937" s="124" t="n"/>
      <c r="B1937" s="124" t="n"/>
      <c r="C1937" s="127" t="n"/>
      <c r="D1937" s="127" t="n"/>
      <c r="E1937" s="132" t="n"/>
      <c r="F1937" s="130" t="n"/>
    </row>
    <row r="1938" ht="15" customHeight="1" s="75">
      <c r="A1938" s="124" t="n"/>
      <c r="B1938" s="124" t="n"/>
      <c r="C1938" s="127" t="n"/>
      <c r="D1938" s="127" t="n"/>
      <c r="E1938" s="132" t="n"/>
      <c r="F1938" s="130" t="n"/>
    </row>
    <row r="1939" ht="15" customHeight="1" s="75">
      <c r="A1939" s="124" t="n"/>
      <c r="B1939" s="124" t="n"/>
      <c r="C1939" s="127" t="n"/>
      <c r="D1939" s="127" t="n"/>
      <c r="E1939" s="132" t="n"/>
      <c r="F1939" s="130" t="n"/>
    </row>
    <row r="1940" ht="15" customHeight="1" s="75">
      <c r="A1940" s="124" t="n"/>
      <c r="B1940" s="124" t="n"/>
      <c r="C1940" s="127" t="n"/>
      <c r="D1940" s="127" t="n"/>
      <c r="E1940" s="132" t="n"/>
      <c r="F1940" s="130" t="n"/>
    </row>
    <row r="1941" ht="15" customHeight="1" s="75">
      <c r="A1941" s="124" t="n"/>
      <c r="B1941" s="124" t="n"/>
      <c r="C1941" s="127" t="n"/>
      <c r="D1941" s="127" t="n"/>
      <c r="E1941" s="132" t="n"/>
      <c r="F1941" s="130" t="n"/>
    </row>
    <row r="1942" ht="15" customHeight="1" s="75">
      <c r="A1942" s="124" t="n"/>
      <c r="B1942" s="124" t="n"/>
      <c r="C1942" s="127" t="n"/>
      <c r="D1942" s="127" t="n"/>
      <c r="E1942" s="132" t="n"/>
      <c r="F1942" s="130" t="n"/>
    </row>
    <row r="1943" ht="15" customHeight="1" s="75">
      <c r="A1943" s="124" t="n"/>
      <c r="B1943" s="124" t="n"/>
      <c r="C1943" s="127" t="n"/>
      <c r="D1943" s="127" t="n"/>
      <c r="E1943" s="132" t="n"/>
      <c r="F1943" s="130" t="n"/>
    </row>
    <row r="1944" ht="15" customHeight="1" s="75">
      <c r="A1944" s="124" t="n"/>
      <c r="B1944" s="124" t="n"/>
      <c r="C1944" s="127" t="n"/>
      <c r="D1944" s="127" t="n"/>
      <c r="E1944" s="132" t="n"/>
      <c r="F1944" s="130" t="n"/>
    </row>
    <row r="1945" ht="15" customHeight="1" s="75">
      <c r="A1945" s="124" t="n"/>
      <c r="B1945" s="124" t="n"/>
      <c r="C1945" s="127" t="n"/>
      <c r="D1945" s="127" t="n"/>
      <c r="E1945" s="132" t="n"/>
      <c r="F1945" s="130" t="n"/>
    </row>
    <row r="1946" ht="15" customHeight="1" s="75">
      <c r="A1946" s="124" t="n"/>
      <c r="B1946" s="124" t="n"/>
      <c r="C1946" s="127" t="n"/>
      <c r="D1946" s="127" t="n"/>
      <c r="E1946" s="132" t="n"/>
      <c r="F1946" s="130" t="n"/>
    </row>
    <row r="1947" ht="15" customHeight="1" s="75">
      <c r="A1947" s="124" t="n"/>
      <c r="B1947" s="124" t="n"/>
      <c r="C1947" s="127" t="n"/>
      <c r="D1947" s="127" t="n"/>
      <c r="E1947" s="132" t="n"/>
      <c r="F1947" s="130" t="n"/>
    </row>
    <row r="1948" ht="15" customHeight="1" s="75">
      <c r="A1948" s="124" t="n"/>
      <c r="B1948" s="124" t="n"/>
      <c r="C1948" s="127" t="n"/>
      <c r="D1948" s="127" t="n"/>
      <c r="E1948" s="132" t="n"/>
      <c r="F1948" s="130" t="n"/>
    </row>
    <row r="1949" ht="15" customHeight="1" s="75">
      <c r="A1949" s="124" t="n"/>
      <c r="B1949" s="124" t="n"/>
      <c r="C1949" s="127" t="n"/>
      <c r="D1949" s="127" t="n"/>
      <c r="E1949" s="132" t="n"/>
      <c r="F1949" s="130" t="n"/>
    </row>
    <row r="1950" ht="15" customHeight="1" s="75">
      <c r="A1950" s="124" t="n"/>
      <c r="B1950" s="124" t="n"/>
      <c r="C1950" s="127" t="n"/>
      <c r="D1950" s="127" t="n"/>
      <c r="E1950" s="132" t="n"/>
      <c r="F1950" s="130" t="n"/>
    </row>
    <row r="1951" ht="15" customHeight="1" s="75">
      <c r="A1951" s="124" t="n"/>
      <c r="B1951" s="124" t="n"/>
      <c r="C1951" s="127" t="n"/>
      <c r="D1951" s="127" t="n"/>
      <c r="E1951" s="132" t="n"/>
      <c r="F1951" s="130" t="n"/>
    </row>
    <row r="1952" ht="15" customHeight="1" s="75">
      <c r="A1952" s="124" t="n"/>
      <c r="B1952" s="124" t="n"/>
      <c r="C1952" s="127" t="n"/>
      <c r="D1952" s="127" t="n"/>
      <c r="E1952" s="132" t="n"/>
      <c r="F1952" s="130" t="n"/>
    </row>
    <row r="1953" ht="15" customHeight="1" s="75">
      <c r="A1953" s="124" t="n"/>
      <c r="B1953" s="124" t="n"/>
      <c r="C1953" s="127" t="n"/>
      <c r="D1953" s="127" t="n"/>
      <c r="E1953" s="132" t="n"/>
      <c r="F1953" s="130" t="n"/>
    </row>
    <row r="1954" ht="15" customHeight="1" s="75">
      <c r="A1954" s="124" t="n"/>
      <c r="B1954" s="124" t="n"/>
      <c r="C1954" s="127" t="n"/>
      <c r="D1954" s="127" t="n"/>
      <c r="E1954" s="132" t="n"/>
      <c r="F1954" s="130" t="n"/>
    </row>
    <row r="1955" ht="15" customHeight="1" s="75">
      <c r="A1955" s="124" t="n"/>
      <c r="B1955" s="124" t="n"/>
      <c r="C1955" s="127" t="n"/>
      <c r="D1955" s="127" t="n"/>
      <c r="E1955" s="132" t="n"/>
      <c r="F1955" s="130" t="n"/>
    </row>
    <row r="1956" ht="15" customHeight="1" s="75">
      <c r="A1956" s="124" t="n"/>
      <c r="B1956" s="124" t="n"/>
      <c r="C1956" s="127" t="n"/>
      <c r="D1956" s="127" t="n"/>
      <c r="E1956" s="132" t="n"/>
      <c r="F1956" s="130" t="n"/>
    </row>
    <row r="1957" ht="15" customHeight="1" s="75">
      <c r="A1957" s="124" t="n"/>
      <c r="B1957" s="124" t="n"/>
      <c r="C1957" s="127" t="n"/>
      <c r="D1957" s="127" t="n"/>
      <c r="E1957" s="132" t="n"/>
      <c r="F1957" s="130" t="n"/>
    </row>
    <row r="1958" ht="15" customHeight="1" s="75">
      <c r="A1958" s="124" t="n"/>
      <c r="B1958" s="124" t="n"/>
      <c r="C1958" s="127" t="n"/>
      <c r="D1958" s="127" t="n"/>
      <c r="E1958" s="132" t="n"/>
      <c r="F1958" s="130" t="n"/>
    </row>
    <row r="1959" ht="15" customHeight="1" s="75">
      <c r="A1959" s="124" t="n"/>
      <c r="B1959" s="124" t="n"/>
      <c r="C1959" s="127" t="n"/>
      <c r="D1959" s="127" t="n"/>
      <c r="E1959" s="132" t="n"/>
      <c r="F1959" s="130" t="n"/>
    </row>
    <row r="1960" ht="15" customHeight="1" s="75">
      <c r="A1960" s="124" t="n"/>
      <c r="B1960" s="124" t="n"/>
      <c r="C1960" s="127" t="n"/>
      <c r="D1960" s="127" t="n"/>
      <c r="E1960" s="132" t="n"/>
      <c r="F1960" s="130" t="n"/>
    </row>
    <row r="1961" ht="15" customHeight="1" s="75">
      <c r="A1961" s="124" t="n"/>
      <c r="B1961" s="124" t="n"/>
      <c r="C1961" s="127" t="n"/>
      <c r="D1961" s="127" t="n"/>
      <c r="E1961" s="132" t="n"/>
      <c r="F1961" s="130" t="n"/>
    </row>
    <row r="1962" ht="15" customHeight="1" s="75">
      <c r="A1962" s="124" t="n"/>
      <c r="B1962" s="124" t="n"/>
      <c r="C1962" s="127" t="n"/>
      <c r="D1962" s="127" t="n"/>
      <c r="E1962" s="132" t="n"/>
      <c r="F1962" s="130" t="n"/>
    </row>
    <row r="1963" ht="15" customHeight="1" s="75">
      <c r="A1963" s="124" t="n"/>
      <c r="B1963" s="124" t="n"/>
      <c r="C1963" s="127" t="n"/>
      <c r="D1963" s="127" t="n"/>
      <c r="E1963" s="132" t="n"/>
      <c r="F1963" s="130" t="n"/>
    </row>
    <row r="1964" ht="15" customHeight="1" s="75">
      <c r="A1964" s="124" t="n"/>
      <c r="B1964" s="124" t="n"/>
      <c r="C1964" s="127" t="n"/>
      <c r="D1964" s="127" t="n"/>
      <c r="E1964" s="132" t="n"/>
      <c r="F1964" s="130" t="n"/>
    </row>
    <row r="1965" ht="15" customHeight="1" s="75">
      <c r="A1965" s="124" t="n"/>
      <c r="B1965" s="124" t="n"/>
      <c r="C1965" s="127" t="n"/>
      <c r="D1965" s="127" t="n"/>
      <c r="E1965" s="132" t="n"/>
      <c r="F1965" s="130" t="n"/>
    </row>
    <row r="1966" ht="15" customHeight="1" s="75">
      <c r="A1966" s="124" t="n"/>
      <c r="B1966" s="124" t="n"/>
      <c r="C1966" s="127" t="n"/>
      <c r="D1966" s="127" t="n"/>
      <c r="E1966" s="132" t="n"/>
      <c r="F1966" s="130" t="n"/>
    </row>
    <row r="1967" ht="15" customHeight="1" s="75">
      <c r="A1967" s="124" t="n"/>
      <c r="B1967" s="124" t="n"/>
      <c r="C1967" s="127" t="n"/>
      <c r="D1967" s="127" t="n"/>
      <c r="E1967" s="132" t="n"/>
      <c r="F1967" s="130" t="n"/>
    </row>
    <row r="1968" ht="15" customHeight="1" s="75">
      <c r="A1968" s="124" t="n"/>
      <c r="B1968" s="124" t="n"/>
      <c r="C1968" s="127" t="n"/>
      <c r="D1968" s="127" t="n"/>
      <c r="E1968" s="132" t="n"/>
      <c r="F1968" s="130" t="n"/>
    </row>
    <row r="1969" ht="15" customHeight="1" s="75">
      <c r="A1969" s="124" t="n"/>
      <c r="B1969" s="124" t="n"/>
      <c r="C1969" s="127" t="n"/>
      <c r="D1969" s="127" t="n"/>
      <c r="E1969" s="132" t="n"/>
      <c r="F1969" s="130" t="n"/>
    </row>
    <row r="1970" ht="15" customHeight="1" s="75">
      <c r="A1970" s="124" t="n"/>
      <c r="B1970" s="124" t="n"/>
      <c r="C1970" s="127" t="n"/>
      <c r="D1970" s="127" t="n"/>
      <c r="E1970" s="132" t="n"/>
      <c r="F1970" s="130" t="n"/>
    </row>
    <row r="1971" ht="15" customHeight="1" s="75">
      <c r="A1971" s="124" t="n"/>
      <c r="B1971" s="124" t="n"/>
      <c r="C1971" s="127" t="n"/>
      <c r="D1971" s="127" t="n"/>
      <c r="E1971" s="132" t="n"/>
      <c r="F1971" s="130" t="n"/>
    </row>
    <row r="1972" ht="15" customHeight="1" s="75">
      <c r="A1972" s="124" t="n"/>
      <c r="B1972" s="124" t="n"/>
      <c r="C1972" s="127" t="n"/>
      <c r="D1972" s="127" t="n"/>
      <c r="E1972" s="132" t="n"/>
      <c r="F1972" s="130" t="n"/>
    </row>
    <row r="1973" ht="15" customHeight="1" s="75">
      <c r="A1973" s="124" t="n"/>
      <c r="B1973" s="124" t="n"/>
      <c r="C1973" s="127" t="n"/>
      <c r="D1973" s="127" t="n"/>
      <c r="E1973" s="132" t="n"/>
      <c r="F1973" s="130" t="n"/>
    </row>
    <row r="1974" ht="15" customHeight="1" s="75">
      <c r="A1974" s="124" t="n"/>
      <c r="B1974" s="124" t="n"/>
      <c r="C1974" s="127" t="n"/>
      <c r="D1974" s="127" t="n"/>
      <c r="E1974" s="132" t="n"/>
      <c r="F1974" s="130" t="n"/>
    </row>
    <row r="1975" ht="15" customHeight="1" s="75">
      <c r="A1975" s="124" t="n"/>
      <c r="B1975" s="124" t="n"/>
      <c r="C1975" s="127" t="n"/>
      <c r="D1975" s="127" t="n"/>
      <c r="E1975" s="132" t="n"/>
      <c r="F1975" s="130" t="n"/>
    </row>
    <row r="1976" ht="15" customHeight="1" s="75">
      <c r="A1976" s="124" t="n"/>
      <c r="B1976" s="124" t="n"/>
      <c r="C1976" s="127" t="n"/>
      <c r="D1976" s="127" t="n"/>
      <c r="E1976" s="132" t="n"/>
      <c r="F1976" s="130" t="n"/>
    </row>
    <row r="1977" ht="15" customHeight="1" s="75">
      <c r="A1977" s="124" t="n"/>
      <c r="B1977" s="124" t="n"/>
      <c r="C1977" s="127" t="n"/>
      <c r="D1977" s="127" t="n"/>
      <c r="E1977" s="132" t="n"/>
      <c r="F1977" s="130" t="n"/>
    </row>
    <row r="1978" ht="15" customHeight="1" s="75">
      <c r="A1978" s="124" t="n"/>
      <c r="B1978" s="124" t="n"/>
      <c r="C1978" s="127" t="n"/>
      <c r="D1978" s="127" t="n"/>
      <c r="E1978" s="132" t="n"/>
      <c r="F1978" s="130" t="n"/>
    </row>
    <row r="1979" ht="15" customHeight="1" s="75">
      <c r="A1979" s="124" t="n"/>
      <c r="B1979" s="124" t="n"/>
      <c r="C1979" s="127" t="n"/>
      <c r="D1979" s="127" t="n"/>
      <c r="E1979" s="132" t="n"/>
      <c r="F1979" s="130" t="n"/>
    </row>
    <row r="1980" ht="15" customHeight="1" s="75">
      <c r="A1980" s="124" t="n"/>
      <c r="B1980" s="124" t="n"/>
      <c r="C1980" s="127" t="n"/>
      <c r="D1980" s="127" t="n"/>
      <c r="E1980" s="132" t="n"/>
      <c r="F1980" s="130" t="n"/>
    </row>
    <row r="1981" ht="15" customHeight="1" s="75">
      <c r="A1981" s="124" t="n"/>
      <c r="B1981" s="124" t="n"/>
      <c r="C1981" s="127" t="n"/>
      <c r="D1981" s="127" t="n"/>
      <c r="E1981" s="132" t="n"/>
      <c r="F1981" s="130" t="n"/>
    </row>
    <row r="1982" ht="15" customHeight="1" s="75">
      <c r="A1982" s="124" t="n"/>
      <c r="B1982" s="124" t="n"/>
      <c r="C1982" s="127" t="n"/>
      <c r="D1982" s="127" t="n"/>
      <c r="E1982" s="132" t="n"/>
      <c r="F1982" s="130" t="n"/>
    </row>
    <row r="1983" ht="15" customHeight="1" s="75">
      <c r="A1983" s="124" t="n"/>
      <c r="B1983" s="124" t="n"/>
      <c r="C1983" s="127" t="n"/>
      <c r="D1983" s="127" t="n"/>
      <c r="E1983" s="132" t="n"/>
      <c r="F1983" s="130" t="n"/>
    </row>
    <row r="1984" ht="15" customHeight="1" s="75">
      <c r="A1984" s="124" t="n"/>
      <c r="B1984" s="124" t="n"/>
      <c r="C1984" s="127" t="n"/>
      <c r="D1984" s="127" t="n"/>
      <c r="E1984" s="132" t="n"/>
      <c r="F1984" s="130" t="n"/>
    </row>
    <row r="1985" ht="15" customHeight="1" s="75">
      <c r="A1985" s="124" t="n"/>
      <c r="B1985" s="124" t="n"/>
      <c r="C1985" s="127" t="n"/>
      <c r="D1985" s="127" t="n"/>
      <c r="E1985" s="132" t="n"/>
      <c r="F1985" s="130" t="n"/>
    </row>
    <row r="1986" ht="15" customHeight="1" s="75">
      <c r="A1986" s="124" t="n"/>
      <c r="B1986" s="124" t="n"/>
      <c r="C1986" s="127" t="n"/>
      <c r="D1986" s="127" t="n"/>
      <c r="E1986" s="132" t="n"/>
      <c r="F1986" s="130" t="n"/>
    </row>
    <row r="1987" ht="15" customHeight="1" s="75">
      <c r="A1987" s="124" t="n"/>
      <c r="B1987" s="124" t="n"/>
      <c r="C1987" s="127" t="n"/>
      <c r="D1987" s="127" t="n"/>
      <c r="E1987" s="132" t="n"/>
      <c r="F1987" s="130" t="n"/>
    </row>
    <row r="1988" ht="15" customHeight="1" s="75">
      <c r="A1988" s="124" t="n"/>
      <c r="B1988" s="124" t="n"/>
      <c r="C1988" s="127" t="n"/>
      <c r="D1988" s="127" t="n"/>
      <c r="E1988" s="132" t="n"/>
      <c r="F1988" s="130" t="n"/>
    </row>
    <row r="1989" ht="15" customHeight="1" s="75">
      <c r="A1989" s="124" t="n"/>
      <c r="B1989" s="124" t="n"/>
      <c r="C1989" s="127" t="n"/>
      <c r="D1989" s="127" t="n"/>
      <c r="E1989" s="132" t="n"/>
      <c r="F1989" s="130" t="n"/>
    </row>
    <row r="1990" ht="15" customHeight="1" s="75">
      <c r="A1990" s="124" t="n"/>
      <c r="B1990" s="124" t="n"/>
      <c r="C1990" s="127" t="n"/>
      <c r="D1990" s="127" t="n"/>
      <c r="E1990" s="132" t="n"/>
      <c r="F1990" s="130" t="n"/>
    </row>
    <row r="1991" ht="15" customHeight="1" s="75">
      <c r="A1991" s="124" t="n"/>
      <c r="B1991" s="124" t="n"/>
      <c r="C1991" s="127" t="n"/>
      <c r="D1991" s="127" t="n"/>
      <c r="E1991" s="132" t="n"/>
      <c r="F1991" s="130" t="n"/>
    </row>
    <row r="1992" ht="15" customHeight="1" s="75">
      <c r="A1992" s="124" t="n"/>
      <c r="B1992" s="124" t="n"/>
      <c r="C1992" s="127" t="n"/>
      <c r="D1992" s="127" t="n"/>
      <c r="E1992" s="132" t="n"/>
      <c r="F1992" s="130" t="n"/>
    </row>
    <row r="1993" ht="15" customHeight="1" s="75">
      <c r="A1993" s="124" t="n"/>
      <c r="B1993" s="124" t="n"/>
      <c r="C1993" s="127" t="n"/>
      <c r="D1993" s="127" t="n"/>
      <c r="E1993" s="132" t="n"/>
      <c r="F1993" s="130" t="n"/>
    </row>
    <row r="1994" ht="15" customHeight="1" s="75">
      <c r="A1994" s="124" t="n"/>
      <c r="B1994" s="124" t="n"/>
      <c r="C1994" s="127" t="n"/>
      <c r="D1994" s="127" t="n"/>
      <c r="E1994" s="132" t="n"/>
      <c r="F1994" s="130" t="n"/>
    </row>
    <row r="1995" ht="15" customHeight="1" s="75">
      <c r="A1995" s="124" t="n"/>
      <c r="B1995" s="124" t="n"/>
      <c r="C1995" s="127" t="n"/>
      <c r="D1995" s="127" t="n"/>
      <c r="E1995" s="132" t="n"/>
      <c r="F1995" s="130" t="n"/>
    </row>
    <row r="1996" ht="15" customHeight="1" s="75">
      <c r="A1996" s="124" t="n"/>
      <c r="B1996" s="124" t="n"/>
      <c r="C1996" s="127" t="n"/>
      <c r="D1996" s="127" t="n"/>
      <c r="E1996" s="132" t="n"/>
      <c r="F1996" s="130" t="n"/>
    </row>
    <row r="1997" ht="15" customHeight="1" s="75">
      <c r="A1997" s="124" t="n"/>
      <c r="B1997" s="124" t="n"/>
      <c r="C1997" s="127" t="n"/>
      <c r="D1997" s="127" t="n"/>
      <c r="E1997" s="132" t="n"/>
      <c r="F1997" s="130" t="n"/>
    </row>
    <row r="1998" ht="15" customHeight="1" s="75">
      <c r="A1998" s="124" t="n"/>
      <c r="B1998" s="124" t="n"/>
      <c r="C1998" s="127" t="n"/>
      <c r="D1998" s="127" t="n"/>
      <c r="E1998" s="132" t="n"/>
      <c r="F1998" s="130" t="n"/>
    </row>
    <row r="1999" ht="15" customHeight="1" s="75">
      <c r="A1999" s="124" t="n"/>
      <c r="B1999" s="124" t="n"/>
      <c r="C1999" s="127" t="n"/>
      <c r="D1999" s="127" t="n"/>
      <c r="E1999" s="132" t="n"/>
      <c r="F1999" s="130" t="n"/>
    </row>
    <row r="2000" ht="15" customHeight="1" s="75">
      <c r="A2000" s="124" t="n"/>
      <c r="B2000" s="124" t="n"/>
      <c r="C2000" s="127" t="n"/>
      <c r="D2000" s="127" t="n"/>
      <c r="E2000" s="132" t="n"/>
      <c r="F2000" s="130" t="n"/>
    </row>
    <row r="2001" ht="15" customHeight="1" s="75">
      <c r="A2001" s="124" t="n"/>
      <c r="B2001" s="124" t="n"/>
      <c r="C2001" s="127" t="n"/>
      <c r="D2001" s="127" t="n"/>
      <c r="E2001" s="132" t="n"/>
      <c r="F2001" s="130" t="n"/>
    </row>
    <row r="2002" ht="15" customHeight="1" s="75">
      <c r="A2002" s="124" t="n"/>
      <c r="B2002" s="124" t="n"/>
      <c r="C2002" s="127" t="n"/>
      <c r="D2002" s="127" t="n"/>
      <c r="E2002" s="132" t="n"/>
      <c r="F2002" s="130" t="n"/>
    </row>
    <row r="2003" ht="15" customHeight="1" s="75">
      <c r="A2003" s="124" t="n"/>
      <c r="B2003" s="124" t="n"/>
      <c r="C2003" s="127" t="n"/>
      <c r="D2003" s="127" t="n"/>
      <c r="E2003" s="132" t="n"/>
      <c r="F2003" s="130" t="n"/>
    </row>
    <row r="2004" ht="15" customHeight="1" s="75">
      <c r="A2004" s="124" t="n"/>
      <c r="B2004" s="124" t="n"/>
      <c r="C2004" s="124" t="n"/>
      <c r="D2004" s="124" t="n"/>
    </row>
    <row r="2006" ht="19.5" customHeight="1" s="75">
      <c r="A2006" s="112" t="inlineStr">
        <is>
          <t>Bildirilen saat işverenin tuttuğu kayıt, belgelenen saat resmi belgedir; fark dava riskidir.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:F3"/>
    <mergeCell ref="A2006:AN2006"/>
    <mergeCell ref="A1:AD1"/>
    <mergeCell ref="A4:F4"/>
  </mergeCells>
  <conditionalFormatting sqref="F6:F2005">
    <cfRule type="cellIs" rank="0" priority="2" equalAverage="0" operator="greaterThan" aboveAverage="0" dxfId="8" text="" percent="0" bottom="0">
      <formula>KayitFarkiEsik</formula>
    </cfRule>
    <cfRule type="cellIs" rank="0" priority="3" equalAverage="0" operator="lessThanOrEqual" aboveAverage="0" dxfId="10" text="" percent="0" bottom="0">
      <formula>KayitFarkiEsik</formula>
    </cfRule>
  </conditionalFormatting>
  <conditionalFormatting sqref="E6:E2005">
    <cfRule type="cellIs" rank="0" priority="4" equalAverage="0" operator="lessThan" aboveAverage="0" dxfId="9" text="" percent="0" bottom="0">
      <formula>0</formula>
    </cfRule>
    <cfRule type="cellIs" rank="0" priority="5" equalAverage="0" operator="greaterThan" aboveAverage="0" dxfId="8" text="" percent="0" bottom="0">
      <formula>0</formula>
    </cfRule>
  </conditionalFormatting>
  <conditionalFormatting sqref="C6:C2005">
    <cfRule type="cellIs" rank="0" priority="6" equalAverage="0" operator="greaterThan" aboveAverage="0" dxfId="9" text="" percent="0" bottom="0">
      <formula>D6</formula>
    </cfRule>
  </conditionalFormatting>
  <dataValidations count="2">
    <dataValidation sqref="C6:C2004" showDropDown="0" showInputMessage="1" showErrorMessage="1" allowBlank="1" errorTitle="Geçersiz değer" error="Saat 0'dan küçük olamaz." promptTitle="Bildirilen Mesai Saati" prompt="İşverenin tuttuğu mesai saati." type="decimal" errorStyle="stop" operator="greaterThanOrEqual">
      <formula1>0</formula1>
      <formula2>0</formula2>
    </dataValidation>
    <dataValidation sqref="D6:D2004" showDropDown="0" showInputMessage="1" showErrorMessage="1" allowBlank="1" errorTitle="Geçersiz değer" error="Saat 0'dan küçük olamaz." promptTitle="Belgelenen Mesai Saati" prompt="Resmi belgedeki mesai saati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0" customWidth="1" style="101" min="2" max="2"/>
    <col width="78" customWidth="1" style="101" min="3" max="3"/>
  </cols>
  <sheetData>
    <row r="1" ht="25.5" customHeight="1" s="75">
      <c r="A1" s="113" t="inlineStr">
        <is>
          <t>MOTOR — FAZLA MESAİ VE İŞÇİ DAVA RİSKİ TESPİT DOSYASI</t>
        </is>
      </c>
    </row>
    <row r="3" ht="15" customHeight="1" s="75">
      <c r="A3" s="114" t="inlineStr">
        <is>
          <t>Hesaplama Motoru</t>
        </is>
      </c>
    </row>
    <row r="4" ht="15" customHeight="1" s="75">
      <c r="A4" s="115" t="inlineStr">
        <is>
          <t>Tüm KPI ve modül hesapları ad tanımlı hücrelerden okunur; sabit sayı formüle gömülmez.</t>
        </is>
      </c>
    </row>
    <row r="6" ht="15" customHeight="1" s="75">
      <c r="A6" s="133" t="inlineStr">
        <is>
          <t>TEMEL HESAPLAR</t>
        </is>
      </c>
    </row>
    <row r="7" ht="15" customHeight="1" s="75">
      <c r="A7" s="134" t="inlineStr">
        <is>
          <t>Toplam Çalışan Sayısı</t>
        </is>
      </c>
      <c r="B7" s="135">
        <f>IFERROR(COUNT(tblCalisan[Çalışan Adı]),0)</f>
        <v/>
      </c>
    </row>
    <row r="8" ht="15" customHeight="1" s="75">
      <c r="A8" s="134" t="inlineStr">
        <is>
          <t>Toplam Aylık Mesai Saati</t>
        </is>
      </c>
      <c r="B8" s="135">
        <f>IFERROR(SUM(tblCalisan[Aylık Fazla Mesai Saati]),0)</f>
        <v/>
      </c>
    </row>
    <row r="9" ht="15" customHeight="1" s="75">
      <c r="A9" s="134" t="inlineStr">
        <is>
          <t>Toplam Yıllık Mesai Saati</t>
        </is>
      </c>
      <c r="B9" s="135">
        <f>IFERROR(SUM(tblCalisan[Yıllık Mesai Saati]),0)</f>
        <v/>
      </c>
    </row>
    <row r="10" ht="15" customHeight="1" s="75">
      <c r="A10" s="134" t="inlineStr">
        <is>
          <t>Toplam Fazla Mesai Ücreti (₺)</t>
        </is>
      </c>
      <c r="B10" s="136">
        <f>IFERROR(SUM(tblCalisan[Aylık Fazla Mesai Ücreti (₺)])*AySayisi,0)</f>
        <v/>
      </c>
    </row>
    <row r="11" ht="15" customHeight="1" s="75">
      <c r="A11" s="134" t="inlineStr">
        <is>
          <t>Toplam Sınır Aşım Tutarı (₺)</t>
        </is>
      </c>
      <c r="B11" s="136">
        <f>IFERROR(SUM(tblCalisan[Sınır Aşım Tutarı (₺)]),0)</f>
        <v/>
      </c>
    </row>
    <row r="12" ht="15" customHeight="1" s="75">
      <c r="A12" s="134" t="inlineStr">
        <is>
          <t>270 Saat Aşan Çalışan</t>
        </is>
      </c>
      <c r="B12" s="135">
        <f>IFERROR(COUNTIF(tblCalisan[Yıllık Mesai Saati],"&gt;"&amp;YillikMesaiSinir),0)</f>
        <v/>
      </c>
    </row>
    <row r="13" ht="15" customHeight="1" s="75">
      <c r="A13" s="134" t="inlineStr">
        <is>
          <t>Kayıt Farkı Oranı</t>
        </is>
      </c>
      <c r="B13" s="137">
        <f>IFERROR(IF(SUM(tblKayit[Bildirilen Mesai Saati])=0,0,1-MIN(1,SUM(tblKayit[Belgelenen Mesai Saati])/MAX(BolumPaydaTaban,SUM(tblKayit[Bildirilen Mesai Saati])))),0)</f>
        <v/>
      </c>
    </row>
    <row r="14" ht="15" customHeight="1" s="75">
      <c r="A14" s="134" t="inlineStr">
        <is>
          <t>Kayıt Farkı Risk Tutarı (₺)</t>
        </is>
      </c>
      <c r="B14" s="136">
        <f>IFERROR(ToplamFazlaMesaiUcreti*KayitFarkiOrani,0)</f>
        <v/>
      </c>
    </row>
    <row r="15" ht="15" customHeight="1" s="75">
      <c r="A15" s="134" t="inlineStr">
        <is>
          <t>Ortalama Aylık Mesai Saati</t>
        </is>
      </c>
      <c r="B15" s="135">
        <f>IFERROR(AVERAGE(tblCalisan[Aylık Fazla Mesai Saati]),0)</f>
        <v/>
      </c>
    </row>
    <row r="16" ht="15" customHeight="1" s="75">
      <c r="A16" s="134" t="inlineStr">
        <is>
          <t>Aylık Brüt Ücret Yükü (₺)</t>
        </is>
      </c>
      <c r="B16" s="136">
        <f>IFERROR(SUM(tblCalisan[Aylık Brüt Ücret (₺)]),0)</f>
        <v/>
      </c>
    </row>
    <row r="17" ht="15" customHeight="1" s="75">
      <c r="A17" s="134" t="inlineStr">
        <is>
          <t>Yıllık Brüt Ücret Yükü (₺)</t>
        </is>
      </c>
      <c r="B17" s="136">
        <f>IFERROR(SUM(tblCalisan[Aylık Brüt Ücret (₺)])*AySayisi,0)</f>
        <v/>
      </c>
    </row>
    <row r="18" ht="15" customHeight="1" s="75">
      <c r="A18" s="134" t="inlineStr">
        <is>
          <t>Dava Risk Oranı</t>
        </is>
      </c>
      <c r="B18" s="137">
        <f>IFERROR(ToplamFazlaMesaiUcreti/MAX(BolumPaydaTaban,YillikBrutUcretYuku),0)</f>
        <v/>
      </c>
    </row>
    <row r="19" ht="15" customHeight="1" s="75">
      <c r="A19" s="134" t="inlineStr">
        <is>
          <t>Zamanaşımı Penceresi Risk Tutarı (₺)</t>
        </is>
      </c>
      <c r="B19" s="136">
        <f>IFERROR((ToplamFazlaMesaiUcreti+ToplamSinirAsimTutari+KayitFarkiRiskTutari)*ZamanAsimiYil,0)</f>
        <v/>
      </c>
    </row>
    <row r="20" ht="15" customHeight="1" s="75">
      <c r="A20" s="134" t="inlineStr">
        <is>
          <t>Anomali Çalışan Adedi</t>
        </is>
      </c>
      <c r="B20" s="135">
        <f>IFERROR(COUNTIF(tblCalisan[Aylık Fazla Mesai Saati],"&gt;"&amp;IFERROR(AVERAGE(tblCalisan[Aylık Fazla Mesai Saati])+UcretAnomaliZEsik*IFERROR(stdev.p(tblCalisan[Aylık Fazla Mesai Saati]),0),0)),0)</f>
        <v/>
      </c>
    </row>
    <row r="21" ht="15" customHeight="1" s="75">
      <c r="A21" s="134" t="inlineStr">
        <is>
          <t>İzin Kullanım Oranı</t>
        </is>
      </c>
      <c r="B21" s="137">
        <f>IFERROR(IF(COUNT(tblCalisan[Çalışan Adı])=0,0,AnomaliCalisanAdedi/COUNT(tblCalisan[Çalışan Adı])),0)</f>
        <v/>
      </c>
    </row>
    <row r="22" ht="15" customHeight="1" s="75">
      <c r="A22" s="134" t="inlineStr">
        <is>
          <t>Ortalama Haftalık Çalışma Saati</t>
        </is>
      </c>
      <c r="B22" s="135">
        <f>IFERROR(AVERAGE(tblCalisan[Haftalık Çalışma Saati]),0)</f>
        <v/>
      </c>
    </row>
    <row r="24" ht="15" customHeight="1" s="75">
      <c r="A24" s="114" t="inlineStr">
        <is>
          <t>Analitik Modül Hesapları</t>
        </is>
      </c>
    </row>
    <row r="25" ht="15" customHeight="1" s="75">
      <c r="A25" s="134" t="inlineStr">
        <is>
          <t>Modül T1: Çalışan Kıdem Ortalaması</t>
        </is>
      </c>
      <c r="B25" s="135">
        <f>IFERROR(AVERAGE(tblCalisan[Dönem Günü]),0)</f>
        <v/>
      </c>
    </row>
    <row r="26" ht="15" customHeight="1" s="75">
      <c r="A26" s="134" t="inlineStr">
        <is>
          <t>Modül T2: Mesai Eğimi</t>
        </is>
      </c>
      <c r="B26" s="135">
        <f>IFERROR(SLOPE(tblCalisan[Aylık Fazla Mesai Saati],tblCalisan[Dönem Günü]),0)</f>
        <v/>
      </c>
    </row>
    <row r="27" ht="15" customHeight="1" s="75">
      <c r="A27" s="134" t="inlineStr">
        <is>
          <t>Modül T3: Mesai Pareto Payı</t>
        </is>
      </c>
      <c r="B27" s="137">
        <f>IFERROR(IF(SUM(tblCalisan[Aylık Fazla Mesai Saati])=0,0,MAX(tblCalisan[Aylık Fazla Mesai Saati])/SUM(tblCalisan[Aylık Fazla Mesai Saati])),0)</f>
        <v/>
      </c>
    </row>
    <row r="28" ht="15" customHeight="1" s="75">
      <c r="A28" s="134" t="inlineStr">
        <is>
          <t>Modül T5: Kayıt Mutabakat Farkı</t>
        </is>
      </c>
      <c r="B28" s="135">
        <f>IFERROR(IF(SUM(tblKayit[Bildirilen Mesai Saati])=0,0,SUM(tblKayit[Bildirilen Mesai Saati])-SUM(tblKayit[Belgelenen Mesai Saati])),0)</f>
        <v/>
      </c>
    </row>
    <row r="29" ht="15" customHeight="1" s="75">
      <c r="A29" s="134" t="inlineStr">
        <is>
          <t>Modül T6: Normal Mesai Dışı Pay</t>
        </is>
      </c>
      <c r="B29" s="137">
        <f>IFERROR(IF(SUM(tblCalisan[Aylık Fazla Mesai Saati])=0,0,SUM(tblCalisan[Aylık Fazla Mesai Saati])/MAX(BolumPaydaTaban,SUM(tblCalisan[Haftalık Çalışma Saati])*4)),0)</f>
        <v/>
      </c>
    </row>
    <row r="30" ht="15" customHeight="1" s="75">
      <c r="A30" s="134" t="inlineStr">
        <is>
          <t>Modül O1: Anomali Oranı</t>
        </is>
      </c>
      <c r="B30" s="137">
        <f>IFERROR(IF(COUNT(tblCalisan[Çalışan Adı])=0,0,AnomaliCalisanAdedi/COUNT(tblCalisan[Çalışan Adı])),0)</f>
        <v/>
      </c>
    </row>
    <row r="31" ht="15" customHeight="1" s="75">
      <c r="A31" s="134" t="inlineStr">
        <is>
          <t>Modül O2: Tornado Zirve Etki</t>
        </is>
      </c>
      <c r="B31" s="136">
        <f>IFERROR(MAX(ABS(SenaryoRiskKotumser-SenaryoRiskIyimser),ABS(SenaryoRiskUcretKotumser-SenaryoRiskUcretIyimser)),0)</f>
        <v/>
      </c>
    </row>
    <row r="32" ht="15" customHeight="1" s="75">
      <c r="A32" s="134" t="inlineStr">
        <is>
          <t>Modül O3: Senaryo Baz Fark</t>
        </is>
      </c>
      <c r="B32" s="136">
        <f>IFERROR(SenaryoRiskKotumser-SenaryoRiskBaz,0)</f>
        <v/>
      </c>
    </row>
    <row r="33" ht="15" customHeight="1" s="75">
      <c r="A33" s="134" t="inlineStr">
        <is>
          <t>Modül O4: Zamanaşımı Risk Tutarı</t>
        </is>
      </c>
      <c r="B33" s="136">
        <f>IFERROR(ZamanaSimiPencereRiskTutari,0)</f>
        <v/>
      </c>
    </row>
    <row r="34" ht="15" customHeight="1" s="75">
      <c r="A34" s="134" t="inlineStr">
        <is>
          <t>Modül O6: Mesai HHI</t>
        </is>
      </c>
      <c r="B34" s="135">
        <f>IFERROR(IF(SUM(tblCalisan[Aylık Fazla Mesai Saati])=0,0,SUMPRODUCT(tblCalisan[Aylık Fazla Mesai Saati],tblCalisan[Aylık Fazla Mesai Saati])/MAX(BolumPaydaTaban,SUM(tblCalisan[Aylık Fazla Mesai Saati])^2)),0)</f>
        <v/>
      </c>
    </row>
    <row r="35" ht="15" customHeight="1" s="75">
      <c r="A35" s="134" t="inlineStr">
        <is>
          <t>Modül O8: Veri Kalite Skoru</t>
        </is>
      </c>
      <c r="B35" s="135">
        <f>VeriKaliteSkoru</f>
        <v/>
      </c>
    </row>
    <row r="36" ht="15" customHeight="1" s="75">
      <c r="A36" s="134" t="inlineStr">
        <is>
          <t>Modül I1: Mesai Tahmini (Orta)</t>
        </is>
      </c>
      <c r="B36" s="135">
        <f>IFERROR(forecast.lınear(COUNT(tblKayit[Dönem])+1,tblCalisan[Aylık Fazla Mesai Saati],tblCalisan[Dönem Günü]),0)</f>
        <v/>
      </c>
    </row>
    <row r="37" ht="15" customHeight="1" s="75">
      <c r="A37" s="134" t="inlineStr">
        <is>
          <t>Modül I2: Risk P90</t>
        </is>
      </c>
      <c r="B37" s="136">
        <f>IFERROR(percentıle.ınc(tblCalisan[Risk Tutarı (₺)],P90Kuantil),0)</f>
        <v/>
      </c>
    </row>
    <row r="38" ht="15" customHeight="1" s="75">
      <c r="A38" s="134" t="inlineStr">
        <is>
          <t>Modül I3: Risk NPV</t>
        </is>
      </c>
      <c r="B38" s="136">
        <f>IFERROR(NPV(IskontoOrani,ZamanaSimiPencereRiskTutari),0)</f>
        <v/>
      </c>
    </row>
    <row r="39" ht="15" customHeight="1" s="75">
      <c r="A39" s="134" t="inlineStr">
        <is>
          <t>Modül I7: Risk Açık Köprüsü</t>
        </is>
      </c>
      <c r="B39" s="136">
        <f>IFERROR(MAX(0,ToplamFazlaMesaiUcreti+ToplamSinirAsimTutari+KayitFarkiRiskTutari-DavaRiskButceEsik),0)</f>
        <v/>
      </c>
    </row>
    <row r="40" ht="15" customHeight="1" s="75">
      <c r="A40" s="134" t="inlineStr">
        <is>
          <t>Toplam Dava Risk Tutarı (₺)</t>
        </is>
      </c>
      <c r="B40" s="136">
        <f>IFERROR(ToplamFazlaMesaiUcreti+ToplamSinirAsimTutari+KayitFarkiRiskTutari,0)</f>
        <v/>
      </c>
    </row>
    <row r="41" ht="15" customHeight="1" s="75">
      <c r="A41" s="134" t="inlineStr">
        <is>
          <t>Değer Kazanımı (₺)</t>
        </is>
      </c>
      <c r="B41" s="136">
        <f>IFERROR(MAX(0,ToplamDavaRiskTutari-DavaRiskButceEsik),0)</f>
        <v/>
      </c>
    </row>
    <row r="42" ht="15" customHeight="1" s="75">
      <c r="A42" s="134" t="inlineStr">
        <is>
          <t>Değer Kazanımı Oranı</t>
        </is>
      </c>
      <c r="B42" s="137">
        <f>IFERROR(IF(MAX(BolumPaydaTaban,ToplamDavaRiskTutari)=0,0,MAX(0,ToplamDavaRiskTutari-DavaRiskButceEsik)/MAX(BolumPaydaTaban,ToplamDavaRiskTutari)),0)</f>
        <v/>
      </c>
    </row>
    <row r="44" ht="15" customHeight="1" s="75">
      <c r="A44" s="114" t="inlineStr">
        <is>
          <t>Modül Makine Yorumları</t>
        </is>
      </c>
    </row>
    <row r="45" ht="24.75" customHeight="1" s="75">
      <c r="A45" s="134" t="inlineStr">
        <is>
          <t>T1 Kıdem Ortalaması</t>
        </is>
      </c>
      <c r="B45" s="135">
        <f>modulT1CalisanYasOrt</f>
        <v/>
      </c>
      <c r="C45" s="138">
        <f>_xlfn.TEXTJOIN(" | ",TRUE(),"T1: Ortalama kıdem "&amp;modulT1CalisanYasOrt&amp;" gün",IF(modulT1CalisanYasOrt&gt;KidemSinirGun,"kıdem "&amp;KidemSinirGun/365&amp;" yıl üzerinde, zamanaşımı penceresi riski yüksek","kıdem pencere içinde"))</f>
        <v/>
      </c>
    </row>
    <row r="46" ht="15" customHeight="1" s="75">
      <c r="A46" s="134" t="inlineStr">
        <is>
          <t>T2 Mesai Eğimi</t>
        </is>
      </c>
      <c r="B46" s="135">
        <f>modulT2MesaiEgim</f>
        <v/>
      </c>
      <c r="C46" s="138">
        <f>_xlfn.TEXTJOIN(" | ",TRUE(),"T2: Mesai eğimi "&amp;TEXT(modulT2MesaiEgim,"0.0")&amp;" saat/gün",IF(modulT2MesaiEgim&gt;0,"mesai zamanla artıyor","mesai sabit veya azalıyor"))</f>
        <v/>
      </c>
    </row>
    <row r="47" ht="15" customHeight="1" s="75">
      <c r="A47" s="134" t="inlineStr">
        <is>
          <t>T3 Pareto Payı</t>
        </is>
      </c>
      <c r="B47" s="137">
        <f>modulT3MesaiParetoPay</f>
        <v/>
      </c>
      <c r="C47" s="138">
        <f>_xlfn.TEXTJOIN(" | ",TRUE(),"T3: En yüksek mesaili çalışan toplamın %"&amp;TEXT(modulT3MesaiParetoPay*100,"0")&amp;"",IF(modulT3MesaiParetoPay&gt;ParetoEsikOran,"yoğunlaşma yüksek, tek çalışana bağımlılık var","dağılım dengeli"))</f>
        <v/>
      </c>
    </row>
    <row r="48" ht="15" customHeight="1" s="75">
      <c r="A48" s="134" t="inlineStr">
        <is>
          <t>T5 Kayıt Mutabakatı</t>
        </is>
      </c>
      <c r="B48" s="135">
        <f>modulT5KayitMutabakat</f>
        <v/>
      </c>
      <c r="C48" s="138">
        <f>_xlfn.TEXTJOIN(" | ",TRUE(),"T5: Bildirilen ile belgelenen fark "&amp;TEXT(modulT5KayitMutabakat,"#,##0")&amp;" saat",IF(modulT5KayitMutabakat&gt;0,"belgesiz mesai mevcut, dava riski artıyor","kayıtlar tutarlı"))</f>
        <v/>
      </c>
    </row>
    <row r="49" ht="15" customHeight="1" s="75">
      <c r="A49" s="134" t="inlineStr">
        <is>
          <t>T6 Normal Mesai Payı</t>
        </is>
      </c>
      <c r="B49" s="137">
        <f>modulT6NormalMesaiPay</f>
        <v/>
      </c>
      <c r="C49" s="138">
        <f>_xlfn.TEXTJOIN(" | ",TRUE(),"T6: Aylık mesai normal çalışmanın %"&amp;TEXT(modulT6NormalMesaiPay*100,"0")&amp;"",IF(modulT6NormalMesaiPay&gt;KayitFarkiEsik,"mesai yükü yüksek, "&amp;HaftalikCalismaSinir&amp;" saat üstü kontrol edilmeli","mesai yükü kabul edilebilir"))</f>
        <v/>
      </c>
    </row>
    <row r="50" ht="15" customHeight="1" s="75">
      <c r="A50" s="134" t="inlineStr">
        <is>
          <t>O1 Anomali Oranı</t>
        </is>
      </c>
      <c r="B50" s="137">
        <f>modulO1AnomaliOran</f>
        <v/>
      </c>
      <c r="C50" s="138">
        <f>_xlfn.TEXTJOIN(" | ",TRUE(),"O1: Uç mesaili çalışan oranı %"&amp;TEXT(modulO1AnomaliOran*100,"0.0")&amp;"",IF(modulO1AnomaliOran&gt;0,"anomali çalışanlar tespit edildi, kayıtları denetleyin","anomali yok"))</f>
        <v/>
      </c>
    </row>
    <row r="51" ht="15" customHeight="1" s="75">
      <c r="A51" s="134" t="inlineStr">
        <is>
          <t>O2 Tornado Zirve</t>
        </is>
      </c>
      <c r="B51" s="136">
        <f>modulO2TornadoZirve</f>
        <v/>
      </c>
      <c r="C51" s="138">
        <f>_xlfn.TEXTJOIN(" | ",TRUE(),"O2: Tornado zirve etki "&amp;TEXT(modulO2TornadoZirve,"#,##0")&amp;" ₺",IF(modulO2TornadoZirve&gt;DavaRiskButceEsik*ButceEtkiEsikOran,"risk duyarlılığı yüksek, mesai değişkeni kritik","duyarlılık düşük"))</f>
        <v/>
      </c>
    </row>
    <row r="52" ht="15" customHeight="1" s="75">
      <c r="A52" s="134" t="inlineStr">
        <is>
          <t>O3 Senaryo Baz Fark</t>
        </is>
      </c>
      <c r="B52" s="136">
        <f>modulO3SenaryoBazFark</f>
        <v/>
      </c>
      <c r="C52" s="138">
        <f>_xlfn.TEXTJOIN(" | ",TRUE(),"O3: Kötümser-baz fark "&amp;TEXT(modulO3SenaryoBazFark,"#,##0")&amp;" ₺",IF(modulO3SenaryoBazFark&gt;DavaRiskButceEsik,"kötümser senaryoda bütçe aşılıyor","senaryo aralığı bütçe içinde"))</f>
        <v/>
      </c>
    </row>
    <row r="53" ht="15" customHeight="1" s="75">
      <c r="A53" s="134" t="inlineStr">
        <is>
          <t>O4 Zamanaşımı Risk</t>
        </is>
      </c>
      <c r="B53" s="136">
        <f>modulO4ZamanAsimiRisk</f>
        <v/>
      </c>
      <c r="C53" s="138">
        <f>_xlfn.TEXTJOIN(" | ",TRUE(),"O4: "&amp;ZamanAsimiYil&amp;" yıllık pencere risk tutarı "&amp;TEXT(modulO4ZamanAsimiRisk,"#,##0")&amp;" ₺",IF(modulO4ZamanAsimiRisk&gt;DavaRiskButceEsik,"zamanaşımı penceresi riski bütçeyi aşıyor","pencere riski kabul edilebilir"))</f>
        <v/>
      </c>
    </row>
    <row r="54" ht="15" customHeight="1" s="75">
      <c r="A54" s="134" t="inlineStr">
        <is>
          <t>O6 Mesai HHI</t>
        </is>
      </c>
      <c r="B54" s="135">
        <f>modulO6MesaiHhi</f>
        <v/>
      </c>
      <c r="C54" s="138">
        <f>_xlfn.TEXTJOIN(" | ",TRUE(),"O6: Mesai yoğunlaşma endeksi "&amp;TEXT(modulO6MesaiHhi,"0.00")&amp;"",IF(modulO6MesaiHhi&gt;HhiYuksekEsik,"yoğunlaşma yüksek","dağılım dengeli"))</f>
        <v/>
      </c>
    </row>
    <row r="55" ht="15" customHeight="1" s="75">
      <c r="A55" s="134" t="inlineStr">
        <is>
          <t>O8 Kalite Skoru</t>
        </is>
      </c>
      <c r="B55" s="135">
        <f>modulO8KaliteSkoru</f>
        <v/>
      </c>
      <c r="C55" s="138">
        <f>_xlfn.TEXTJOIN(" | ",TRUE(),"O8: Veri kalite skoru "&amp;TEXT(modulO8KaliteSkoru,"0")&amp;"/100",IF(modulO8KaliteSkoru&gt;=VeriKaliteIyiEsik,"girdi kalitesi iyi","kalite düşük, kayıtları tamamlayın"))</f>
        <v/>
      </c>
    </row>
    <row r="56" ht="15" customHeight="1" s="75">
      <c r="A56" s="134" t="inlineStr">
        <is>
          <t>I1 Mesai Tahmini</t>
        </is>
      </c>
      <c r="B56" s="135">
        <f>modulI1MesaiTahminOrta</f>
        <v/>
      </c>
      <c r="C56" s="138">
        <f>_xlfn.TEXTJOIN(" | ",TRUE(),"I1: Sonraki dönem mesai tahmini "&amp;TEXT(modulI1MesaiTahminOrta,"0")&amp;" saat",IF(modulI1MesaiTahminOrta&gt;YillikMesaiSinir/12,"tahmin aylık sınırı aşıyor, planlamayı gözden geçirin","tahmin sınır içinde"))</f>
        <v/>
      </c>
    </row>
    <row r="57" ht="15" customHeight="1" s="75">
      <c r="A57" s="134" t="inlineStr">
        <is>
          <t>I2 Risk P90</t>
        </is>
      </c>
      <c r="B57" s="136">
        <f>modulI2RiskP90</f>
        <v/>
      </c>
      <c r="C57" s="138">
        <f>_xlfn.TEXTJOIN(" | ",TRUE(),"I2: Çalışan risk tutarı P90 değeri "&amp;TEXT(modulI2RiskP90,"#,##0")&amp;" ₺",IF(modulI2RiskP90&gt;DavaRiskButceEsik,"P90 riski bütçeyi aşıyor","P90 riski kabul edilebilir"))</f>
        <v/>
      </c>
    </row>
    <row r="58" ht="15" customHeight="1" s="75">
      <c r="A58" s="134" t="inlineStr">
        <is>
          <t>I3 Risk NPV</t>
        </is>
      </c>
      <c r="B58" s="136">
        <f>modulI3RiskNpv</f>
        <v/>
      </c>
      <c r="C58" s="138">
        <f>_xlfn.TEXTJOIN(" | ",TRUE(),"I3: Risk tutarının NPV değeri "&amp;TEXT(modulI3RiskNpv,"#,##0")&amp;" ₺",IF(modulI3RiskNpv&gt;DavaRiskButceEsik*NpvEsikOran,"NPV riski yüksek","NPV riski kabul edilebilir"))</f>
        <v/>
      </c>
    </row>
    <row r="59" ht="15" customHeight="1" s="75">
      <c r="A59" s="134" t="inlineStr">
        <is>
          <t>I7 Açık Köprüsü</t>
        </is>
      </c>
      <c r="B59" s="136">
        <f>modulI7RiskAcikKopru</f>
        <v/>
      </c>
      <c r="C59" s="138">
        <f>_xlfn.TEXTJOIN(" | ",TRUE(),"I7: Risk açık köprüsü "&amp;TEXT(modulI7RiskAcikKopru,"#,##0")&amp;" ₺",IF(modulI7RiskAcikKopru&gt;0,"risk bütçesi aşılıyor, kaynak planı gerekli","risk bütçesi içinde"))</f>
        <v/>
      </c>
    </row>
    <row r="62" ht="19.5" customHeight="1" s="75">
      <c r="A62" s="112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C4"/>
    <mergeCell ref="A3:C3"/>
    <mergeCell ref="A1:AD1"/>
    <mergeCell ref="A62:AN62"/>
  </mergeCells>
  <conditionalFormatting sqref="B10">
    <cfRule type="cellIs" rank="0" priority="2" equalAverage="0" operator="greaterThan" aboveAverage="0" dxfId="8" text="" percent="0" bottom="0">
      <formula>DavaRiskButceEsik</formula>
    </cfRule>
    <cfRule type="cellIs" rank="0" priority="3" equalAverage="0" operator="lessThanOrEqual" aboveAverage="0" dxfId="10" text="" percent="0" bottom="0">
      <formula>DavaRiskButceEsik</formula>
    </cfRule>
  </conditionalFormatting>
  <conditionalFormatting sqref="B18">
    <cfRule type="cellIs" rank="0" priority="4" equalAverage="0" operator="greaterThan" aboveAverage="0" dxfId="8" text="" percent="0" bottom="0">
      <formula>DavaRiskEsik</formula>
    </cfRule>
    <cfRule type="cellIs" rank="0" priority="5" equalAverage="0" operator="lessThanOrEqual" aboveAverage="0" dxfId="10" text="" percent="0" bottom="0">
      <formula>DavaRiskEsik</formula>
    </cfRule>
  </conditionalFormatting>
  <conditionalFormatting sqref="B19">
    <cfRule type="cellIs" rank="0" priority="6" equalAverage="0" operator="greaterThan" aboveAverage="0" dxfId="8" text="" percent="0" bottom="0">
      <formula>DavaRiskButceEsik</formula>
    </cfRule>
    <cfRule type="cellIs" rank="0" priority="7" equalAverage="0" operator="lessThanOrEqual" aboveAverage="0" dxfId="10" text="" percent="0" bottom="0">
      <formula>DavaRiskButceEsik</formula>
    </cfRule>
  </conditionalFormatting>
  <conditionalFormatting sqref="B13">
    <cfRule type="cellIs" rank="0" priority="8" equalAverage="0" operator="greaterThan" aboveAverage="0" dxfId="8" text="" percent="0" bottom="0">
      <formula>KayitFarkiEsik</formula>
    </cfRule>
    <cfRule type="cellIs" rank="0" priority="9" equalAverage="0" operator="lessThanOrEqual" aboveAverage="0" dxfId="10" text="" percent="0" bottom="0">
      <formula>KayitFarkiEsik</formula>
    </cfRule>
  </conditionalFormatting>
  <conditionalFormatting sqref="B12">
    <cfRule type="cellIs" rank="0" priority="10" equalAverage="0" operator="greaterThan" aboveAverage="0" dxfId="8" text="" percent="0" bottom="0">
      <formula>0</formula>
    </cfRule>
  </conditionalFormatting>
  <conditionalFormatting sqref="B20">
    <cfRule type="cellIs" rank="0" priority="11" equalAverage="0" operator="greaterThan" aboveAverage="0" dxfId="9" text="" percent="0" bottom="0">
      <formula>0</formula>
    </cfRule>
  </conditionalFormatting>
  <conditionalFormatting sqref="B40">
    <cfRule type="cellIs" rank="0" priority="12" equalAverage="0" operator="greaterThan" aboveAverage="0" dxfId="8" text="" percent="0" bottom="0">
      <formula>DavaRiskButceEsik</formula>
    </cfRule>
    <cfRule type="cellIs" rank="0" priority="13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2" customWidth="1" style="101" min="2" max="2"/>
    <col width="40" customWidth="1" style="101" min="3" max="3"/>
  </cols>
  <sheetData>
    <row r="1" ht="25.5" customHeight="1" s="75">
      <c r="A1" s="113" t="inlineStr">
        <is>
          <t>KONTROL — FAZLA MESAİ VE İŞÇİ DAVA RİSKİ TESPİT DOSYASI</t>
        </is>
      </c>
    </row>
    <row r="3" ht="15" customHeight="1" s="75">
      <c r="A3" s="114" t="inlineStr">
        <is>
          <t>Veri Kalite Kontrolleri</t>
        </is>
      </c>
    </row>
    <row r="5" ht="15" customHeight="1" s="75">
      <c r="A5" s="134" t="inlineStr">
        <is>
          <t>Çalışan tablosunda dolu satır</t>
        </is>
      </c>
      <c r="B5" s="139">
        <f>IFERROR(COUNT(tblCalisan[Çalışan Adı]),0)</f>
        <v/>
      </c>
    </row>
    <row r="6" ht="15" customHeight="1" s="75">
      <c r="A6" s="134" t="inlineStr">
        <is>
          <t>Kayıt tablosunda dolu satır</t>
        </is>
      </c>
      <c r="B6" s="139">
        <f>IFERROR(COUNT(tblKayit[Çalışan Adı]),0)</f>
        <v/>
      </c>
    </row>
    <row r="7" ht="15" customHeight="1" s="75">
      <c r="A7" s="134" t="inlineStr">
        <is>
          <t>Negatif ücret kontrolü</t>
        </is>
      </c>
      <c r="B7" s="139">
        <f>IF(COUNTIF(tblCalisan[Aylık Brüt Ücret (₺)],"&lt;0")&gt;0,"FAIL","PASS")</f>
        <v/>
      </c>
    </row>
    <row r="8" ht="15" customHeight="1" s="75">
      <c r="A8" s="134" t="inlineStr">
        <is>
          <t>Negatif mesai kontrolü</t>
        </is>
      </c>
      <c r="B8" s="139">
        <f>IF(COUNTIF(tblCalisan[Aylık Fazla Mesai Saati],"&lt;0")&gt;0,"FAIL","PASS")</f>
        <v/>
      </c>
    </row>
    <row r="9" ht="15" customHeight="1" s="75">
      <c r="A9" s="134" t="inlineStr">
        <is>
          <t>Haftalık çalışma saati &gt; 45 kontrolü</t>
        </is>
      </c>
      <c r="B9" s="139">
        <f>IF(COUNTIF(tblCalisan[Haftalık Çalışma Saati],"&gt;"&amp;HaftalikCalismaSinir)&gt;0,"WARN","PASS")</f>
        <v/>
      </c>
    </row>
    <row r="10" ht="15" customHeight="1" s="75">
      <c r="A10" s="134" t="inlineStr">
        <is>
          <t>Belgelenen &gt; bildirilen kontrolü</t>
        </is>
      </c>
      <c r="B10" s="139">
        <f>IF(SUMPRODUCT(--(tblKayit[Belgelenen Mesai Saati]&gt;tblKayit[Bildirilen Mesai Saati]))&gt;0,"WARN","PASS")</f>
        <v/>
      </c>
    </row>
    <row r="11" ht="15" customHeight="1" s="75">
      <c r="A11" s="134" t="inlineStr">
        <is>
          <t>Boş ücret kontrolü</t>
        </is>
      </c>
      <c r="B11" s="139">
        <f>IF(COUNTIF(tblCalisan[Aylık Brüt Ücret (₺)],"")&gt;0,"FAIL","PASS")</f>
        <v/>
      </c>
    </row>
    <row r="12" ht="15" customHeight="1" s="75">
      <c r="A12" s="134" t="inlineStr">
        <is>
          <t>Boş tarih kontrolü</t>
        </is>
      </c>
      <c r="B12" s="139">
        <f>IF(COUNTIF(tblCalisan[İşe Giriş Tarihi],"")&gt;0,"WARN","PASS")</f>
        <v/>
      </c>
    </row>
    <row r="15" ht="15" customHeight="1" s="75">
      <c r="A15" s="133" t="inlineStr">
        <is>
          <t>SKORLAMA</t>
        </is>
      </c>
    </row>
    <row r="16" ht="15" customHeight="1" s="75">
      <c r="A16" s="140" t="inlineStr">
        <is>
          <t>PASS Sayısı</t>
        </is>
      </c>
      <c r="B16" s="141">
        <f>COUNTIF(B5:B12,"PASS")</f>
        <v/>
      </c>
    </row>
    <row r="17" ht="15" customHeight="1" s="75">
      <c r="A17" s="140" t="inlineStr">
        <is>
          <t>FAIL Sayısı</t>
        </is>
      </c>
      <c r="B17" s="141">
        <f>COUNTIF(B5:B12,"FAIL")</f>
        <v/>
      </c>
    </row>
    <row r="18" ht="15" customHeight="1" s="75">
      <c r="A18" s="140" t="inlineStr">
        <is>
          <t>WARN Sayısı</t>
        </is>
      </c>
      <c r="B18" s="141">
        <f>COUNTIF(B5:B12,"WARN")</f>
        <v/>
      </c>
    </row>
    <row r="19" ht="15" customHeight="1" s="75">
      <c r="A19" s="134" t="inlineStr">
        <is>
          <t>Veri Kalite Skoru</t>
        </is>
      </c>
      <c r="B19" s="135">
        <f>IFERROR(IF(DoluGirisHucre=0,0,MAX(0,VeriKaliteTaban-FAIL_Sayisi*VeriKaliteFailCeza-WARN_Sayisi*VeriKaliteUyariCeza)),0)</f>
        <v/>
      </c>
    </row>
    <row r="20" ht="15" customHeight="1" s="75">
      <c r="A20" s="140" t="inlineStr">
        <is>
          <t>Veri Kalite Seviyesi</t>
        </is>
      </c>
      <c r="B20" s="139">
        <f>IF(VeriKaliteSkoru&gt;=VeriKaliteIyiEsik,"İYİ",IF(VeriKaliteSkoru&gt;=VeriKaliteOrtaEsik,"ORTA","DÜŞÜK"))</f>
        <v/>
      </c>
    </row>
    <row r="21" ht="15" customHeight="1" s="75">
      <c r="A21" s="140" t="inlineStr">
        <is>
          <t>Dolu Girdi Hücresi</t>
        </is>
      </c>
      <c r="B21" s="141">
        <f>IFERROR(COUNT(tblCalisan[Çalışan Adı])+COUNT(tblKayit[Çalışan Adı]),0)</f>
        <v/>
      </c>
    </row>
    <row r="22" ht="15" customHeight="1" s="75">
      <c r="A22" s="140" t="inlineStr">
        <is>
          <t>Toplam Girdi Kapasitesi</t>
        </is>
      </c>
      <c r="B22" s="141">
        <f>IFERROR(ROWS(tblCalisan)+ROWS(tblKayit),0)</f>
        <v/>
      </c>
    </row>
    <row r="23" ht="15" customHeight="1" s="75">
      <c r="A23" s="140" t="inlineStr">
        <is>
          <t>Doluluk Oranı</t>
        </is>
      </c>
      <c r="B23" s="142">
        <f>IFERROR(DoluGirisHucre/KayitKapasite,0)</f>
        <v/>
      </c>
    </row>
    <row r="24" ht="15" customHeight="1" s="75">
      <c r="A24" s="134" t="inlineStr">
        <is>
          <t>Durum</t>
        </is>
      </c>
      <c r="B24" s="140">
        <f>IF(FAIL_Sayisi=0,"SAĞLIKLI","İNCELE")</f>
        <v/>
      </c>
    </row>
    <row r="26" ht="19.5" customHeight="1" s="75">
      <c r="A26" s="112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3:C3"/>
    <mergeCell ref="A1:AD1"/>
  </mergeCells>
  <conditionalFormatting sqref="B5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8" text="" percent="0" bottom="0">
      <formula>"FAIL"</formula>
    </cfRule>
    <cfRule type="cellIs" rank="0" priority="4" equalAverage="0" operator="equal" aboveAverage="0" dxfId="9" text="" percent="0" bottom="0">
      <formula>"WARN"</formula>
    </cfRule>
  </conditionalFormatting>
  <conditionalFormatting sqref="B6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8" text="" percent="0" bottom="0">
      <formula>"FAIL"</formula>
    </cfRule>
    <cfRule type="cellIs" rank="0" priority="7" equalAverage="0" operator="equal" aboveAverage="0" dxfId="9" text="" percent="0" bottom="0">
      <formula>"WARN"</formula>
    </cfRule>
  </conditionalFormatting>
  <conditionalFormatting sqref="B7">
    <cfRule type="cellIs" rank="0" priority="8" equalAverage="0" operator="equal" aboveAverage="0" dxfId="10" text="" percent="0" bottom="0">
      <formula>"PASS"</formula>
    </cfRule>
    <cfRule type="cellIs" rank="0" priority="9" equalAverage="0" operator="equal" aboveAverage="0" dxfId="8" text="" percent="0" bottom="0">
      <formula>"FAIL"</formula>
    </cfRule>
    <cfRule type="cellIs" rank="0" priority="10" equalAverage="0" operator="equal" aboveAverage="0" dxfId="9" text="" percent="0" bottom="0">
      <formula>"WARN"</formula>
    </cfRule>
  </conditionalFormatting>
  <conditionalFormatting sqref="B8">
    <cfRule type="cellIs" rank="0" priority="11" equalAverage="0" operator="equal" aboveAverage="0" dxfId="10" text="" percent="0" bottom="0">
      <formula>"PASS"</formula>
    </cfRule>
    <cfRule type="cellIs" rank="0" priority="12" equalAverage="0" operator="equal" aboveAverage="0" dxfId="8" text="" percent="0" bottom="0">
      <formula>"FAIL"</formula>
    </cfRule>
    <cfRule type="cellIs" rank="0" priority="13" equalAverage="0" operator="equal" aboveAverage="0" dxfId="9" text="" percent="0" bottom="0">
      <formula>"WARN"</formula>
    </cfRule>
  </conditionalFormatting>
  <conditionalFormatting sqref="B9">
    <cfRule type="cellIs" rank="0" priority="14" equalAverage="0" operator="equal" aboveAverage="0" dxfId="10" text="" percent="0" bottom="0">
      <formula>"PASS"</formula>
    </cfRule>
    <cfRule type="cellIs" rank="0" priority="15" equalAverage="0" operator="equal" aboveAverage="0" dxfId="8" text="" percent="0" bottom="0">
      <formula>"FAIL"</formula>
    </cfRule>
    <cfRule type="cellIs" rank="0" priority="16" equalAverage="0" operator="equal" aboveAverage="0" dxfId="9" text="" percent="0" bottom="0">
      <formula>"WARN"</formula>
    </cfRule>
  </conditionalFormatting>
  <conditionalFormatting sqref="B10">
    <cfRule type="cellIs" rank="0" priority="17" equalAverage="0" operator="equal" aboveAverage="0" dxfId="10" text="" percent="0" bottom="0">
      <formula>"PASS"</formula>
    </cfRule>
    <cfRule type="cellIs" rank="0" priority="18" equalAverage="0" operator="equal" aboveAverage="0" dxfId="8" text="" percent="0" bottom="0">
      <formula>"FAIL"</formula>
    </cfRule>
    <cfRule type="cellIs" rank="0" priority="19" equalAverage="0" operator="equal" aboveAverage="0" dxfId="9" text="" percent="0" bottom="0">
      <formula>"WARN"</formula>
    </cfRule>
  </conditionalFormatting>
  <conditionalFormatting sqref="B11">
    <cfRule type="cellIs" rank="0" priority="20" equalAverage="0" operator="equal" aboveAverage="0" dxfId="10" text="" percent="0" bottom="0">
      <formula>"PASS"</formula>
    </cfRule>
    <cfRule type="cellIs" rank="0" priority="21" equalAverage="0" operator="equal" aboveAverage="0" dxfId="8" text="" percent="0" bottom="0">
      <formula>"FAIL"</formula>
    </cfRule>
    <cfRule type="cellIs" rank="0" priority="22" equalAverage="0" operator="equal" aboveAverage="0" dxfId="9" text="" percent="0" bottom="0">
      <formula>"WARN"</formula>
    </cfRule>
  </conditionalFormatting>
  <conditionalFormatting sqref="B12">
    <cfRule type="cellIs" rank="0" priority="23" equalAverage="0" operator="equal" aboveAverage="0" dxfId="10" text="" percent="0" bottom="0">
      <formula>"PASS"</formula>
    </cfRule>
    <cfRule type="cellIs" rank="0" priority="24" equalAverage="0" operator="equal" aboveAverage="0" dxfId="8" text="" percent="0" bottom="0">
      <formula>"FAIL"</formula>
    </cfRule>
    <cfRule type="cellIs" rank="0" priority="25" equalAverage="0" operator="equal" aboveAverage="0" dxfId="9" text="" percent="0" bottom="0">
      <formula>"WARN"</formula>
    </cfRule>
  </conditionalFormatting>
  <conditionalFormatting sqref="B19">
    <cfRule type="cellIs" rank="0" priority="26" equalAverage="0" operator="greaterThanOrEqual" aboveAverage="0" dxfId="10" text="" percent="0" bottom="0">
      <formula>VeriKaliteIyiEsik</formula>
    </cfRule>
    <cfRule type="cellIs" rank="0" priority="27" equalAverage="0" operator="lessThan" aboveAverage="0" dxfId="8" text="" percent="0" bottom="0">
      <formula>VeriKaliteOrtaEsik</formula>
    </cfRule>
  </conditionalFormatting>
  <conditionalFormatting sqref="B17">
    <cfRule type="cellIs" rank="0" priority="28" equalAverage="0" operator="greaterThan" aboveAverage="0" dxfId="8" text="" percent="0" bottom="0">
      <formula>0</formula>
    </cfRule>
  </conditionalFormatting>
  <conditionalFormatting sqref="B18">
    <cfRule type="cellIs" rank="0" priority="29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8" customWidth="1" style="101" min="2" max="2"/>
    <col width="22" customWidth="1" style="101" min="3" max="3"/>
  </cols>
  <sheetData>
    <row r="1" ht="25.5" customHeight="1" s="75">
      <c r="A1" s="113" t="inlineStr">
        <is>
          <t>KARAR — FAZLA MESAİ VE İŞÇİ DAVA RİSKİ TESPİT DOSYASI</t>
        </is>
      </c>
    </row>
    <row r="3" ht="15" customHeight="1" s="75">
      <c r="A3" s="114" t="inlineStr">
        <is>
          <t>Karar Motoru</t>
        </is>
      </c>
    </row>
    <row r="5" ht="15" customHeight="1" s="75">
      <c r="A5" s="133" t="inlineStr">
        <is>
          <t>DAVA RİSKİ ÖZETİ</t>
        </is>
      </c>
    </row>
    <row r="6" ht="15" customHeight="1" s="75">
      <c r="A6" s="140" t="inlineStr">
        <is>
          <t>Toplam Dava Risk Tutarı</t>
        </is>
      </c>
      <c r="B6" s="136">
        <f>ToplamDavaRiskTutari</f>
        <v/>
      </c>
    </row>
    <row r="7" ht="15" customHeight="1" s="75">
      <c r="A7" s="140" t="inlineStr">
        <is>
          <t>Risk Bütçesi Kalanı</t>
        </is>
      </c>
      <c r="B7" s="136">
        <f>IFERROR(DavaRiskButceEsik-ToplamDavaRiskTutari,0)</f>
        <v/>
      </c>
    </row>
    <row r="8" ht="15" customHeight="1" s="75">
      <c r="A8" s="140" t="inlineStr">
        <is>
          <t>Dava Risk Oranı</t>
        </is>
      </c>
      <c r="B8" s="137">
        <f>DavaRiskOrani</f>
        <v/>
      </c>
    </row>
    <row r="9" ht="15" customHeight="1" s="75">
      <c r="A9" s="140" t="inlineStr">
        <is>
          <t>270 Saat Aşan Çalışan</t>
        </is>
      </c>
      <c r="B9" s="135">
        <f>SinirAsimCalisan</f>
        <v/>
      </c>
    </row>
    <row r="11" ht="18.75" customHeight="1" s="75">
      <c r="A11" s="114" t="inlineStr">
        <is>
          <t>KARAR</t>
        </is>
      </c>
      <c r="B11" s="143">
        <f>IF(VeriKaliteSkoru=0,"VERİ YOK",IF(OR(ToplamDavaRiskTutari&lt;0,SinirAsimCalisan&lt;0),"DURDUR",IF(OR(KayitFarkiOrani&gt;KayitFarkiEsik,SinirAsimCalisan&gt;0),"DURDUR",IF(DavaRiskOrani&gt;DavaRiskEsik,"İNCELE",IF(AnomaliCalisanAdedi&gt;0,"İNCELE","UYGUN")))))</f>
        <v/>
      </c>
    </row>
    <row r="12" ht="27.75" customHeight="1" s="75">
      <c r="A12" s="140" t="inlineStr">
        <is>
          <t>GEREKÇE</t>
        </is>
      </c>
      <c r="B12" s="144">
        <f>IF(VeriKaliteSkoru=0,"Girdi eksik; lütfen sarı hücreleri doldurun.",IF(ToplamDavaRiskTutari&lt;0,"Risk tutarı negatif: ücret kayıtlarını kontrol edin.",IF(KayitFarkiOrani&gt;KayitFarkiEsik,"Kayıt farkı %"&amp;TEXT(KayitFarkiOrani,"0.0%")&amp;" eşik üstünde; belgesiz mesai dava riski yüksek.",IF(SinirAsimCalisan&gt;0,SinirAsimCalisan&amp;" çalışan 270 saat sınırını aşıyor; aşım tutarı "&amp;TEXT(ToplamSinirAsimTutari,"#,##0")&amp;" ₺.",IF(DavaRiskOrani&gt;DavaRiskEsik,"Dava risk oranı %"&amp;TEXT(DavaRiskOrani,"0.0%")&amp;" eşik üstünde; fazla mesai yükü yüksek.","Fazla mesai yükü ve kayıtlar eşikler içinde kabul edilebilir.")))))</f>
        <v/>
      </c>
    </row>
    <row r="14" ht="15" customHeight="1" s="75">
      <c r="A14" s="133" t="inlineStr">
        <is>
          <t>AKSİYONLAR</t>
        </is>
      </c>
    </row>
    <row r="15" ht="15" customHeight="1" s="75">
      <c r="A15" s="144">
        <f>IF(OR(KararSonuc="VERİ YOK",KararSonuc="DURDUR"),"Mesai kayıtlarını ve belgelerini tamamlayın; 270 saat aşımını personel planlamasıyla azaltın",IF(KayitFarkiOrani&gt;KayitFarkiEsik,"Belgesiz mesai için yazılı onay ve puantaj kaydı oluşturun","Kayıt sürecini sürdürün; aylık mutabakat yapın"))</f>
        <v/>
      </c>
    </row>
    <row r="16" ht="15" customHeight="1" s="75">
      <c r="A16" s="144">
        <f>IF(SinirAsimCalisan&gt;0,"270 saat sınırı aşan çalışanlar için mesai planını yeniden düzenleyin","Mesai saatleri sınır içinde")</f>
        <v/>
      </c>
    </row>
    <row r="17" ht="15" customHeight="1" s="75">
      <c r="A17" s="144">
        <f>IF(AnomaliCalisanAdedi&gt;0,"Uç mesaili çalışanların puantaj ve ödeme kayıtlarını inceleyin","Mesai dağılımı tutarlı")</f>
        <v/>
      </c>
    </row>
    <row r="18" ht="15" customHeight="1" s="75">
      <c r="A18" s="144">
        <f>IF(RiskAcikKopru&gt;0,"Risk açığı "&amp;TEXT(RiskAcikKopru,"#,##0")&amp;" ₺; hukuk ve bütçe planını güçlendirin","Risk bütçesi içinde; planlama sürdürülebilir")</f>
        <v/>
      </c>
    </row>
    <row r="21" ht="19.5" customHeight="1" s="75">
      <c r="A21" s="112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  <cfRule type="cellIs" rank="0" priority="5" equalAverage="0" operator="equal" aboveAverage="0" dxfId="11" text="" percent="0" bottom="0">
      <formula>"VERİ YOK"</formula>
    </cfRule>
  </conditionalFormatting>
  <conditionalFormatting sqref="B8">
    <cfRule type="cellIs" rank="0" priority="6" equalAverage="0" operator="greaterThan" aboveAverage="0" dxfId="8" text="" percent="0" bottom="0">
      <formula>DavaRiskEsik</formula>
    </cfRule>
    <cfRule type="cellIs" rank="0" priority="7" equalAverage="0" operator="lessThanOrEqual" aboveAverage="0" dxfId="10" text="" percent="0" bottom="0">
      <formula>DavaRiskEsik</formula>
    </cfRule>
  </conditionalFormatting>
  <conditionalFormatting sqref="B6">
    <cfRule type="cellIs" rank="0" priority="8" equalAverage="0" operator="greaterThan" aboveAverage="0" dxfId="8" text="" percent="0" bottom="0">
      <formula>DavaRiskButceEsik</formula>
    </cfRule>
    <cfRule type="cellIs" rank="0" priority="9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1" min="1" max="1"/>
    <col width="18" customWidth="1" style="101" min="2" max="6"/>
  </cols>
  <sheetData>
    <row r="1" ht="25.5" customHeight="1" s="75">
      <c r="A1" s="113" t="inlineStr">
        <is>
          <t>SENARYO DUYARLILIK — FAZLA MESAİ VE İŞÇİ DAVA RİSKİ TESPİT DOSYASI</t>
        </is>
      </c>
    </row>
    <row r="3" ht="15" customHeight="1" s="75">
      <c r="A3" s="114" t="inlineStr">
        <is>
          <t>Senaryo ve Duyarlılık Analizi</t>
        </is>
      </c>
    </row>
    <row r="5" ht="15" customHeight="1" s="75">
      <c r="A5" s="133" t="inlineStr">
        <is>
          <t>SENARYO MOTORU</t>
        </is>
      </c>
    </row>
    <row r="6" ht="15" customHeight="1" s="75">
      <c r="A6" s="134" t="inlineStr">
        <is>
          <t>Açıklama</t>
        </is>
      </c>
      <c r="B6" s="134" t="inlineStr">
        <is>
          <t>Kötümser</t>
        </is>
      </c>
      <c r="C6" s="134" t="inlineStr">
        <is>
          <t>Baz</t>
        </is>
      </c>
      <c r="D6" s="134" t="inlineStr">
        <is>
          <t>İyimser</t>
        </is>
      </c>
    </row>
    <row r="7" ht="15" customHeight="1" s="75">
      <c r="A7" s="134" t="inlineStr">
        <is>
          <t>Mesai Değişim Çarpanı</t>
        </is>
      </c>
      <c r="B7" s="137">
        <f>1-SenaryoKotumserKat*OrtalamaAylikMesaiSaati/MAX(OrtalamaAylikMesaiSaati,BolumPaydaTaban)</f>
        <v/>
      </c>
      <c r="C7" s="137">
        <f>1</f>
        <v/>
      </c>
      <c r="D7" s="137">
        <f>1+SenaryoIyimserKat*OrtalamaAylikMesaiSaati/MAX(OrtalamaAylikMesaiSaati,BolumPaydaTaban)</f>
        <v/>
      </c>
    </row>
    <row r="8" ht="15" customHeight="1" s="75">
      <c r="A8" s="134" t="inlineStr">
        <is>
          <t>Risk Tutarı (₺)</t>
        </is>
      </c>
      <c r="B8" s="136">
        <f>IFERROR(ToplamDavaRiskTutari*(1-SenaryoKotumserKat*OrtalamaAylikMesaiSaati/MAX(OrtalamaAylikMesaiSaati,BolumPaydaTaban)),0)</f>
        <v/>
      </c>
      <c r="C8" s="136">
        <f>ToplamDavaRiskTutari</f>
        <v/>
      </c>
      <c r="D8" s="136">
        <f>IFERROR(ToplamDavaRiskTutari*(1+SenaryoIyimserKat*OrtalamaAylikMesaiSaati/MAX(OrtalamaAylikMesaiSaati,BolumPaydaTaban)),0)</f>
        <v/>
      </c>
    </row>
    <row r="9" ht="15" customHeight="1" s="75">
      <c r="A9" s="134" t="inlineStr">
        <is>
          <t>Kayıt Farkı Oranı (Kötümser Senaryo)</t>
        </is>
      </c>
      <c r="B9" s="137">
        <f>IFERROR(KayitFarkiOrani*(1+SenaryoKotumserKat*OrtalamaAylikMesaiSaati/MAX(OrtalamaAylikMesaiSaati,BolumPaydaTaban)),0)</f>
        <v/>
      </c>
      <c r="C9" s="137">
        <f>KayitFarkiOrani</f>
        <v/>
      </c>
      <c r="D9" s="137">
        <f>IFERROR(MAX(0,KayitFarkiOrani*(1-SenaryoIyimserKat*OrtalamaAylikMesaiSaati/MAX(OrtalamaAylikMesaiSaati,BolumPaydaTaban))),0)</f>
        <v/>
      </c>
    </row>
    <row r="10" ht="15" customHeight="1" s="75">
      <c r="A10" s="134" t="inlineStr">
        <is>
          <t>Karar</t>
        </is>
      </c>
      <c r="B10" s="139">
        <f>IF(VeriKaliteSkoru=0,"VERİ YOK",IF(OR(B9&gt;KayitFarkiEsik,B8&gt;DavaRiskButceEsik),"DURDUR",IF(B8&gt;DavaRiskButceEsik*ButceInceleEsikOran,"İNCELE","UYGUN")))</f>
        <v/>
      </c>
      <c r="C10" s="139">
        <f>IF(VeriKaliteSkoru=0,"VERİ YOK",IF(OR(C9&gt;KayitFarkiEsik,C8&gt;DavaRiskButceEsik),"DURDUR",IF(C8&gt;DavaRiskButceEsik*ButceInceleEsikOran,"İNCELE","UYGUN")))</f>
        <v/>
      </c>
      <c r="D10" s="139">
        <f>IF(VeriKaliteSkoru=0,"VERİ YOK",IF(OR(D9&gt;KayitFarkiEsik,D8&gt;DavaRiskButceEsik),"DURDUR",IF(D8&gt;DavaRiskButceEsik*ButceInceleEsikOran,"İNCELE","UYGUN")))</f>
        <v/>
      </c>
    </row>
    <row r="12" ht="15" customHeight="1" s="75">
      <c r="A12" s="133" t="inlineStr">
        <is>
          <t>TORNADO ANALİZİ</t>
        </is>
      </c>
    </row>
    <row r="13" ht="15" customHeight="1" s="75">
      <c r="A13" s="134" t="inlineStr">
        <is>
          <t>Değişken</t>
        </is>
      </c>
      <c r="B13" s="134" t="inlineStr">
        <is>
          <t>Düşük</t>
        </is>
      </c>
      <c r="C13" s="134" t="inlineStr">
        <is>
          <t>Baz</t>
        </is>
      </c>
      <c r="D13" s="134" t="inlineStr">
        <is>
          <t>Yüksek</t>
        </is>
      </c>
      <c r="E13" s="134" t="inlineStr">
        <is>
          <t>Risk Düşük</t>
        </is>
      </c>
      <c r="F13" s="134" t="inlineStr">
        <is>
          <t>Risk Yüksek</t>
        </is>
      </c>
    </row>
    <row r="14" ht="15" customHeight="1" s="75">
      <c r="A14" s="134" t="inlineStr">
        <is>
          <t>Mesai Saati</t>
        </is>
      </c>
      <c r="B14" s="136">
        <f>ToplamDavaRiskTutari*(1-DuyarliDegisim)</f>
        <v/>
      </c>
      <c r="C14" s="136">
        <f>ToplamDavaRiskTutari</f>
        <v/>
      </c>
      <c r="D14" s="136">
        <f>ToplamDavaRiskTutari*(1+DuyarliDegisim)</f>
        <v/>
      </c>
      <c r="E14" s="137">
        <f>B14/DavaRiskButceEsik</f>
        <v/>
      </c>
      <c r="F14" s="137">
        <f>D14/DavaRiskButceEsik</f>
        <v/>
      </c>
    </row>
    <row r="15" ht="15" customHeight="1" s="75">
      <c r="A15" s="134" t="inlineStr">
        <is>
          <t>Ücret Seviyesi</t>
        </is>
      </c>
      <c r="B15" s="136">
        <f>ToplamDavaRiskTutari*(1-DuyarliDegisim)</f>
        <v/>
      </c>
      <c r="C15" s="136">
        <f>ToplamDavaRiskTutari</f>
        <v/>
      </c>
      <c r="D15" s="136">
        <f>ToplamDavaRiskTutari*(1+DuyarliDegisim)</f>
        <v/>
      </c>
      <c r="E15" s="137">
        <f>B15/DavaRiskButceEsik</f>
        <v/>
      </c>
      <c r="F15" s="137">
        <f>D15/DavaRiskButceEsik</f>
        <v/>
      </c>
    </row>
    <row r="17" ht="15" customHeight="1" s="75">
      <c r="A17" s="133" t="inlineStr">
        <is>
          <t>KIRILIM ANALİZİ</t>
        </is>
      </c>
    </row>
    <row r="18" ht="15" customHeight="1" s="75">
      <c r="A18" s="140" t="inlineStr">
        <is>
          <t>Dava Risk Oranı - Asgari Eşik Farkı</t>
        </is>
      </c>
      <c r="B18" s="137">
        <f>IFERROR(DavaRiskOrani-DavaRiskEsik,0)</f>
        <v/>
      </c>
    </row>
    <row r="19" ht="15" customHeight="1" s="75">
      <c r="A19" s="140" t="inlineStr">
        <is>
          <t>Kayıt Farkı - Eşik Farkı</t>
        </is>
      </c>
      <c r="B19" s="137">
        <f>IFERROR(KayitFarkiOrani-KayitFarkiEsik,0)</f>
        <v/>
      </c>
    </row>
    <row r="20" ht="15" customHeight="1" s="75">
      <c r="A20" s="140" t="inlineStr">
        <is>
          <t>270 Saat Sınır Aşımı</t>
        </is>
      </c>
      <c r="B20" s="135">
        <f>IFERROR(MAX(0,ToplamYillikMesaiSaati-YillikMesaiSinir*ToplamCalisanSayisi),0)</f>
        <v/>
      </c>
    </row>
    <row r="22" ht="19.5" customHeight="1" s="75">
      <c r="A22" s="112" t="inlineStr">
        <is>
          <t>Senaryo, tornado ve kırılım değerleri canlı formülle veriden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F3"/>
    <mergeCell ref="A22:AN22"/>
    <mergeCell ref="A1:AD1"/>
  </mergeCells>
  <conditionalFormatting sqref="B7">
    <cfRule type="cellIs" rank="0" priority="2" equalAverage="0" operator="greaterThan" aboveAverage="0" dxfId="10" text="" percent="0" bottom="0">
      <formula>0</formula>
    </cfRule>
  </conditionalFormatting>
  <conditionalFormatting sqref="C7">
    <cfRule type="cellIs" rank="0" priority="3" equalAverage="0" operator="greaterThan" aboveAverage="0" dxfId="10" text="" percent="0" bottom="0">
      <formula>0</formula>
    </cfRule>
  </conditionalFormatting>
  <conditionalFormatting sqref="D7">
    <cfRule type="cellIs" rank="0" priority="4" equalAverage="0" operator="greaterThan" aboveAverage="0" dxfId="10" text="" percent="0" bottom="0">
      <formula>0</formula>
    </cfRule>
  </conditionalFormatting>
  <conditionalFormatting sqref="B8">
    <cfRule type="cellIs" rank="0" priority="5" equalAverage="0" operator="greaterThan" aboveAverage="0" dxfId="10" text="" percent="0" bottom="0">
      <formula>0</formula>
    </cfRule>
  </conditionalFormatting>
  <conditionalFormatting sqref="C8">
    <cfRule type="cellIs" rank="0" priority="6" equalAverage="0" operator="greaterThan" aboveAverage="0" dxfId="10" text="" percent="0" bottom="0">
      <formula>0</formula>
    </cfRule>
  </conditionalFormatting>
  <conditionalFormatting sqref="D8">
    <cfRule type="cellIs" rank="0" priority="7" equalAverage="0" operator="greaterThan" aboveAverage="0" dxfId="10" text="" percent="0" bottom="0">
      <formula>0</formula>
    </cfRule>
  </conditionalFormatting>
  <conditionalFormatting sqref="B9">
    <cfRule type="cellIs" rank="0" priority="8" equalAverage="0" operator="greaterThan" aboveAverage="0" dxfId="10" text="" percent="0" bottom="0">
      <formula>0</formula>
    </cfRule>
  </conditionalFormatting>
  <conditionalFormatting sqref="C9">
    <cfRule type="cellIs" rank="0" priority="9" equalAverage="0" operator="greaterThan" aboveAverage="0" dxfId="10" text="" percent="0" bottom="0">
      <formula>0</formula>
    </cfRule>
  </conditionalFormatting>
  <conditionalFormatting sqref="D9">
    <cfRule type="cellIs" rank="0" priority="10" equalAverage="0" operator="greaterThan" aboveAverage="0" dxfId="10" text="" percent="0" bottom="0">
      <formula>0</formula>
    </cfRule>
  </conditionalFormatting>
  <conditionalFormatting sqref="B10">
    <cfRule type="cellIs" rank="0" priority="11" equalAverage="0" operator="greaterThan" aboveAverage="0" dxfId="10" text="" percent="0" bottom="0">
      <formula>0</formula>
    </cfRule>
  </conditionalFormatting>
  <conditionalFormatting sqref="C10">
    <cfRule type="cellIs" rank="0" priority="12" equalAverage="0" operator="greaterThan" aboveAverage="0" dxfId="10" text="" percent="0" bottom="0">
      <formula>0</formula>
    </cfRule>
  </conditionalFormatting>
  <conditionalFormatting sqref="D10">
    <cfRule type="cellIs" rank="0" priority="13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D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8" customWidth="1" style="101" min="2" max="2"/>
    <col width="22" customWidth="1" style="101" min="3" max="3"/>
  </cols>
  <sheetData>
    <row r="1" ht="25.5" customHeight="1" s="75">
      <c r="A1" s="113" t="inlineStr">
        <is>
          <t>RAPOR — FAZLA MESAİ VE İŞÇİ DAVA RİSKİ TESPİT DOSYASI</t>
        </is>
      </c>
    </row>
    <row r="3" ht="17.25" customHeight="1" s="75">
      <c r="A3" s="145" t="inlineStr">
        <is>
          <t>Fazla Mesai ve İşçi Dava Riski — Yönetici Raporu</t>
        </is>
      </c>
    </row>
    <row r="4" ht="15" customHeight="1" s="75">
      <c r="A4" s="115">
        <f>"Firma: "&amp;firmaUnvani&amp;" | Tarih: "&amp;TEXT(raporTarihi,"GG.AA.YYYY")&amp;" | Sürüm: 1.0.0"</f>
        <v/>
      </c>
    </row>
    <row r="6" ht="18.75" customHeight="1" s="75">
      <c r="A6" s="133" t="inlineStr">
        <is>
          <t>KARAR</t>
        </is>
      </c>
      <c r="B6" s="157">
        <f>KararSonuc</f>
        <v/>
      </c>
    </row>
    <row r="7" ht="15" customHeight="1" s="75">
      <c r="A7" s="140" t="inlineStr">
        <is>
          <t>Gerekçe</t>
        </is>
      </c>
      <c r="B7" s="158">
        <f>KararGerekce</f>
        <v/>
      </c>
    </row>
    <row r="9" ht="15" customHeight="1" s="75">
      <c r="A9" s="133" t="inlineStr">
        <is>
          <t>ANA METRİKLER</t>
        </is>
      </c>
    </row>
    <row r="10" ht="15" customHeight="1" s="75">
      <c r="A10" s="140" t="inlineStr">
        <is>
          <t>Toplam Dava Risk Tutarı</t>
        </is>
      </c>
      <c r="B10" s="136">
        <f>ToplamDavaRiskTutari</f>
        <v/>
      </c>
    </row>
    <row r="11" ht="15" customHeight="1" s="75">
      <c r="A11" s="140" t="inlineStr">
        <is>
          <t>Toplam Fazla Mesai Ücreti</t>
        </is>
      </c>
      <c r="B11" s="136">
        <f>ToplamFazlaMesaiUcreti</f>
        <v/>
      </c>
    </row>
    <row r="12" ht="15" customHeight="1" s="75">
      <c r="A12" s="140" t="inlineStr">
        <is>
          <t>Toplam Sınır Aşım Tutarı</t>
        </is>
      </c>
      <c r="B12" s="136">
        <f>ToplamSinirAsimTutari</f>
        <v/>
      </c>
    </row>
    <row r="13" ht="15" customHeight="1" s="75">
      <c r="A13" s="140" t="inlineStr">
        <is>
          <t>Kayıt Farkı Risk Tutarı</t>
        </is>
      </c>
      <c r="B13" s="136">
        <f>KayitFarkiRiskTutari</f>
        <v/>
      </c>
    </row>
    <row r="14" ht="15" customHeight="1" s="75">
      <c r="A14" s="140" t="inlineStr">
        <is>
          <t>Kayıt Farkı Oranı</t>
        </is>
      </c>
      <c r="B14" s="137">
        <f>KayitFarkiOrani</f>
        <v/>
      </c>
    </row>
    <row r="15" ht="15" customHeight="1" s="75">
      <c r="A15" s="140" t="inlineStr">
        <is>
          <t>270 Saat Aşan Çalışan</t>
        </is>
      </c>
      <c r="B15" s="135">
        <f>SinirAsimCalisan</f>
        <v/>
      </c>
    </row>
    <row r="16" ht="15" customHeight="1" s="75">
      <c r="A16" s="140" t="inlineStr">
        <is>
          <t>Dava Risk Oranı</t>
        </is>
      </c>
      <c r="B16" s="137">
        <f>DavaRiskOrani</f>
        <v/>
      </c>
    </row>
    <row r="17" ht="15" customHeight="1" s="75">
      <c r="A17" s="140" t="inlineStr">
        <is>
          <t>Zamanaşımı Pencere Riski</t>
        </is>
      </c>
      <c r="B17" s="136">
        <f>ZamanaSimiPencereRiskTutari</f>
        <v/>
      </c>
    </row>
    <row r="18" ht="15" customHeight="1" s="75">
      <c r="A18" s="140" t="inlineStr">
        <is>
          <t>Veri Kalite Skoru</t>
        </is>
      </c>
      <c r="B18" s="135">
        <f>VeriKaliteSkoru</f>
        <v/>
      </c>
    </row>
    <row r="20" ht="15" customHeight="1" s="75">
      <c r="A20" s="133" t="inlineStr">
        <is>
          <t>VARSAYIMLAR</t>
        </is>
      </c>
    </row>
    <row r="21" ht="15" customHeight="1" s="75">
      <c r="A21" s="115" t="inlineStr">
        <is>
          <t>Fazla mesai katsayısı %50; yıllık sınır 270 saat (4857 s. md.41).</t>
        </is>
      </c>
    </row>
    <row r="22" ht="15" customHeight="1" s="75">
      <c r="A22" s="115" t="inlineStr">
        <is>
          <t>Zamanaşımı penceresi 5 yıl (4857 s. md.32/8).</t>
        </is>
      </c>
    </row>
    <row r="23" ht="15" customHeight="1" s="75">
      <c r="A23" s="115" t="inlineStr">
        <is>
          <t>Saatlik ücret aylık brüt ücretin 30×8 saate bölümüyle hesaplanır (AYARLAR).</t>
        </is>
      </c>
    </row>
    <row r="24" ht="15" customHeight="1" s="75">
      <c r="A24" s="115" t="inlineStr">
        <is>
          <t>Kayıt farkı risk tutarı, belgelenmeyen mesai oranı üzerinden hesaplanır.</t>
        </is>
      </c>
    </row>
    <row r="26" ht="15" customHeight="1" s="75">
      <c r="A26" s="133" t="inlineStr">
        <is>
          <t>UYARILAR</t>
        </is>
      </c>
    </row>
    <row r="27" ht="15" customHeight="1" s="75">
      <c r="A27" s="106">
        <f>IF(VeriKaliteSkoru&lt;VeriKaliteIyiEsik,"Veri kalite skoru düşük; girişleri kontrol edin.","Veri kalitesi yeterli.")</f>
        <v/>
      </c>
    </row>
    <row r="28" ht="15" customHeight="1" s="75">
      <c r="A28" s="106">
        <f>IF(KayitFarkiOrani&gt;KayitFarkiEsik,"Belgesiz mesai yüksek; yazılı onay ve puantaj kaydı gerekli.","Kayıtlar yeterli.")</f>
        <v/>
      </c>
    </row>
    <row r="29" ht="15" customHeight="1" s="75">
      <c r="A29" s="106">
        <f>IF(SinirAsimCalisan&gt;0,"270 saat sınır aşımı var; mesai planı revize edilmeli.","Sınır aşımı yok.")</f>
        <v/>
      </c>
    </row>
    <row r="31" ht="15" customHeight="1" s="75">
      <c r="A31" s="133" t="inlineStr">
        <is>
          <t>ÖNERİLEN AKSİYONLAR</t>
        </is>
      </c>
    </row>
    <row r="32" ht="15" customHeight="1" s="75">
      <c r="A32" s="144">
        <f>A15</f>
        <v/>
      </c>
    </row>
    <row r="33" ht="15" customHeight="1" s="75">
      <c r="A33" s="144">
        <f>A16</f>
        <v/>
      </c>
    </row>
    <row r="34" ht="15" customHeight="1" s="75">
      <c r="A34" s="144">
        <f>A17</f>
        <v/>
      </c>
    </row>
    <row r="35" ht="15" customHeight="1" s="75">
      <c r="A35" s="144">
        <f>A18</f>
        <v/>
      </c>
    </row>
    <row r="37" ht="15" customHeight="1" s="75">
      <c r="A37" s="159" t="inlineStr">
        <is>
          <t>Bu rapor karar destek amaçlıdır; nihai risk değerlendirmesi hukukçudan alınmalıdır.</t>
        </is>
      </c>
    </row>
    <row r="38" ht="15" customHeight="1" s="75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6">
    <mergeCell ref="A28:C28"/>
    <mergeCell ref="A33:C33"/>
    <mergeCell ref="B7:C7"/>
    <mergeCell ref="A23:C23"/>
    <mergeCell ref="A32:C32"/>
    <mergeCell ref="A22:C22"/>
    <mergeCell ref="A27:C27"/>
    <mergeCell ref="A3:C3"/>
    <mergeCell ref="A21:C21"/>
    <mergeCell ref="A34:C34"/>
    <mergeCell ref="A35:C35"/>
    <mergeCell ref="A4:C4"/>
    <mergeCell ref="A1:AD1"/>
    <mergeCell ref="A24:C24"/>
    <mergeCell ref="A37:C38"/>
    <mergeCell ref="A29:C29"/>
  </mergeCells>
  <conditionalFormatting sqref="B6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B10">
    <cfRule type="cellIs" rank="0" priority="5" equalAverage="0" operator="greaterThan" aboveAverage="0" dxfId="8" text="" percent="0" bottom="0">
      <formula>DavaRiskButceEsik</formula>
    </cfRule>
    <cfRule type="cellIs" rank="0" priority="6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&amp;LFAZLA MESAİ VE İŞÇİ DAVA RİSKİ TESPİT DOSYASI&amp;CExcelArşiv&amp;RSayfa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1" min="1" max="1"/>
    <col width="16" customWidth="1" style="101" min="2" max="5"/>
  </cols>
  <sheetData>
    <row r="1" ht="25.5" customHeight="1" s="75">
      <c r="A1" s="113" t="inlineStr">
        <is>
          <t>ORNEK VERI — FAZLA MESAİ VE İŞÇİ DAVA RİSKİ TESPİT DOSYASI</t>
        </is>
      </c>
    </row>
    <row r="3" ht="15" customHeight="1" s="75">
      <c r="A3" s="114" t="inlineStr">
        <is>
          <t>Örnek Veri</t>
        </is>
      </c>
    </row>
    <row r="4" ht="41.25" customHeight="1" s="75">
      <c r="A4" s="115" t="inlineStr">
        <is>
          <t>CALISANLAR ve KAYITLAR sayfalarına aktarılacak örnek satırlar.</t>
        </is>
      </c>
    </row>
    <row r="5" ht="30" customHeight="1" s="75">
      <c r="A5" s="116" t="inlineStr">
        <is>
          <t>Çalışan Adı</t>
        </is>
      </c>
      <c r="B5" s="116" t="inlineStr">
        <is>
          <t>İşe Giriş Tarihi</t>
        </is>
      </c>
      <c r="C5" s="116" t="inlineStr">
        <is>
          <t>Aylık Brüt Ücret (₺)</t>
        </is>
      </c>
      <c r="D5" s="116" t="inlineStr">
        <is>
          <t>Haftalık Çalışma Saati</t>
        </is>
      </c>
      <c r="E5" s="116" t="inlineStr">
        <is>
          <t>Aylık Fazla Mesai Saati</t>
        </is>
      </c>
    </row>
    <row r="7" ht="15" customHeight="1" s="75">
      <c r="A7" s="117" t="inlineStr">
        <is>
          <t>Ahmet Yılmaz</t>
        </is>
      </c>
      <c r="B7" s="118" t="n">
        <v>43891</v>
      </c>
      <c r="C7" s="119" t="n">
        <v>45000</v>
      </c>
      <c r="D7" s="120" t="n">
        <v>45</v>
      </c>
      <c r="E7" s="120" t="n">
        <v>20</v>
      </c>
    </row>
    <row r="8" ht="15" customHeight="1" s="75">
      <c r="A8" s="117" t="inlineStr">
        <is>
          <t>Ayşe Kaya</t>
        </is>
      </c>
      <c r="B8" s="118" t="n">
        <v>42156</v>
      </c>
      <c r="C8" s="119" t="n">
        <v>55000</v>
      </c>
      <c r="D8" s="120" t="n">
        <v>48</v>
      </c>
      <c r="E8" s="120" t="n">
        <v>35</v>
      </c>
    </row>
    <row r="9" ht="15" customHeight="1" s="75">
      <c r="A9" s="117" t="inlineStr">
        <is>
          <t>Mehmet Demir</t>
        </is>
      </c>
      <c r="B9" s="118" t="n">
        <v>44576</v>
      </c>
      <c r="C9" s="119" t="n">
        <v>30000</v>
      </c>
      <c r="D9" s="120" t="n">
        <v>45</v>
      </c>
      <c r="E9" s="120" t="n">
        <v>10</v>
      </c>
    </row>
    <row r="10" ht="15" customHeight="1" s="75">
      <c r="A10" s="117" t="inlineStr">
        <is>
          <t>Zeynep Çelik</t>
        </is>
      </c>
      <c r="B10" s="118" t="n">
        <v>43191</v>
      </c>
      <c r="C10" s="119" t="n">
        <v>40000</v>
      </c>
      <c r="D10" s="120" t="n">
        <v>50</v>
      </c>
      <c r="E10" s="120" t="n">
        <v>40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1" min="1" max="1"/>
    <col width="16" customWidth="1" style="101" min="2" max="2"/>
    <col width="14" customWidth="1" style="101" min="3" max="4"/>
    <col width="10" customWidth="1" style="101" min="5" max="5"/>
    <col width="14" customWidth="1" style="101" min="6" max="6"/>
    <col width="40" customWidth="1" style="101" min="7" max="7"/>
  </cols>
  <sheetData>
    <row r="1" ht="15" customHeight="1" s="75">
      <c r="A1" s="101" t="inlineStr">
        <is>
          <t>AKIS — FazlaMesaiVeIsciDavaRiskiTespitDosyasi</t>
        </is>
      </c>
    </row>
    <row r="3" ht="15" customHeight="1" s="75">
      <c r="A3" s="101" t="inlineStr">
        <is>
          <t>islem_id</t>
        </is>
      </c>
      <c r="B3" s="101" t="inlineStr">
        <is>
          <t>kaynak_kart_id</t>
        </is>
      </c>
      <c r="C3" s="101" t="inlineStr">
        <is>
          <t>onceki_durum</t>
        </is>
      </c>
      <c r="D3" s="101" t="inlineStr">
        <is>
          <t>yeni_durum</t>
        </is>
      </c>
      <c r="E3" s="101" t="inlineStr">
        <is>
          <t>tutar</t>
        </is>
      </c>
      <c r="F3" s="101" t="inlineStr">
        <is>
          <t>bayrak</t>
        </is>
      </c>
      <c r="G3" s="101" t="inlineStr">
        <is>
          <t>not</t>
        </is>
      </c>
    </row>
    <row r="4" ht="15" customHeight="1" s="75">
      <c r="A4" s="101" t="inlineStr">
        <is>
          <t>I-001</t>
        </is>
      </c>
      <c r="B4" s="101" t="inlineStr">
        <is>
          <t>KART-01</t>
        </is>
      </c>
      <c r="C4" s="101" t="inlineStr">
        <is>
          <t>ACIK</t>
        </is>
      </c>
      <c r="D4" s="101" t="inlineStr">
        <is>
          <t>ISLEMDE</t>
        </is>
      </c>
      <c r="E4" s="160" t="n">
        <v>1000</v>
      </c>
      <c r="F4" s="101" t="inlineStr">
        <is>
          <t>OK</t>
        </is>
      </c>
      <c r="G4" s="101" t="inlineStr">
        <is>
          <t>normal geçiş</t>
        </is>
      </c>
    </row>
    <row r="5" ht="15" customHeight="1" s="75">
      <c r="A5" s="101" t="inlineStr">
        <is>
          <t>I-002</t>
        </is>
      </c>
      <c r="B5" s="101" t="inlineStr">
        <is>
          <t>YETİM</t>
        </is>
      </c>
      <c r="C5" s="101" t="inlineStr">
        <is>
          <t>ACIK</t>
        </is>
      </c>
      <c r="D5" s="101" t="inlineStr">
        <is>
          <t>KAPALI</t>
        </is>
      </c>
      <c r="E5" s="160" t="n">
        <v>0</v>
      </c>
      <c r="F5" s="101" t="inlineStr">
        <is>
          <t>YETİM</t>
        </is>
      </c>
      <c r="G5" s="101" t="inlineStr">
        <is>
          <t>kaynak_kart_id yok — yetim kayıt</t>
        </is>
      </c>
    </row>
    <row r="6" ht="15" customHeight="1" s="75">
      <c r="A6" s="101" t="inlineStr">
        <is>
          <t>I-003</t>
        </is>
      </c>
      <c r="B6" s="101" t="inlineStr">
        <is>
          <t>KART-02</t>
        </is>
      </c>
      <c r="C6" s="101" t="inlineStr">
        <is>
          <t>ACIK</t>
        </is>
      </c>
      <c r="D6" s="101" t="inlineStr">
        <is>
          <t>KAPALI</t>
        </is>
      </c>
      <c r="E6" s="160" t="n">
        <v>500</v>
      </c>
      <c r="F6" s="101" t="inlineStr">
        <is>
          <t>GECERSIZ</t>
        </is>
      </c>
      <c r="G6" s="101" t="inlineStr">
        <is>
          <t>geçersiz durum geçişi</t>
        </is>
      </c>
    </row>
    <row r="7" ht="15" customHeight="1" s="75">
      <c r="A7" s="101" t="inlineStr">
        <is>
          <t>I-004</t>
        </is>
      </c>
      <c r="B7" s="101" t="inlineStr">
        <is>
          <t>KART-03</t>
        </is>
      </c>
      <c r="C7" s="101" t="inlineStr">
        <is>
          <t>ISLEMDE</t>
        </is>
      </c>
      <c r="D7" s="101" t="inlineStr">
        <is>
          <t>ISLEMDE</t>
        </is>
      </c>
      <c r="E7" s="160" t="n">
        <v>250</v>
      </c>
      <c r="F7" s="101" t="inlineStr">
        <is>
          <t>ZINCIR_KIRIK</t>
        </is>
      </c>
      <c r="G7" s="101" t="inlineStr">
        <is>
          <t>ZİNCİR KIRIK — tutar zinciri sapması</t>
        </is>
      </c>
    </row>
    <row r="9" ht="15" customHeight="1" s="75">
      <c r="A9" s="101" t="inlineStr">
        <is>
          <t>kuyruk_kanit</t>
        </is>
      </c>
      <c r="B9" s="101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6" customWidth="1" style="101" min="2" max="2"/>
    <col width="46" customWidth="1" style="101" min="3" max="3"/>
    <col width="14" customWidth="1" style="101" min="4" max="4"/>
  </cols>
  <sheetData>
    <row r="1" ht="25.5" customHeight="1" s="75">
      <c r="A1" s="113" t="inlineStr">
        <is>
          <t>DEGISIKLIK KAYDI — FAZLA MESAİ VE İŞÇİ DAVA RİSKİ TESPİT DOSYASI</t>
        </is>
      </c>
    </row>
    <row r="3" ht="15" customHeight="1" s="75">
      <c r="A3" s="114" t="inlineStr">
        <is>
          <t>Değişiklik Kaydı</t>
        </is>
      </c>
    </row>
    <row r="5" ht="30" customHeight="1" s="75">
      <c r="A5" s="116" t="inlineStr">
        <is>
          <t>Sürüm</t>
        </is>
      </c>
      <c r="B5" s="116" t="inlineStr">
        <is>
          <t>Tarih</t>
        </is>
      </c>
      <c r="C5" s="116" t="inlineStr">
        <is>
          <t>Açıklama</t>
        </is>
      </c>
      <c r="D5" s="116" t="inlineStr">
        <is>
          <t>Hazırlayan</t>
        </is>
      </c>
    </row>
    <row r="6" ht="27.75" customHeight="1" s="75">
      <c r="A6" s="161" t="inlineStr">
        <is>
          <t>1.0.0</t>
        </is>
      </c>
      <c r="B6" s="162" t="inlineStr">
        <is>
          <t>09.08.2026</t>
        </is>
      </c>
      <c r="C6" s="144" t="inlineStr">
        <is>
          <t>İlk sürüm: fazla mesai, 270 saat sınırı, kayıt mutabakatı, dava riski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C6:D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1" min="1" max="1"/>
    <col width="3" customWidth="1" style="101" min="2" max="2"/>
    <col width="30" customWidth="1" style="101" min="3" max="3"/>
    <col width="3" customWidth="1" style="101" min="4" max="4"/>
    <col width="30" customWidth="1" style="101" min="5" max="5"/>
  </cols>
  <sheetData>
    <row r="1" ht="25.5" customHeight="1" s="75">
      <c r="A1" s="113" t="inlineStr">
        <is>
          <t>LISTELER — FAZLA MESAİ VE İŞÇİ DAVA RİSKİ TESPİT DOSYASI</t>
        </is>
      </c>
    </row>
    <row r="3" ht="15" customHeight="1" s="75">
      <c r="A3" s="114" t="inlineStr">
        <is>
          <t>Açılır Liste Kaynakları</t>
        </is>
      </c>
    </row>
    <row r="4" ht="15" customHeight="1" s="75">
      <c r="A4" s="134" t="inlineStr">
        <is>
          <t>Dönem</t>
        </is>
      </c>
    </row>
    <row r="6" ht="15" customHeight="1" s="75">
      <c r="A6" s="117" t="inlineStr">
        <is>
          <t>2026.01</t>
        </is>
      </c>
    </row>
    <row r="7" ht="15" customHeight="1" s="75">
      <c r="A7" s="117" t="inlineStr">
        <is>
          <t>2026.02</t>
        </is>
      </c>
    </row>
    <row r="8" ht="15" customHeight="1" s="75">
      <c r="A8" s="117" t="inlineStr">
        <is>
          <t>2026.03</t>
        </is>
      </c>
    </row>
    <row r="9" ht="15" customHeight="1" s="75">
      <c r="A9" s="117" t="inlineStr">
        <is>
          <t>2026.04</t>
        </is>
      </c>
    </row>
    <row r="10" ht="15" customHeight="1" s="75">
      <c r="A10" s="117" t="inlineStr">
        <is>
          <t>2026.05</t>
        </is>
      </c>
    </row>
    <row r="11" ht="15" customHeight="1" s="75">
      <c r="A11" s="117" t="inlineStr">
        <is>
          <t>2026.06</t>
        </is>
      </c>
    </row>
    <row r="14" ht="19.5" customHeight="1" s="75">
      <c r="A14" s="112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4:AN14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6" customWidth="1" style="101" min="2" max="2"/>
    <col width="16" customWidth="1" style="101" min="3" max="3"/>
    <col width="10" customWidth="1" style="101" min="4" max="4"/>
    <col width="62" customWidth="1" style="101" min="5" max="5"/>
    <col width="28" customWidth="1" style="101" min="6" max="6"/>
    <col width="14" customWidth="1" style="101" min="7" max="8"/>
    <col width="16" customWidth="1" style="101" min="10" max="10"/>
    <col width="13" customWidth="1" style="101" min="11" max="11"/>
    <col width="28" customWidth="1" style="101" min="12" max="12"/>
    <col width="16" customWidth="1" style="101" min="13" max="13"/>
    <col width="13" customWidth="1" style="101" min="14" max="14"/>
  </cols>
  <sheetData>
    <row r="1" ht="25.5" customHeight="1" s="75">
      <c r="A1" s="113" t="inlineStr">
        <is>
          <t>AYARLAR — FAZLA MESAİ VE İŞÇİ DAVA RİSKİ TESPİT DOSYASI</t>
        </is>
      </c>
    </row>
    <row r="3" ht="15" customHeight="1" s="75">
      <c r="A3" s="114" t="inlineStr">
        <is>
          <t>Ayarlar ve Eşikler (Formüle Sabit Sayı Girilmez)</t>
        </is>
      </c>
    </row>
    <row r="4" ht="15" customHeight="1" s="75">
      <c r="A4" s="115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5">
      <c r="A5" s="116" t="inlineStr">
        <is>
          <t>Grup</t>
        </is>
      </c>
      <c r="B5" s="116" t="inlineStr">
        <is>
          <t>Anahtar</t>
        </is>
      </c>
      <c r="C5" s="116" t="inlineStr">
        <is>
          <t>Değer</t>
        </is>
      </c>
      <c r="D5" s="116" t="inlineStr">
        <is>
          <t>Birim</t>
        </is>
      </c>
      <c r="E5" s="116" t="inlineStr">
        <is>
          <t>Açıklama</t>
        </is>
      </c>
      <c r="F5" s="116" t="inlineStr">
        <is>
          <t>kaynak</t>
        </is>
      </c>
      <c r="G5" s="116" t="inlineStr">
        <is>
          <t>yururluk_tarihi</t>
        </is>
      </c>
      <c r="H5" s="116" t="inlineStr">
        <is>
          <t>dogrulama_tarihi</t>
        </is>
      </c>
    </row>
    <row r="6" ht="15" customHeight="1" s="75">
      <c r="A6" s="163" t="inlineStr">
        <is>
          <t>Genel</t>
        </is>
      </c>
      <c r="B6" s="163" t="inlineStr">
        <is>
          <t>firmaUnvani</t>
        </is>
      </c>
      <c r="C6" s="164" t="inlineStr">
        <is>
          <t>Örnek Şirket A.Ş.</t>
        </is>
      </c>
      <c r="D6" s="163" t="inlineStr">
        <is>
          <t>metin</t>
        </is>
      </c>
      <c r="E6" s="165" t="inlineStr">
        <is>
          <t>Rapor başlığında görünen firma adı</t>
        </is>
      </c>
      <c r="F6" s="165" t="inlineStr">
        <is>
          <t>Kullanıcı</t>
        </is>
      </c>
      <c r="G6" s="166" t="inlineStr">
        <is>
          <t>09.08.2026</t>
        </is>
      </c>
      <c r="H6" s="166" t="inlineStr">
        <is>
          <t>09.08.2026</t>
        </is>
      </c>
    </row>
    <row r="7" ht="15" customHeight="1" s="75">
      <c r="A7" s="163" t="inlineStr">
        <is>
          <t>Genel</t>
        </is>
      </c>
      <c r="B7" s="163" t="inlineStr">
        <is>
          <t>raporTarihi</t>
        </is>
      </c>
      <c r="C7" s="167">
        <f>TODAY()</f>
        <v/>
      </c>
      <c r="D7" s="163" t="inlineStr">
        <is>
          <t>tarih</t>
        </is>
      </c>
      <c r="E7" s="165" t="inlineStr">
        <is>
          <t>Dosyadaki tek tarih kaynağı; tüm rapor tarihleri buradan okunur.</t>
        </is>
      </c>
      <c r="F7" s="165" t="inlineStr">
        <is>
          <t>Kullanıcı</t>
        </is>
      </c>
      <c r="G7" s="166" t="inlineStr">
        <is>
          <t>09.08.2026</t>
        </is>
      </c>
      <c r="H7" s="166" t="inlineStr">
        <is>
          <t>09.08.2026</t>
        </is>
      </c>
    </row>
    <row r="8" ht="15" customHeight="1" s="75">
      <c r="A8" s="163" t="inlineStr">
        <is>
          <t>Mesai</t>
        </is>
      </c>
      <c r="B8" s="163" t="inlineStr">
        <is>
          <t>MesaiKatsayi</t>
        </is>
      </c>
      <c r="C8" s="168" t="n">
        <v>1.5</v>
      </c>
      <c r="D8" s="163" t="inlineStr">
        <is>
          <t>katsayı</t>
        </is>
      </c>
      <c r="E8" s="165" t="inlineStr">
        <is>
          <t>Fazla çalışma ücreti katsayısı (saat ücreti + %50).</t>
        </is>
      </c>
      <c r="F8" s="165" t="inlineStr">
        <is>
          <t>4857 s. İş Kanunu md.41</t>
        </is>
      </c>
      <c r="G8" s="166" t="inlineStr">
        <is>
          <t>10.06.2003</t>
        </is>
      </c>
      <c r="H8" s="166" t="inlineStr">
        <is>
          <t>09.08.2026</t>
        </is>
      </c>
    </row>
    <row r="9" ht="15" customHeight="1" s="75">
      <c r="A9" s="163" t="inlineStr">
        <is>
          <t>Mesai</t>
        </is>
      </c>
      <c r="B9" s="163" t="inlineStr">
        <is>
          <t>FazlaSureKatsayi</t>
        </is>
      </c>
      <c r="C9" s="168" t="n">
        <v>1.25</v>
      </c>
      <c r="D9" s="163" t="inlineStr">
        <is>
          <t>katsayı</t>
        </is>
      </c>
      <c r="E9" s="165" t="inlineStr">
        <is>
          <t>Fazla sürelerle çalışma ücreti katsayısı (saat ücreti + %25).</t>
        </is>
      </c>
      <c r="F9" s="165" t="inlineStr">
        <is>
          <t>4857 s. İş Kanunu md.42</t>
        </is>
      </c>
      <c r="G9" s="166" t="inlineStr">
        <is>
          <t>10.06.2003</t>
        </is>
      </c>
      <c r="H9" s="166" t="inlineStr">
        <is>
          <t>09.08.2026</t>
        </is>
      </c>
    </row>
    <row r="10" ht="15" customHeight="1" s="75">
      <c r="A10" s="163" t="inlineStr">
        <is>
          <t>Mesai</t>
        </is>
      </c>
      <c r="B10" s="163" t="inlineStr">
        <is>
          <t>YillikMesaiSinir</t>
        </is>
      </c>
      <c r="C10" s="168" t="n">
        <v>270</v>
      </c>
      <c r="D10" s="163" t="inlineStr">
        <is>
          <t>saat</t>
        </is>
      </c>
      <c r="E10" s="165" t="inlineStr">
        <is>
          <t>Yıllık fazla çalışma üst sınırı.</t>
        </is>
      </c>
      <c r="F10" s="165" t="inlineStr">
        <is>
          <t>4857 s. İş Kanunu md.41</t>
        </is>
      </c>
      <c r="G10" s="166" t="inlineStr">
        <is>
          <t>10.06.2003</t>
        </is>
      </c>
      <c r="H10" s="166" t="inlineStr">
        <is>
          <t>09.08.2026</t>
        </is>
      </c>
    </row>
    <row r="11" ht="15" customHeight="1" s="75">
      <c r="A11" s="163" t="inlineStr">
        <is>
          <t>Mesai</t>
        </is>
      </c>
      <c r="B11" s="163" t="inlineStr">
        <is>
          <t>AySayisi</t>
        </is>
      </c>
      <c r="C11" s="168" t="n">
        <v>12</v>
      </c>
      <c r="D11" s="163" t="inlineStr">
        <is>
          <t>adet</t>
        </is>
      </c>
      <c r="E11" s="165" t="inlineStr">
        <is>
          <t>Yıllık hesapta kullanılan ay sayısı.</t>
        </is>
      </c>
      <c r="F11" s="165" t="inlineStr">
        <is>
          <t>Takvim yılı</t>
        </is>
      </c>
      <c r="G11" s="166" t="inlineStr">
        <is>
          <t>01.01.1970</t>
        </is>
      </c>
      <c r="H11" s="166" t="inlineStr">
        <is>
          <t>09.08.2026</t>
        </is>
      </c>
    </row>
    <row r="12" ht="15" customHeight="1" s="75">
      <c r="A12" s="163" t="inlineStr">
        <is>
          <t>Mesai</t>
        </is>
      </c>
      <c r="B12" s="163" t="inlineStr">
        <is>
          <t>UcretHesaplamaGun</t>
        </is>
      </c>
      <c r="C12" s="168" t="n">
        <v>30</v>
      </c>
      <c r="D12" s="163" t="inlineStr">
        <is>
          <t>gün</t>
        </is>
      </c>
      <c r="E12" s="165" t="inlineStr">
        <is>
          <t>Aylık ücretin günlük karşılığı için bölünen gün sayısı.</t>
        </is>
      </c>
      <c r="F12" s="165" t="inlineStr">
        <is>
          <t>Yaygın uygulama</t>
        </is>
      </c>
      <c r="G12" s="166" t="inlineStr">
        <is>
          <t>01.01.1970</t>
        </is>
      </c>
      <c r="H12" s="166" t="inlineStr">
        <is>
          <t>09.08.2026</t>
        </is>
      </c>
    </row>
    <row r="13" ht="15" customHeight="1" s="75">
      <c r="A13" s="163" t="inlineStr">
        <is>
          <t>Mesai</t>
        </is>
      </c>
      <c r="B13" s="163" t="inlineStr">
        <is>
          <t>GunlukCalismaSaat</t>
        </is>
      </c>
      <c r="C13" s="168" t="n">
        <v>8</v>
      </c>
      <c r="D13" s="163" t="inlineStr">
        <is>
          <t>saat</t>
        </is>
      </c>
      <c r="E13" s="165" t="inlineStr">
        <is>
          <t>Günlük çalışma saati (saatlik ücret hesaplama tabanı).</t>
        </is>
      </c>
      <c r="F13" s="165" t="inlineStr">
        <is>
          <t>4857 s. İş Kanunu md.63</t>
        </is>
      </c>
      <c r="G13" s="166" t="inlineStr">
        <is>
          <t>10.06.2003</t>
        </is>
      </c>
      <c r="H13" s="166" t="inlineStr">
        <is>
          <t>09.08.2026</t>
        </is>
      </c>
    </row>
    <row r="14" ht="15" customHeight="1" s="75">
      <c r="A14" s="163" t="inlineStr">
        <is>
          <t>Mesai</t>
        </is>
      </c>
      <c r="B14" s="163" t="inlineStr">
        <is>
          <t>BolumPaydaTaban</t>
        </is>
      </c>
      <c r="C14" s="169" t="n">
        <v>1e-07</v>
      </c>
      <c r="D14" s="163" t="inlineStr">
        <is>
          <t>katsayı</t>
        </is>
      </c>
      <c r="E14" s="165" t="inlineStr">
        <is>
          <t>Bölme işlemlerinde sıfır payda koruması için kullanılan taban değer.</t>
        </is>
      </c>
      <c r="F14" s="165" t="inlineStr">
        <is>
          <t>Varsayım</t>
        </is>
      </c>
      <c r="G14" s="166" t="inlineStr">
        <is>
          <t>09.08.2026</t>
        </is>
      </c>
      <c r="H14" s="166" t="inlineStr">
        <is>
          <t>09.08.2026</t>
        </is>
      </c>
    </row>
    <row r="15" ht="15" customHeight="1" s="75">
      <c r="A15" s="163" t="inlineStr">
        <is>
          <t>Mesai</t>
        </is>
      </c>
      <c r="B15" s="163" t="inlineStr">
        <is>
          <t>ZamanAsimiYil</t>
        </is>
      </c>
      <c r="C15" s="168" t="n">
        <v>5</v>
      </c>
      <c r="D15" s="163" t="inlineStr">
        <is>
          <t>yıl</t>
        </is>
      </c>
      <c r="E15" s="165" t="inlineStr">
        <is>
          <t>İşçi ücret ve fazla mesai alacaklarında zamanaşımı süresi.</t>
        </is>
      </c>
      <c r="F15" s="165" t="inlineStr">
        <is>
          <t>4857 s. İş Kanunu md.32/8</t>
        </is>
      </c>
      <c r="G15" s="166" t="inlineStr">
        <is>
          <t>10.06.2003</t>
        </is>
      </c>
      <c r="H15" s="166" t="inlineStr">
        <is>
          <t>09.08.2026</t>
        </is>
      </c>
    </row>
    <row r="16" ht="15" customHeight="1" s="75">
      <c r="A16" s="163" t="inlineStr">
        <is>
          <t>Risk</t>
        </is>
      </c>
      <c r="B16" s="163" t="inlineStr">
        <is>
          <t>DavaRiskButceEsik</t>
        </is>
      </c>
      <c r="C16" s="170" t="n">
        <v>500000</v>
      </c>
      <c r="D16" s="163" t="inlineStr">
        <is>
          <t>₺</t>
        </is>
      </c>
      <c r="E16" s="165" t="inlineStr">
        <is>
          <t>Dava riski tutarı bütçe eşiği.</t>
        </is>
      </c>
      <c r="F16" s="165" t="inlineStr">
        <is>
          <t>Varsayım</t>
        </is>
      </c>
      <c r="G16" s="166" t="inlineStr">
        <is>
          <t>09.08.2026</t>
        </is>
      </c>
      <c r="H16" s="166" t="inlineStr">
        <is>
          <t>09.08.2026</t>
        </is>
      </c>
    </row>
    <row r="17" ht="15" customHeight="1" s="75">
      <c r="A17" s="163" t="inlineStr">
        <is>
          <t>Risk</t>
        </is>
      </c>
      <c r="B17" s="163" t="inlineStr">
        <is>
          <t>DavaRiskEsik</t>
        </is>
      </c>
      <c r="C17" s="169" t="n">
        <v>0.15</v>
      </c>
      <c r="D17" s="163" t="inlineStr">
        <is>
          <t>oran</t>
        </is>
      </c>
      <c r="E17" s="165" t="inlineStr">
        <is>
          <t>Fazla mesai ücretinin yıllık ücret yüküne oranı uyarı eşiği.</t>
        </is>
      </c>
      <c r="F17" s="165" t="inlineStr">
        <is>
          <t>Varsayım</t>
        </is>
      </c>
      <c r="G17" s="166" t="inlineStr">
        <is>
          <t>09.08.2026</t>
        </is>
      </c>
      <c r="H17" s="166" t="inlineStr">
        <is>
          <t>09.08.2026</t>
        </is>
      </c>
    </row>
    <row r="18" ht="15" customHeight="1" s="75">
      <c r="A18" s="163" t="inlineStr">
        <is>
          <t>Risk</t>
        </is>
      </c>
      <c r="B18" s="163" t="inlineStr">
        <is>
          <t>KayitFarkiEsik</t>
        </is>
      </c>
      <c r="C18" s="169" t="n">
        <v>0.2</v>
      </c>
      <c r="D18" s="163" t="inlineStr">
        <is>
          <t>oran</t>
        </is>
      </c>
      <c r="E18" s="165" t="inlineStr">
        <is>
          <t>Bildirilen-beldenen fark oranı uyarı eşiği.</t>
        </is>
      </c>
      <c r="F18" s="165" t="inlineStr">
        <is>
          <t>Varsayım</t>
        </is>
      </c>
      <c r="G18" s="166" t="inlineStr">
        <is>
          <t>09.08.2026</t>
        </is>
      </c>
      <c r="H18" s="166" t="inlineStr">
        <is>
          <t>09.08.2026</t>
        </is>
      </c>
    </row>
    <row r="19" ht="15" customHeight="1" s="75">
      <c r="A19" s="163" t="inlineStr">
        <is>
          <t>Risk</t>
        </is>
      </c>
      <c r="B19" s="163" t="inlineStr">
        <is>
          <t>UcretAnomaliZEsik</t>
        </is>
      </c>
      <c r="C19" s="168" t="n">
        <v>2</v>
      </c>
      <c r="D19" s="163" t="inlineStr">
        <is>
          <t>oran</t>
        </is>
      </c>
      <c r="E19" s="165" t="inlineStr">
        <is>
          <t>Mesai anomali |Z| eşiği.</t>
        </is>
      </c>
      <c r="F19" s="165" t="inlineStr">
        <is>
          <t>Varsayım</t>
        </is>
      </c>
      <c r="G19" s="166" t="inlineStr">
        <is>
          <t>09.08.2026</t>
        </is>
      </c>
      <c r="H19" s="166" t="inlineStr">
        <is>
          <t>09.08.2026</t>
        </is>
      </c>
    </row>
    <row r="20" ht="15" customHeight="1" s="75">
      <c r="A20" s="163" t="inlineStr">
        <is>
          <t>Eşik</t>
        </is>
      </c>
      <c r="B20" s="163" t="inlineStr">
        <is>
          <t>VeriKaliteIyiEsik</t>
        </is>
      </c>
      <c r="C20" s="168" t="n">
        <v>90</v>
      </c>
      <c r="D20" s="163" t="inlineStr">
        <is>
          <t>puan</t>
        </is>
      </c>
      <c r="E20" s="165" t="inlineStr">
        <is>
          <t>Kalite skoru iyi eşiği.</t>
        </is>
      </c>
      <c r="F20" s="165" t="inlineStr">
        <is>
          <t>Varsayım</t>
        </is>
      </c>
      <c r="G20" s="166" t="inlineStr">
        <is>
          <t>09.08.2026</t>
        </is>
      </c>
      <c r="H20" s="166" t="inlineStr">
        <is>
          <t>09.08.2026</t>
        </is>
      </c>
    </row>
    <row r="21" ht="15" customHeight="1" s="75">
      <c r="A21" s="163" t="inlineStr">
        <is>
          <t>Eşik</t>
        </is>
      </c>
      <c r="B21" s="163" t="inlineStr">
        <is>
          <t>VeriKaliteOrtaEsik</t>
        </is>
      </c>
      <c r="C21" s="168" t="n">
        <v>70</v>
      </c>
      <c r="D21" s="163" t="inlineStr">
        <is>
          <t>puan</t>
        </is>
      </c>
      <c r="E21" s="165" t="inlineStr">
        <is>
          <t>Kalite skoru orta eşiği.</t>
        </is>
      </c>
      <c r="F21" s="165" t="inlineStr">
        <is>
          <t>Varsayım</t>
        </is>
      </c>
      <c r="G21" s="166" t="inlineStr">
        <is>
          <t>09.08.2026</t>
        </is>
      </c>
      <c r="H21" s="166" t="inlineStr">
        <is>
          <t>09.08.2026</t>
        </is>
      </c>
    </row>
    <row r="22" ht="15" customHeight="1" s="75">
      <c r="A22" s="163" t="inlineStr">
        <is>
          <t>Eşik</t>
        </is>
      </c>
      <c r="B22" s="163" t="inlineStr">
        <is>
          <t>VeriKaliteUyariCeza</t>
        </is>
      </c>
      <c r="C22" s="168" t="n">
        <v>10</v>
      </c>
      <c r="D22" s="163" t="inlineStr">
        <is>
          <t>puan</t>
        </is>
      </c>
      <c r="E22" s="165" t="inlineStr">
        <is>
          <t>Her WARN için skor cezası.</t>
        </is>
      </c>
      <c r="F22" s="165" t="inlineStr">
        <is>
          <t>Varsayım</t>
        </is>
      </c>
      <c r="G22" s="166" t="inlineStr">
        <is>
          <t>09.08.2026</t>
        </is>
      </c>
      <c r="H22" s="166" t="inlineStr">
        <is>
          <t>09.08.2026</t>
        </is>
      </c>
    </row>
    <row r="23" ht="15" customHeight="1" s="75">
      <c r="A23" s="163" t="inlineStr">
        <is>
          <t>Senaryo</t>
        </is>
      </c>
      <c r="B23" s="163" t="inlineStr">
        <is>
          <t>SenaryoKotumserKat</t>
        </is>
      </c>
      <c r="C23" s="169" t="n">
        <v>0.1</v>
      </c>
      <c r="D23" s="163" t="inlineStr">
        <is>
          <t>oran</t>
        </is>
      </c>
      <c r="E23" s="165" t="inlineStr">
        <is>
          <t>Kötümser senaryo mesai çarpanı.</t>
        </is>
      </c>
      <c r="F23" s="165" t="inlineStr">
        <is>
          <t>Varsayım</t>
        </is>
      </c>
      <c r="G23" s="166" t="inlineStr">
        <is>
          <t>09.08.2026</t>
        </is>
      </c>
      <c r="H23" s="166" t="inlineStr">
        <is>
          <t>09.08.2026</t>
        </is>
      </c>
    </row>
    <row r="24" ht="15" customHeight="1" s="75">
      <c r="A24" s="163" t="inlineStr">
        <is>
          <t>Senaryo</t>
        </is>
      </c>
      <c r="B24" s="163" t="inlineStr">
        <is>
          <t>SenaryoIyimserKat</t>
        </is>
      </c>
      <c r="C24" s="169" t="n">
        <v>0.1</v>
      </c>
      <c r="D24" s="163" t="inlineStr">
        <is>
          <t>oran</t>
        </is>
      </c>
      <c r="E24" s="165" t="inlineStr">
        <is>
          <t>İyimser senaryo mesai çarpanı.</t>
        </is>
      </c>
      <c r="F24" s="165" t="inlineStr">
        <is>
          <t>Varsayım</t>
        </is>
      </c>
      <c r="G24" s="166" t="inlineStr">
        <is>
          <t>09.08.2026</t>
        </is>
      </c>
      <c r="H24" s="166" t="inlineStr">
        <is>
          <t>09.08.2026</t>
        </is>
      </c>
    </row>
    <row r="25" ht="15" customHeight="1" s="75">
      <c r="A25" s="163" t="inlineStr">
        <is>
          <t>Duyarlılık</t>
        </is>
      </c>
      <c r="B25" s="163" t="inlineStr">
        <is>
          <t>DuyarliDegisim</t>
        </is>
      </c>
      <c r="C25" s="169" t="n">
        <v>0.05</v>
      </c>
      <c r="D25" s="163" t="inlineStr">
        <is>
          <t>oran</t>
        </is>
      </c>
      <c r="E25" s="165" t="inlineStr">
        <is>
          <t>Tornado analizinde değişim oranı.</t>
        </is>
      </c>
      <c r="F25" s="165" t="inlineStr">
        <is>
          <t>Varsayım</t>
        </is>
      </c>
      <c r="G25" s="166" t="inlineStr">
        <is>
          <t>09.08.2026</t>
        </is>
      </c>
      <c r="H25" s="166" t="inlineStr">
        <is>
          <t>09.08.2026</t>
        </is>
      </c>
    </row>
    <row r="26" ht="15" customHeight="1" s="75">
      <c r="A26" s="163" t="inlineStr">
        <is>
          <t>Duyarlılık</t>
        </is>
      </c>
      <c r="B26" s="163" t="inlineStr">
        <is>
          <t>ParetoEsikOran</t>
        </is>
      </c>
      <c r="C26" s="169" t="n">
        <v>0.3</v>
      </c>
      <c r="D26" s="163" t="inlineStr">
        <is>
          <t>oran</t>
        </is>
      </c>
      <c r="E26" s="165" t="inlineStr">
        <is>
          <t>Mesai yoğunlaşması yüksek kabul eşiği.</t>
        </is>
      </c>
      <c r="F26" s="165" t="inlineStr">
        <is>
          <t>Varsayım</t>
        </is>
      </c>
      <c r="G26" s="166" t="inlineStr">
        <is>
          <t>09.08.2026</t>
        </is>
      </c>
      <c r="H26" s="166" t="inlineStr">
        <is>
          <t>09.08.2026</t>
        </is>
      </c>
    </row>
    <row r="27" ht="15" customHeight="1" s="75">
      <c r="A27" s="163" t="inlineStr">
        <is>
          <t>Tahmin</t>
        </is>
      </c>
      <c r="B27" s="163" t="inlineStr">
        <is>
          <t>P90Kuantil</t>
        </is>
      </c>
      <c r="C27" s="169" t="n">
        <v>0.9</v>
      </c>
      <c r="D27" s="163" t="inlineStr">
        <is>
          <t>oran</t>
        </is>
      </c>
      <c r="E27" s="165" t="inlineStr">
        <is>
          <t>Yüzdelik dağılım analizinde P90 kuantil değeri.</t>
        </is>
      </c>
      <c r="F27" s="165" t="inlineStr">
        <is>
          <t>Varsayım</t>
        </is>
      </c>
      <c r="G27" s="166" t="inlineStr">
        <is>
          <t>09.08.2026</t>
        </is>
      </c>
      <c r="H27" s="166" t="inlineStr">
        <is>
          <t>09.08.2026</t>
        </is>
      </c>
    </row>
    <row r="28" ht="15" customHeight="1" s="75">
      <c r="A28" s="163" t="inlineStr">
        <is>
          <t>Nakit</t>
        </is>
      </c>
      <c r="B28" s="163" t="inlineStr">
        <is>
          <t>IskontoOrani</t>
        </is>
      </c>
      <c r="C28" s="169" t="n">
        <v>0.1</v>
      </c>
      <c r="D28" s="163" t="inlineStr">
        <is>
          <t>oran</t>
        </is>
      </c>
      <c r="E28" s="165" t="inlineStr">
        <is>
          <t>Risk tutarı net bugünkü değer hesabında iskonto oranı.</t>
        </is>
      </c>
      <c r="F28" s="165" t="inlineStr">
        <is>
          <t>Varsayım</t>
        </is>
      </c>
      <c r="G28" s="166" t="inlineStr">
        <is>
          <t>09.08.2026</t>
        </is>
      </c>
      <c r="H28" s="166" t="inlineStr">
        <is>
          <t>09.08.2026</t>
        </is>
      </c>
    </row>
    <row r="29" ht="15" customHeight="1" s="75">
      <c r="A29" s="163" t="inlineStr">
        <is>
          <t>Mesai</t>
        </is>
      </c>
      <c r="B29" s="163" t="inlineStr">
        <is>
          <t>HaftalikCalismaSinir</t>
        </is>
      </c>
      <c r="C29" s="168" t="n">
        <v>45</v>
      </c>
      <c r="D29" s="163" t="inlineStr">
        <is>
          <t>saat</t>
        </is>
      </c>
      <c r="E29" s="165" t="inlineStr">
        <is>
          <t>Haftalık normal çalışma süresi üst sınırı (aşım denetimi).</t>
        </is>
      </c>
      <c r="F29" s="165" t="inlineStr">
        <is>
          <t>4857 s. İş Kanunu md.63</t>
        </is>
      </c>
      <c r="G29" s="166" t="inlineStr">
        <is>
          <t>10.06.2003</t>
        </is>
      </c>
      <c r="H29" s="166" t="inlineStr">
        <is>
          <t>09.08.2026</t>
        </is>
      </c>
    </row>
    <row r="30" ht="15" customHeight="1" s="75">
      <c r="A30" s="163" t="inlineStr">
        <is>
          <t>Mesai</t>
        </is>
      </c>
      <c r="B30" s="163" t="inlineStr">
        <is>
          <t>KidemSinirGun</t>
        </is>
      </c>
      <c r="C30" s="168" t="n">
        <v>1800</v>
      </c>
      <c r="D30" s="163" t="inlineStr">
        <is>
          <t>gün</t>
        </is>
      </c>
      <c r="E30" s="165" t="inlineStr">
        <is>
          <t>Kıdem ortalamasında beş yıl eşiği (yaklaşık 1800 gün).</t>
        </is>
      </c>
      <c r="F30" s="165" t="inlineStr">
        <is>
          <t>Varsayım</t>
        </is>
      </c>
      <c r="G30" s="166" t="inlineStr">
        <is>
          <t>09.08.2026</t>
        </is>
      </c>
      <c r="H30" s="166" t="inlineStr">
        <is>
          <t>09.08.2026</t>
        </is>
      </c>
    </row>
    <row r="31" ht="15" customHeight="1" s="75">
      <c r="A31" s="163" t="inlineStr">
        <is>
          <t>Eşik</t>
        </is>
      </c>
      <c r="B31" s="163" t="inlineStr">
        <is>
          <t>VeriKaliteTaban</t>
        </is>
      </c>
      <c r="C31" s="168" t="n">
        <v>100</v>
      </c>
      <c r="D31" s="163" t="inlineStr">
        <is>
          <t>puan</t>
        </is>
      </c>
      <c r="E31" s="165" t="inlineStr">
        <is>
          <t>Veri kalite skoru başlangıç puanı.</t>
        </is>
      </c>
      <c r="F31" s="165" t="inlineStr">
        <is>
          <t>Varsayım</t>
        </is>
      </c>
      <c r="G31" s="166" t="inlineStr">
        <is>
          <t>09.08.2026</t>
        </is>
      </c>
      <c r="H31" s="166" t="inlineStr">
        <is>
          <t>09.08.2026</t>
        </is>
      </c>
    </row>
    <row r="32" ht="15" customHeight="1" s="75">
      <c r="A32" s="163" t="inlineStr">
        <is>
          <t>Eşik</t>
        </is>
      </c>
      <c r="B32" s="163" t="inlineStr">
        <is>
          <t>VeriKaliteFailCeza</t>
        </is>
      </c>
      <c r="C32" s="168" t="n">
        <v>20</v>
      </c>
      <c r="D32" s="163" t="inlineStr">
        <is>
          <t>puan</t>
        </is>
      </c>
      <c r="E32" s="165" t="inlineStr">
        <is>
          <t>Her FAIL için skor cezası.</t>
        </is>
      </c>
      <c r="F32" s="165" t="inlineStr">
        <is>
          <t>Varsayım</t>
        </is>
      </c>
      <c r="G32" s="166" t="inlineStr">
        <is>
          <t>09.08.2026</t>
        </is>
      </c>
      <c r="H32" s="166" t="inlineStr">
        <is>
          <t>09.08.2026</t>
        </is>
      </c>
    </row>
    <row r="33" ht="15" customHeight="1" s="75">
      <c r="A33" s="163" t="inlineStr">
        <is>
          <t>Eşik</t>
        </is>
      </c>
      <c r="B33" s="163" t="inlineStr">
        <is>
          <t>KayitKapasite</t>
        </is>
      </c>
      <c r="C33" s="168" t="n">
        <v>3000</v>
      </c>
      <c r="D33" s="163" t="inlineStr">
        <is>
          <t>adet</t>
        </is>
      </c>
      <c r="E33" s="165" t="inlineStr">
        <is>
          <t>Çalışan ve kayıt tablolarının toplam giriş kapasitesi.</t>
        </is>
      </c>
      <c r="F33" s="165" t="inlineStr">
        <is>
          <t>Tasarım</t>
        </is>
      </c>
      <c r="G33" s="166" t="inlineStr">
        <is>
          <t>09.08.2026</t>
        </is>
      </c>
      <c r="H33" s="166" t="inlineStr">
        <is>
          <t>09.08.2026</t>
        </is>
      </c>
    </row>
    <row r="34" ht="15" customHeight="1" s="75">
      <c r="A34" s="163" t="inlineStr">
        <is>
          <t>Risk</t>
        </is>
      </c>
      <c r="B34" s="163" t="inlineStr">
        <is>
          <t>ButceInceleEsikOran</t>
        </is>
      </c>
      <c r="C34" s="169" t="n">
        <v>0.6</v>
      </c>
      <c r="D34" s="163" t="inlineStr">
        <is>
          <t>oran</t>
        </is>
      </c>
      <c r="E34" s="165" t="inlineStr">
        <is>
          <t>Risk bütçesinin yüzde altmışı üzerinde İNCELE kararı eşiği.</t>
        </is>
      </c>
      <c r="F34" s="165" t="inlineStr">
        <is>
          <t>Varsayım</t>
        </is>
      </c>
      <c r="G34" s="166" t="inlineStr">
        <is>
          <t>09.08.2026</t>
        </is>
      </c>
      <c r="H34" s="166" t="inlineStr">
        <is>
          <t>09.08.2026</t>
        </is>
      </c>
    </row>
    <row r="35" ht="15" customHeight="1" s="75">
      <c r="A35" s="163" t="inlineStr">
        <is>
          <t>Risk</t>
        </is>
      </c>
      <c r="B35" s="163" t="inlineStr">
        <is>
          <t>ButceEtkiEsikOran</t>
        </is>
      </c>
      <c r="C35" s="169" t="n">
        <v>0.1</v>
      </c>
      <c r="D35" s="163" t="inlineStr">
        <is>
          <t>oran</t>
        </is>
      </c>
      <c r="E35" s="165" t="inlineStr">
        <is>
          <t>Tornado zirve etkisinin bütçeye oranı uyarı eşiği.</t>
        </is>
      </c>
      <c r="F35" s="165" t="inlineStr">
        <is>
          <t>Varsayım</t>
        </is>
      </c>
      <c r="G35" s="166" t="inlineStr">
        <is>
          <t>09.08.2026</t>
        </is>
      </c>
      <c r="H35" s="166" t="inlineStr">
        <is>
          <t>09.08.2026</t>
        </is>
      </c>
    </row>
    <row r="36" ht="15" customHeight="1" s="75">
      <c r="A36" s="163" t="inlineStr">
        <is>
          <t>Risk</t>
        </is>
      </c>
      <c r="B36" s="163" t="inlineStr">
        <is>
          <t>HhiYuksekEsik</t>
        </is>
      </c>
      <c r="C36" s="169" t="n">
        <v>0.5</v>
      </c>
      <c r="D36" s="163" t="inlineStr">
        <is>
          <t>oran</t>
        </is>
      </c>
      <c r="E36" s="165" t="inlineStr">
        <is>
          <t>Mesai yoğunlaşma endeksi yüksek kabul eşiği.</t>
        </is>
      </c>
      <c r="F36" s="165" t="inlineStr">
        <is>
          <t>Varsayım</t>
        </is>
      </c>
      <c r="G36" s="166" t="inlineStr">
        <is>
          <t>09.08.2026</t>
        </is>
      </c>
      <c r="H36" s="166" t="inlineStr">
        <is>
          <t>09.08.2026</t>
        </is>
      </c>
    </row>
    <row r="37" ht="15" customHeight="1" s="75">
      <c r="A37" s="163" t="inlineStr">
        <is>
          <t>Nakit</t>
        </is>
      </c>
      <c r="B37" s="163" t="inlineStr">
        <is>
          <t>NpvEsikOran</t>
        </is>
      </c>
      <c r="C37" s="169" t="n">
        <v>0.5</v>
      </c>
      <c r="D37" s="163" t="inlineStr">
        <is>
          <t>oran</t>
        </is>
      </c>
      <c r="E37" s="165" t="inlineStr">
        <is>
          <t>Risk NPV değerinin bütçeye oranı yüksek kabul eşiği.</t>
        </is>
      </c>
      <c r="F37" s="165" t="inlineStr">
        <is>
          <t>Varsayım</t>
        </is>
      </c>
      <c r="G37" s="166" t="inlineStr">
        <is>
          <t>09.08.2026</t>
        </is>
      </c>
      <c r="H37" s="166" t="inlineStr">
        <is>
          <t>09.08.2026</t>
        </is>
      </c>
    </row>
    <row r="39" ht="19.5" customHeight="1" s="75">
      <c r="A39" s="112" t="inlineStr">
        <is>
          <t>Sarı değer hücreleri kullanıcı tarafından değiştirilebilir; formül hücreleri kilitlidir.</t>
        </is>
      </c>
    </row>
    <row r="41" ht="15" customHeight="1" s="75">
      <c r="J41" s="101" t="inlineStr">
        <is>
          <t>durum_haritasi</t>
        </is>
      </c>
      <c r="K41" s="101" t="inlineStr">
        <is>
          <t>durum_id</t>
        </is>
      </c>
      <c r="L41" s="101" t="inlineStr">
        <is>
          <t>durum_adi</t>
        </is>
      </c>
      <c r="M41" s="101" t="inlineStr">
        <is>
          <t>izinli_sonraki</t>
        </is>
      </c>
      <c r="N41" s="101" t="inlineStr">
        <is>
          <t>kategori</t>
        </is>
      </c>
    </row>
    <row r="42" ht="15" customHeight="1" s="75">
      <c r="J42" s="101" t="inlineStr">
        <is>
          <t>HARITA</t>
        </is>
      </c>
      <c r="K42" s="101" t="inlineStr">
        <is>
          <t>ACIK</t>
        </is>
      </c>
      <c r="L42" s="101" t="inlineStr">
        <is>
          <t>Açık</t>
        </is>
      </c>
      <c r="M42" s="101" t="inlineStr">
        <is>
          <t>ISLEMDE</t>
        </is>
      </c>
      <c r="N42" s="101" t="inlineStr">
        <is>
          <t>acik</t>
        </is>
      </c>
    </row>
    <row r="43" ht="15" customHeight="1" s="75">
      <c r="J43" s="101" t="inlineStr">
        <is>
          <t>HARITA</t>
        </is>
      </c>
      <c r="K43" s="101" t="inlineStr">
        <is>
          <t>ISLEMDE</t>
        </is>
      </c>
      <c r="L43" s="101" t="inlineStr">
        <is>
          <t>İşlemde</t>
        </is>
      </c>
      <c r="M43" s="101" t="inlineStr">
        <is>
          <t>KAPALI</t>
        </is>
      </c>
      <c r="N43" s="101" t="inlineStr">
        <is>
          <t>acik</t>
        </is>
      </c>
    </row>
    <row r="44" ht="15" customHeight="1" s="75">
      <c r="J44" s="101" t="inlineStr">
        <is>
          <t>HARITA</t>
        </is>
      </c>
      <c r="K44" s="101" t="inlineStr">
        <is>
          <t>KAPALI</t>
        </is>
      </c>
      <c r="L44" s="101" t="inlineStr">
        <is>
          <t>Kapalı</t>
        </is>
      </c>
      <c r="M44" s="101" t="inlineStr">
        <is>
          <t>-</t>
        </is>
      </c>
      <c r="N44" s="101" t="inlineStr">
        <is>
          <t>kapali</t>
        </is>
      </c>
    </row>
    <row r="45" ht="15" customHeight="1" s="75">
      <c r="J45" s="101" t="inlineStr">
        <is>
          <t>HARITA</t>
        </is>
      </c>
      <c r="K45" s="101" t="inlineStr">
        <is>
          <t>GECERSIZ</t>
        </is>
      </c>
      <c r="L45" s="101" t="inlineStr">
        <is>
          <t>Geçersiz geçiş uyarısı</t>
        </is>
      </c>
      <c r="M45" s="101" t="inlineStr">
        <is>
          <t>-</t>
        </is>
      </c>
      <c r="N45" s="101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3:H3"/>
    <mergeCell ref="A39:AN39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101" min="1" max="1"/>
  </cols>
  <sheetData>
    <row r="1" ht="25.5" customHeight="1" s="75">
      <c r="A1" s="113" t="inlineStr">
        <is>
          <t>KILAVUZ — FAZLA MESAİ VE İŞÇİ DAVA RİSKİ TESPİT DOSYASI</t>
        </is>
      </c>
    </row>
    <row r="3" ht="15.75" customHeight="1" s="75">
      <c r="A3" s="109" t="inlineStr">
        <is>
          <t>Kullanım Kılavuzu</t>
        </is>
      </c>
    </row>
    <row r="5" ht="15" customHeight="1" s="75">
      <c r="A5" s="110" t="inlineStr">
        <is>
          <t>1. KAPAK → HIZLI_BASLANGIC → CALISANLAR → KAYITLAR → KARAR → PANO → SENARYO_DUYARLILIK → RAPOR</t>
        </is>
      </c>
    </row>
    <row r="6" ht="15" customHeight="1" s="75">
      <c r="A6" s="110" t="inlineStr">
        <is>
          <t>2. CALISANLAR: sarı hücrelere çalışan adı, işe giriş, brüt ücret, haftalık çalışma saati ve aylık fazla mesai saati girilir.</t>
        </is>
      </c>
    </row>
    <row r="7" ht="15" customHeight="1" s="75">
      <c r="A7" s="110" t="inlineStr">
        <is>
          <t>3. KAYITLAR: dönem bazında bildirilen ve belgelenen mesai saatleri girilir; fark oranı dava riskini gösterir.</t>
        </is>
      </c>
    </row>
    <row r="8" ht="15" customHeight="1" s="75">
      <c r="A8" s="110" t="inlineStr">
        <is>
          <t>4. Saatlik ücret = aylık brüt ücret / (30 gün × 8 saat); fazla mesai ücreti %50 zamlı hesaplanır.</t>
        </is>
      </c>
    </row>
    <row r="9" ht="15" customHeight="1" s="75">
      <c r="A9" s="110" t="inlineStr">
        <is>
          <t>5. 270 saat yıllık sınırı çalışan bazında denetlenir; aşan tutar risk toplamına eklenir.</t>
        </is>
      </c>
    </row>
    <row r="10" ht="15" customHeight="1" s="75">
      <c r="A10" s="110" t="inlineStr">
        <is>
          <t>6. KARAR: veri varsa UYGUN / İNCELE / DURDUR; veri yoksa VERİ YOK. Gerekçe ve 4 aksiyon üretilir.</t>
        </is>
      </c>
    </row>
    <row r="11" ht="15" customHeight="1" s="75">
      <c r="A11" s="110" t="inlineStr">
        <is>
          <t>7. PANO yönetici özetini, RAPOR PDF'e hazır raporu sunar; SENARYO_DUYARLILIK duyarlılık analizini verir.</t>
        </is>
      </c>
    </row>
    <row r="12" ht="15" customHeight="1" s="75">
      <c r="A12" s="110" t="inlineStr">
        <is>
          <t>8. Tüm parametreler AYARLAR'da; mevzuat kaynakları ve yürürlük tarihleri ile birlikte listelenir.</t>
        </is>
      </c>
    </row>
    <row r="13" ht="15" customHeight="1" s="75">
      <c r="A13" s="110" t="inlineStr">
        <is>
          <t>9. Koruma şifresi 1234'tür; yalnızca sarı giriş hücreleri değiştirilebilir.</t>
        </is>
      </c>
    </row>
    <row r="14" ht="15" customHeight="1" s="75">
      <c r="A14" s="110" t="inlineStr">
        <is>
          <t>10. Ortam beyanı: Excel 2016-365 (Windows/Mac), LibreOffice ve Google Sheets'te çalışır.</t>
        </is>
      </c>
    </row>
    <row r="15" ht="15" customHeight="1" s="75">
      <c r="A15" s="110" t="inlineStr">
        <is>
          <t>11. Verileriniz cihazınızdan çıkmaz; dosya tamamen çevrimdışıdır, makro içermez.</t>
        </is>
      </c>
    </row>
    <row r="16" ht="15" customHeight="1" s="75">
      <c r="A16" s="110" t="inlineStr">
        <is>
          <t>12. Bu araç karar destek amaçlıdır; nihai risk değerlendirmesi hukukçu ile yapılmalıdır.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2:BH12"/>
    <mergeCell ref="A7:BH7"/>
    <mergeCell ref="A15:BH15"/>
    <mergeCell ref="A16:BH16"/>
    <mergeCell ref="A10:BH10"/>
    <mergeCell ref="A13:BH13"/>
    <mergeCell ref="A11:BH11"/>
    <mergeCell ref="A14:BH14"/>
    <mergeCell ref="A5:BH5"/>
    <mergeCell ref="A8:BH8"/>
    <mergeCell ref="A6:BH6"/>
    <mergeCell ref="A9:BH9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2026-08-09T21:01:25Z</dcterms:created>
  <dcterms:modified xmlns:dcterms="http://purl.org/dc/terms/" xmlns:xsi="http://www.w3.org/2001/XMLSchema-instance" xsi:type="dcterms:W3CDTF">2026-09-25T15:00:15Z</dcterms:modified>
  <cp:revision>0</cp:revision>
</cp:coreProperties>
</file>