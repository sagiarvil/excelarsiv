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worksheets/sheet12.xml" ContentType="application/vnd.openxmlformats-officedocument.spreadsheetml.worksheet+xml"/>
  <Override PartName="/xl/comments/comment3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KAPAK" sheetId="4" state="hidden" r:id="rId4"/>
    <sheet xmlns:r="http://schemas.openxmlformats.org/officeDocument/2006/relationships" name="HIZLI_BASLANGIC" sheetId="5" state="hidden" r:id="rId5"/>
    <sheet xmlns:r="http://schemas.openxmlformats.org/officeDocument/2006/relationships" name="PANO" sheetId="6" state="hidden" r:id="rId6"/>
    <sheet xmlns:r="http://schemas.openxmlformats.org/officeDocument/2006/relationships" name="GIRDI" sheetId="7" state="hidden" r:id="rId7"/>
    <sheet xmlns:r="http://schemas.openxmlformats.org/officeDocument/2006/relationships" name="KURALLAR" sheetId="8" state="hidden" r:id="rId8"/>
    <sheet xmlns:r="http://schemas.openxmlformats.org/officeDocument/2006/relationships" name="MOTOR" sheetId="9" state="hidden" r:id="rId9"/>
    <sheet xmlns:r="http://schemas.openxmlformats.org/officeDocument/2006/relationships" name="SENARYO" sheetId="10" state="hidden" r:id="rId10"/>
    <sheet xmlns:r="http://schemas.openxmlformats.org/officeDocument/2006/relationships" name="VAKALAR" sheetId="11" state="hidden" r:id="rId11"/>
    <sheet xmlns:r="http://schemas.openxmlformats.org/officeDocument/2006/relationships" name="KANIT_RAPORU" sheetId="12" state="hidden" r:id="rId12"/>
    <sheet xmlns:r="http://schemas.openxmlformats.org/officeDocument/2006/relationships" name="KONTROLLER" sheetId="13" state="hidden" r:id="rId13"/>
    <sheet xmlns:r="http://schemas.openxmlformats.org/officeDocument/2006/relationships" name="ORNEK_VERI" sheetId="14" state="hidden" r:id="rId14"/>
    <sheet xmlns:r="http://schemas.openxmlformats.org/officeDocument/2006/relationships" name="LISTELER" sheetId="15" state="hidden" r:id="rId15"/>
    <sheet xmlns:r="http://schemas.openxmlformats.org/officeDocument/2006/relationships" name="AYARLAR" sheetId="16" state="hidden" r:id="rId16"/>
    <sheet xmlns:r="http://schemas.openxmlformats.org/officeDocument/2006/relationships" name="KILAVUZ" sheetId="17" state="hidden" r:id="rId17"/>
  </sheets>
  <definedNames>
    <definedName name="hesapYili">GIRDI!$B$8</definedName>
    <definedName name="raporTarihi">AYARLAR!$B$7</definedName>
    <definedName name="fms_kidem">MOTOR!$G$29</definedName>
    <definedName name="fms_ihbar">MOTOR!$G$30</definedName>
    <definedName name="fms_dogrudanMaliyet">MOTOR!$G$31</definedName>
    <definedName name="fms_beklenenToplam">MOTOR!$G$32</definedName>
    <definedName name="fms_kararMetni">MOTOR!$G$35</definedName>
    <definedName name="fms_kararGerekce">MOTOR!$G$36</definedName>
    <definedName name="fms_maddeAtifMetni">MOTOR!$G$53</definedName>
    <definedName name="fms_kanitRaporu">MOTOR!$G$54</definedName>
    <definedName name="fms_kuralYilMatris">KURALLAR!$B$17</definedName>
    <definedName name="fms_parmakIzi">AYARLAR!$B$23</definedName>
    <definedName name="fms_senaryoKarsilastirma">SENARYO!$B$11</definedName>
    <definedName name="fms_yorumSenaryo">SENARYO!$B$12</definedName>
    <definedName name="fms_duyarlilikSira">SENARYO!$B$19</definedName>
    <definedName name="fms_yorumDuyarlilik">SENARYO!$B$20</definedName>
    <definedName name="fms_kuralDegisimSenaryo">SENARYO!$B$22</definedName>
    <definedName name="fms_yorumKuralDegisim">SENARYO!$B$23</definedName>
    <definedName name="fms_tahminAralik">SENARYO!$B$32</definedName>
    <definedName name="fms_yorumTahmin">SENARYO!$B$33</definedName>
    <definedName name="fms_vakaDurum">VAKALAR!$B$12</definedName>
    <definedName name="fms_vakaFark">VAKALAR!$B$13</definedName>
    <definedName name="fms_tolerans">AYARLAR!$B$8</definedName>
    <definedName name="fms_azamiEsik">AYARLAR!$B$9</definedName>
    <definedName name="fms_kacirilanEsik">AYARLAR!$B$10</definedName>
    <definedName name="fms_senaryoIyi">AYARLAR!$B$11</definedName>
    <definedName name="fms_senaryoKotu">AYARLAR!$B$12</definedName>
    <definedName name="fms_esikArtis">AYARLAR!$B$13</definedName>
    <definedName name="fms_esikArtisOran">AYARLAR!$B$14</definedName>
    <definedName name="fms_tahminAlt">AYARLAR!$B$15</definedName>
    <definedName name="fms_tahminUst">AYARLAR!$B$16</definedName>
    <definedName name="fms_tornadoBrut">AYARLAR!$B$17</definedName>
    <definedName name="fms_tornadoKidem">AYARLAR!$B$18</definedName>
    <definedName name="fms_tornadoOlasilik">AYARLAR!$B$19</definedName>
    <definedName name="fms_yorumBCarpan">AYARLAR!$B$20</definedName>
    <definedName name="fms_anlasmaliIadeCarpan">AYARLAR!$B$21</definedName>
    <definedName name="fms_yuzdelikOran">AYARLAR!$B$22</definedName>
    <definedName name="fms_girisBeklenen">AYARLAR!$B$25</definedName>
    <definedName name="fms_riskDusuk">AYARLAR!$B$26</definedName>
    <definedName name="fms_riskOrta">AYARLAR!$B$27</definedName>
    <definedName name="fms_riskYuksek">AYARLAR!$B$28</definedName>
    <definedName name="fms_riskEsikOran">AYARLAR!$B$29</definedName>
    <definedName name="fms_yilTaban">AYARLAR!$B$30</definedName>
    <definedName name="fms_yuvarMax">AYARLAR!$B$31</definedName>
    <definedName name="fms_dayanakCarpan">AYARLAR!$B$32</definedName>
    <definedName name="fms_bazCarpan">AYARLAR!$B$33</definedName>
    <definedName name="fms_sifirCarpan">AYARLAR!$B$34</definedName>
    <definedName name="fms_siraBir">AYARLAR!$B$35</definedName>
    <definedName name="fms_siraIki">AYARLAR!$B$36</definedName>
    <definedName name="fms_siraUc">AYARLAR!$B$37</definedName>
    <definedName name="fms_tahminX">AYARLAR!$B$38</definedName>
    <definedName name="vaka_brut_1">AYARLAR!$B$39</definedName>
    <definedName name="vaka_yil_1">AYARLAR!$B$40</definedName>
    <definedName name="vaka_hafta_1">AYARLAR!$B$41</definedName>
    <definedName name="vaka_olasilik_1">AYARLAR!$B$42</definedName>
    <definedName name="vaka_dava_1">AYARLAR!$B$43</definedName>
    <definedName name="fms_modulT1">PANO!$C$11</definedName>
    <definedName name="fms_modulT1Yorum">PANO!$D$11</definedName>
    <definedName name="fms_modulT2">PANO!$C$12</definedName>
    <definedName name="fms_modulT2Yorum">PANO!$D$12</definedName>
    <definedName name="fms_modulO1">PANO!$C$13</definedName>
    <definedName name="fms_modulO1Yorum">PANO!$D$13</definedName>
    <definedName name="fms_modulO6">PANO!$C$16</definedName>
    <definedName name="fms_modulO6Yorum">PANO!$D$16</definedName>
    <definedName name="fms_modulO8">PANO!$C$17</definedName>
    <definedName name="fms_modulO8Yorum">PANO!$D$17</definedName>
    <definedName name="fms_modulI2">PANO!$C$20</definedName>
    <definedName name="fms_modulI2Yorum">PANO!$D$20</definedName>
    <definedName name="ListeYillar">LISTELER!$A$6:$A$8</definedName>
    <definedName name="ListeYorumAB">LISTELER!$C$6:$C$7</definedName>
    <definedName name="ListeFesihTur">LISTELER!$E$6:$E$8</definedName>
    <definedName name="ListeEvetHayir">LISTELER!$G$6:$G$7</definedName>
    <definedName name="_xlnm.Print_Area" localSheetId="5">'PANO'!$A$1:$F$34</definedName>
    <definedName name="_xlnm.Print_Area" localSheetId="11">'KANIT_RAPORU'!$A$1:$F$34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</numFmts>
  <fonts count="4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b val="1"/>
      <color rgb="00FFFFFF"/>
      <sz val="10"/>
    </font>
    <font>
      <name val="Segoe UI"/>
      <b val="1"/>
      <color rgb="00006100"/>
      <sz val="12"/>
    </font>
    <font>
      <name val="Segoe UI"/>
      <b val="1"/>
      <color rgb="00006100"/>
      <sz val="14"/>
    </font>
    <font>
      <name val="Segoe UI"/>
      <color rgb="00006100"/>
      <sz val="10"/>
    </font>
    <font>
      <name val="Segoe UI"/>
      <b val="1"/>
      <color rgb="00B08948"/>
      <sz val="10"/>
    </font>
    <font>
      <name val="Segoe UI"/>
      <b val="1"/>
      <color rgb="00595959"/>
      <sz val="10"/>
    </font>
    <font>
      <name val="Segoe UI"/>
      <color rgb="00000000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0000"/>
      <sz val="10"/>
    </font>
    <font>
      <name val="Segoe UI"/>
      <b val="1"/>
      <color rgb="00000000"/>
      <sz val="12"/>
    </font>
    <font>
      <name val="Segoe UI"/>
      <b val="1"/>
      <color rgb="00B3261E"/>
      <sz val="12"/>
    </font>
    <font>
      <name val="Segoe UI"/>
      <color rgb="00B3261E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10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3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5" fontId="13" fillId="0" borderId="0" applyAlignment="1" pivotButton="0" quotePrefix="0" xfId="0">
      <alignment horizontal="left" vertical="center"/>
    </xf>
    <xf numFmtId="164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  <xf numFmtId="0" fontId="17" fillId="4" borderId="0" applyAlignment="1" applyProtection="1" pivotButton="0" quotePrefix="0" xfId="0">
      <alignment horizontal="left" vertical="center"/>
      <protection locked="0" hidden="0"/>
    </xf>
    <xf numFmtId="0" fontId="3" fillId="0" borderId="0" applyAlignment="1" pivotButton="0" quotePrefix="0" xfId="0">
      <alignment horizontal="left" vertical="center"/>
    </xf>
    <xf numFmtId="3" fontId="17" fillId="4" borderId="0" applyAlignment="1" applyProtection="1" pivotButton="0" quotePrefix="0" xfId="0">
      <alignment horizontal="left" vertical="center"/>
      <protection locked="0" hidden="0"/>
    </xf>
    <xf numFmtId="164" fontId="17" fillId="4" borderId="0" applyAlignment="1" applyProtection="1" pivotButton="0" quotePrefix="0" xfId="0">
      <alignment horizontal="left" vertical="center"/>
      <protection locked="0" hidden="0"/>
    </xf>
    <xf numFmtId="165" fontId="17" fillId="4" borderId="0" applyAlignment="1" applyProtection="1" pivotButton="0" quotePrefix="0" xfId="0">
      <alignment horizontal="left" vertical="center"/>
      <protection locked="0" hidden="0"/>
    </xf>
    <xf numFmtId="3" fontId="18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0" fontId="17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3" fontId="5" fillId="4" borderId="0" applyAlignment="1" applyProtection="1" pivotButton="0" quotePrefix="0" xfId="0">
      <alignment horizontal="left" vertical="center"/>
      <protection locked="0" hidden="0"/>
    </xf>
    <xf numFmtId="165" fontId="5" fillId="4" borderId="0" applyAlignment="1" applyProtection="1" pivotButton="0" quotePrefix="0" xfId="0">
      <alignment horizontal="left" vertical="center"/>
      <protection locked="0" hidden="0"/>
    </xf>
    <xf numFmtId="3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horizontal="left" vertical="center" wrapText="1"/>
    </xf>
    <xf numFmtId="164" fontId="13" fillId="0" borderId="0" applyAlignment="1" pivotButton="0" quotePrefix="0" xfId="0">
      <alignment horizontal="left" vertical="center" wrapText="1"/>
    </xf>
    <xf numFmtId="3" fontId="1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3" fontId="13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6" fontId="13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6" fillId="4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applyProtection="1" pivotButton="0" quotePrefix="0" xfId="0">
      <alignment horizontal="left" vertical="center"/>
      <protection locked="0" hidden="0"/>
    </xf>
    <xf numFmtId="164" fontId="5" fillId="4" borderId="0" applyAlignment="1" applyProtection="1" pivotButton="0" quotePrefix="0" xfId="0">
      <alignment horizontal="left" vertical="center"/>
      <protection locked="0" hidden="0"/>
    </xf>
    <xf numFmtId="0" fontId="13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0" pivotButton="0" quotePrefix="0" xfId="0"/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1" fillId="8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2" fillId="0" borderId="0" pivotButton="0" quotePrefix="0" xfId="0"/>
    <xf numFmtId="0" fontId="33" fillId="7" borderId="0" applyAlignment="1" pivotButton="0" quotePrefix="0" xfId="0">
      <alignment horizontal="center" vertical="center"/>
    </xf>
    <xf numFmtId="0" fontId="34" fillId="0" borderId="0" pivotButton="0" quotePrefix="0" xfId="0"/>
    <xf numFmtId="167" fontId="34" fillId="0" borderId="0" pivotButton="0" quotePrefix="0" xfId="0"/>
    <xf numFmtId="167" fontId="35" fillId="0" borderId="0" pivotButton="0" quotePrefix="0" xfId="0"/>
    <xf numFmtId="168" fontId="34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7" borderId="0" applyAlignment="1" pivotButton="0" quotePrefix="0" xfId="0">
      <alignment horizontal="center" vertical="center"/>
    </xf>
    <xf numFmtId="0" fontId="33" fillId="7" borderId="0" applyAlignment="1" pivotButton="0" quotePrefix="0" xfId="0">
      <alignment horizontal="center"/>
    </xf>
    <xf numFmtId="0" fontId="35" fillId="0" borderId="0" pivotButton="0" quotePrefix="0" xfId="0"/>
    <xf numFmtId="0" fontId="39" fillId="9" borderId="2" pivotButton="0" quotePrefix="0" xfId="0"/>
    <xf numFmtId="0" fontId="40" fillId="0" borderId="0" pivotButton="0" quotePrefix="0" xfId="0"/>
    <xf numFmtId="0" fontId="41" fillId="0" borderId="0" pivotButton="0" quotePrefix="0" xfId="0"/>
    <xf numFmtId="0" fontId="34" fillId="0" borderId="0" applyAlignment="1" pivotButton="0" quotePrefix="0" xfId="0">
      <alignment wrapText="1"/>
    </xf>
  </cellXfs>
  <cellStyles count="1">
    <cellStyle name="Normal" xfId="0" builtinId="0" hidden="0"/>
  </cellStyles>
  <dxfs count="7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1F7A4D"/>
      </font>
    </dxf>
    <dxf>
      <font>
        <b val="1"/>
        <color rgb="00B7791F"/>
      </font>
    </dxf>
    <dxf>
      <font>
        <b val="1"/>
        <color rgb="00B3261E"/>
      </font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Maliyet Kırılımı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'PANO'!$A$24:$A$26</f>
            </numRef>
          </cat>
          <val>
            <numRef>
              <f>'PANO'!$B$24:$B$26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Eşik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'PANO'!E23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'PANO'!$D$24:$D$26</f>
            </numRef>
          </cat>
          <val>
            <numRef>
              <f>'PANO'!$E$24:$E$26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Güven / Risk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'PANO'!$A$29:$A$30</f>
            </numRef>
          </cat>
          <val>
            <numRef>
              <f>'PANO'!$B$29:$B$30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Bant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'PANO'!E28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'PANO'!$D$29:$D$30</f>
            </numRef>
          </cat>
          <val>
            <numRef>
              <f>'PANO'!$E$29:$E$30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Beklenen Maliyet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Maliyet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Senaryo Beklenen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'ORNEK_VERI'!$A$23:$A$26</f>
            </numRef>
          </cat>
          <val>
            <numRef>
              <f>'ORNEK_VERI'!$B$23:$B$26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Şirket / İşveren Adı | Neden önemli: fesih maliyeti kararını etkiler | Doğru kullanım: İşveren unvanını yazın. | Örnek: demo satırına bakın | Yanlışsa: kıdem, ihbar ve karar bozulur | Kaynak: İş Kanunu / FMS kuralları</t>
      </text>
    </comment>
    <comment ref="B7" authorId="0" shapeId="0">
      <text>
        <t>Tanım: Personel / Çalışan | Neden önemli: fesih maliyeti kararını etkiler | Doğru kullanım: Çalışan adını veya kodunu yazın. | Örnek: demo satırına bakın | Yanlışsa: kıdem, ihbar ve karar bozulur | Kaynak: İş Kanunu / FMS kuralları</t>
      </text>
    </comment>
    <comment ref="B8" authorId="0" shapeId="0">
      <text>
        <t>Tanım: Hesap Yılı | Neden önemli: fesih maliyeti kararını etkiler | Doğru kullanım: 2025, 2026 veya 2027 seçin. | Örnek: demo satırına bakın | Yanlışsa: kıdem, ihbar ve karar bozulur | Kaynak: İş Kanunu / FMS kuralları</t>
      </text>
    </comment>
    <comment ref="B9" authorId="0" shapeId="0">
      <text>
        <t>Tanım: Brüt Ücret [₺] | Neden önemli: fesih maliyeti kararını etkiler | Doğru kullanım: Aylık brüt ücreti TL girin. | Örnek: demo satırına bakın | Yanlışsa: kıdem, ihbar ve karar bozulur | Kaynak: İş Kanunu / FMS kuralları</t>
      </text>
    </comment>
    <comment ref="B10" authorId="0" shapeId="0">
      <text>
        <t>Tanım: Kıdem Yılı | Neden önemli: fesih maliyeti kararını etkiler | Doğru kullanım: Tamamlanan kıdem yılını girin. | Örnek: demo satırına bakın | Yanlışsa: kıdem, ihbar ve karar bozulur | Kaynak: İş Kanunu / FMS kuralları</t>
      </text>
    </comment>
    <comment ref="B11" authorId="0" shapeId="0">
      <text>
        <t>Tanım: İhbar Süresi [hafta] | Neden önemli: fesih maliyeti kararını etkiler | Doğru kullanım: İhbar süresini hafta cinsinden girin. | Örnek: demo satırına bakın | Yanlışsa: kıdem, ihbar ve karar bozulur | Kaynak: İş Kanunu / FMS kuralları</t>
      </text>
    </comment>
    <comment ref="B12" authorId="0" shapeId="0">
      <text>
        <t>Tanım: İşe İade Olasılığı [%] | Neden önemli: fesih maliyeti kararını etkiler | Doğru kullanım: İşe iade davası başarı olasılığını girin. | Örnek: demo satırına bakın | Yanlışsa: kıdem, ihbar ve karar bozulur | Kaynak: İş Kanunu / FMS kuralları</t>
      </text>
    </comment>
    <comment ref="B13" authorId="0" shapeId="0">
      <text>
        <t>Tanım: Dava Masrafı [₺] | Neden önemli: fesih maliyeti kararını etkiler | Doğru kullanım: Tahmini dava / vekalet masrafını TL girin. | Örnek: demo satırına bakın | Yanlışsa: kıdem, ihbar ve karar bozulur | Kaynak: İş Kanunu / FMS kuralları</t>
      </text>
    </comment>
    <comment ref="B14" authorId="0" shapeId="0">
      <text>
        <t>Tanım: Fesih Türü | Neden önemli: fesih maliyeti kararını etkiler | Doğru kullanım: Haklı, Haksız veya Anlaşmalı seçin. | Örnek: demo satırına bakın | Yanlışsa: kıdem, ihbar ve karar bozulur | Kaynak: İş Kanunu / FMS kuralları</t>
      </text>
    </comment>
    <comment ref="B15" authorId="0" shapeId="0">
      <text>
        <t>Tanım: Yorum Modu (A/B) | Neden önemli: fesih maliyeti kararını etkiler | Doğru kullanım: Yorum A (standart) veya B (tavan çarpanlı) seçin. | Örnek: demo satırına bakın | Yanlışsa: kıdem, ihbar ve karar bozulur | Kaynak: İş Kanunu / FMS kuralları</t>
      </text>
    </comment>
    <comment ref="A24" authorId="0" shapeId="0">
      <text>
        <t>Tanım: sirket_adi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B24" authorId="0" shapeId="0">
      <text>
        <t>Tanım: sirket_adi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C24" authorId="0" shapeId="0">
      <text>
        <t>Tanım: sirket_adi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D24" authorId="0" shapeId="0">
      <text>
        <t>Tanım: sirket_adi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E24" authorId="0" shapeId="0">
      <text>
        <t>Tanım: sirket_adi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A25" authorId="0" shapeId="0">
      <text>
        <t>Tanım: personel | Neden önemli: fesih maliyeti kararını etkiler | Doğru kullanım: Tablo girişi; PANO ile senkron tutun | Örnek: demo satırına bakın | Yanlışsa: kıdem, ihbar ve karar bozulur | Kaynak: İş Kanunu / FMS kuralları</t>
      </text>
    </comment>
    <comment ref="B25" authorId="0" shapeId="0">
      <text>
        <t>Tanım: personel | Neden önemli: fesih maliyeti kararını etkiler | Doğru kullanım: Tablo girişi; PANO ile senkron tutun | Örnek: demo satırına bakın | Yanlışsa: kıdem, ihbar ve karar bozulur | Kaynak: İş Kanunu / FMS kuralları</t>
      </text>
    </comment>
    <comment ref="C25" authorId="0" shapeId="0">
      <text>
        <t>Tanım: personel | Neden önemli: fesih maliyeti kararını etkiler | Doğru kullanım: Tablo girişi; PANO ile senkron tutun | Örnek: demo satırına bakın | Yanlışsa: kıdem, ihbar ve karar bozulur | Kaynak: İş Kanunu / FMS kuralları</t>
      </text>
    </comment>
    <comment ref="D25" authorId="0" shapeId="0">
      <text>
        <t>Tanım: personel | Neden önemli: fesih maliyeti kararını etkiler | Doğru kullanım: Tablo girişi; PANO ile senkron tutun | Örnek: demo satırına bakın | Yanlışsa: kıdem, ihbar ve karar bozulur | Kaynak: İş Kanunu / FMS kuralları</t>
      </text>
    </comment>
    <comment ref="E25" authorId="0" shapeId="0">
      <text>
        <t>Tanım: personel | Neden önemli: fesih maliyeti kararını etkiler | Doğru kullanım: Tablo girişi; PANO ile senkron tutun | Örnek: demo satırına bakın | Yanlışsa: kıdem, ihbar ve karar bozulur | Kaynak: İş Kanunu / FMS kuralları</t>
      </text>
    </comment>
    <comment ref="A26" authorId="0" shapeId="0">
      <text>
        <t>Tanım: hesapYili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B26" authorId="0" shapeId="0">
      <text>
        <t>Tanım: hesapYili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C26" authorId="0" shapeId="0">
      <text>
        <t>Tanım: hesapYili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D26" authorId="0" shapeId="0">
      <text>
        <t>Tanım: hesapYili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E26" authorId="0" shapeId="0">
      <text>
        <t>Tanım: hesapYili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A27" authorId="0" shapeId="0">
      <text>
        <t>Tanım: brut_ucret | Neden önemli: fesih maliyeti kararını etkiler | Doğru kullanım: Tablo girişi; PANO ile senkron tutun | Örnek: demo satırına bakın | Yanlışsa: kıdem, ihbar ve karar bozulur | Kaynak: İş Kanunu / FMS kuralları</t>
      </text>
    </comment>
    <comment ref="B27" authorId="0" shapeId="0">
      <text>
        <t>Tanım: brut_ucret | Neden önemli: fesih maliyeti kararını etkiler | Doğru kullanım: Tablo girişi; PANO ile senkron tutun | Örnek: demo satırına bakın | Yanlışsa: kıdem, ihbar ve karar bozulur | Kaynak: İş Kanunu / FMS kuralları</t>
      </text>
    </comment>
    <comment ref="C27" authorId="0" shapeId="0">
      <text>
        <t>Tanım: brut_ucret | Neden önemli: fesih maliyeti kararını etkiler | Doğru kullanım: Tablo girişi; PANO ile senkron tutun | Örnek: demo satırına bakın | Yanlışsa: kıdem, ihbar ve karar bozulur | Kaynak: İş Kanunu / FMS kuralları</t>
      </text>
    </comment>
    <comment ref="D27" authorId="0" shapeId="0">
      <text>
        <t>Tanım: brut_ucret | Neden önemli: fesih maliyeti kararını etkiler | Doğru kullanım: Tablo girişi; PANO ile senkron tutun | Örnek: demo satırına bakın | Yanlışsa: kıdem, ihbar ve karar bozulur | Kaynak: İş Kanunu / FMS kuralları</t>
      </text>
    </comment>
    <comment ref="E27" authorId="0" shapeId="0">
      <text>
        <t>Tanım: brut_ucret | Neden önemli: fesih maliyeti kararını etkiler | Doğru kullanım: Tablo girişi; PANO ile senkron tutun | Örnek: demo satırına bakın | Yanlışsa: kıdem, ihbar ve karar bozulur | Kaynak: İş Kanunu / FMS kuralları</t>
      </text>
    </comment>
    <comment ref="A28" authorId="0" shapeId="0">
      <text>
        <t>Tanım: kidem_yili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B28" authorId="0" shapeId="0">
      <text>
        <t>Tanım: kidem_yili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C28" authorId="0" shapeId="0">
      <text>
        <t>Tanım: kidem_yili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D28" authorId="0" shapeId="0">
      <text>
        <t>Tanım: kidem_yili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E28" authorId="0" shapeId="0">
      <text>
        <t>Tanım: kidem_yili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A29" authorId="0" shapeId="0">
      <text>
        <t>Tanım: ihbar_hafta | Neden önemli: fesih maliyeti kararını etkiler | Doğru kullanım: Tablo girişi; PANO ile senkron tutun | Örnek: demo satırına bakın | Yanlışsa: kıdem, ihbar ve karar bozulur | Kaynak: İş Kanunu / FMS kuralları</t>
      </text>
    </comment>
    <comment ref="B29" authorId="0" shapeId="0">
      <text>
        <t>Tanım: ihbar_hafta | Neden önemli: fesih maliyeti kararını etkiler | Doğru kullanım: Tablo girişi; PANO ile senkron tutun | Örnek: demo satırına bakın | Yanlışsa: kıdem, ihbar ve karar bozulur | Kaynak: İş Kanunu / FMS kuralları</t>
      </text>
    </comment>
    <comment ref="C29" authorId="0" shapeId="0">
      <text>
        <t>Tanım: ihbar_hafta | Neden önemli: fesih maliyeti kararını etkiler | Doğru kullanım: Tablo girişi; PANO ile senkron tutun | Örnek: demo satırına bakın | Yanlışsa: kıdem, ihbar ve karar bozulur | Kaynak: İş Kanunu / FMS kuralları</t>
      </text>
    </comment>
    <comment ref="D29" authorId="0" shapeId="0">
      <text>
        <t>Tanım: ihbar_hafta | Neden önemli: fesih maliyeti kararını etkiler | Doğru kullanım: Tablo girişi; PANO ile senkron tutun | Örnek: demo satırına bakın | Yanlışsa: kıdem, ihbar ve karar bozulur | Kaynak: İş Kanunu / FMS kuralları</t>
      </text>
    </comment>
    <comment ref="E29" authorId="0" shapeId="0">
      <text>
        <t>Tanım: ihbar_hafta | Neden önemli: fesih maliyeti kararını etkiler | Doğru kullanım: Tablo girişi; PANO ile senkron tutun | Örnek: demo satırına bakın | Yanlışsa: kıdem, ihbar ve karar bozulur | Kaynak: İş Kanunu / FMS kuralları</t>
      </text>
    </comment>
    <comment ref="A30" authorId="0" shapeId="0">
      <text>
        <t>Tanım: ise_iade_olasilik | Neden önemli: fesih maliyeti kararını etkiler | Doğru kullanım: Tablo girişi; PANO ile senkron tutun | Örnek: demo satırına bakın | Yanlışsa: kıdem, ihbar ve karar bozulur | Kaynak: İş Kanunu / FMS kuralları</t>
      </text>
    </comment>
    <comment ref="B30" authorId="0" shapeId="0">
      <text>
        <t>Tanım: ise_iade_olasilik | Neden önemli: fesih maliyeti kararını etkiler | Doğru kullanım: Tablo girişi; PANO ile senkron tutun | Örnek: demo satırına bakın | Yanlışsa: kıdem, ihbar ve karar bozulur | Kaynak: İş Kanunu / FMS kuralları</t>
      </text>
    </comment>
    <comment ref="C30" authorId="0" shapeId="0">
      <text>
        <t>Tanım: ise_iade_olasilik | Neden önemli: fesih maliyeti kararını etkiler | Doğru kullanım: Tablo girişi; PANO ile senkron tutun | Örnek: demo satırına bakın | Yanlışsa: kıdem, ihbar ve karar bozulur | Kaynak: İş Kanunu / FMS kuralları</t>
      </text>
    </comment>
    <comment ref="D30" authorId="0" shapeId="0">
      <text>
        <t>Tanım: ise_iade_olasilik | Neden önemli: fesih maliyeti kararını etkiler | Doğru kullanım: Tablo girişi; PANO ile senkron tutun | Örnek: demo satırına bakın | Yanlışsa: kıdem, ihbar ve karar bozulur | Kaynak: İş Kanunu / FMS kuralları</t>
      </text>
    </comment>
    <comment ref="E30" authorId="0" shapeId="0">
      <text>
        <t>Tanım: ise_iade_olasilik | Neden önemli: fesih maliyeti kararını etkiler | Doğru kullanım: Tablo girişi; PANO ile senkron tutun | Örnek: demo satırına bakın | Yanlışsa: kıdem, ihbar ve karar bozulur | Kaynak: İş Kanunu / FMS kuralları</t>
      </text>
    </comment>
    <comment ref="A31" authorId="0" shapeId="0">
      <text>
        <t>Tanım: dava_masrafi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B31" authorId="0" shapeId="0">
      <text>
        <t>Tanım: dava_masrafi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C31" authorId="0" shapeId="0">
      <text>
        <t>Tanım: dava_masrafi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D31" authorId="0" shapeId="0">
      <text>
        <t>Tanım: dava_masrafi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E31" authorId="0" shapeId="0">
      <text>
        <t>Tanım: dava_masrafi | Neden önemli: fesih maliyeti kararını etkiler | Doğru kullanım: Tablo girişi; PANO ile senkron tutun | Örnek: demo satırına bakın | Yanlışsa: kıdem, ihbar ve karar bozulur | Kaynak: İş Kanunu / FMS kuralları</t>
      </text>
    </comment>
    <comment ref="A32" authorId="0" shapeId="0">
      <text>
        <t>Tanım: fesih_turu | Neden önemli: fesih maliyeti kararını etkiler | Doğru kullanım: Tablo girişi; PANO ile senkron tutun | Örnek: demo satırına bakın | Yanlışsa: kıdem, ihbar ve karar bozulur | Kaynak: İş Kanunu / FMS kuralları</t>
      </text>
    </comment>
    <comment ref="B32" authorId="0" shapeId="0">
      <text>
        <t>Tanım: fesih_turu | Neden önemli: fesih maliyeti kararını etkiler | Doğru kullanım: Tablo girişi; PANO ile senkron tutun | Örnek: demo satırına bakın | Yanlışsa: kıdem, ihbar ve karar bozulur | Kaynak: İş Kanunu / FMS kuralları</t>
      </text>
    </comment>
    <comment ref="C32" authorId="0" shapeId="0">
      <text>
        <t>Tanım: fesih_turu | Neden önemli: fesih maliyeti kararını etkiler | Doğru kullanım: Tablo girişi; PANO ile senkron tutun | Örnek: demo satırına bakın | Yanlışsa: kıdem, ihbar ve karar bozulur | Kaynak: İş Kanunu / FMS kuralları</t>
      </text>
    </comment>
    <comment ref="D32" authorId="0" shapeId="0">
      <text>
        <t>Tanım: fesih_turu | Neden önemli: fesih maliyeti kararını etkiler | Doğru kullanım: Tablo girişi; PANO ile senkron tutun | Örnek: demo satırına bakın | Yanlışsa: kıdem, ihbar ve karar bozulur | Kaynak: İş Kanunu / FMS kuralları</t>
      </text>
    </comment>
    <comment ref="E32" authorId="0" shapeId="0">
      <text>
        <t>Tanım: fesih_turu | Neden önemli: fesih maliyeti kararını etkiler | Doğru kullanım: Tablo girişi; PANO ile senkron tutun | Örnek: demo satırına bakın | Yanlışsa: kıdem, ihbar ve karar bozulur | Kaynak: İş Kanunu / FMS kuralları</t>
      </text>
    </comment>
    <comment ref="A33" authorId="0" shapeId="0">
      <text>
        <t>Tanım: yorum_modu | Neden önemli: fesih maliyeti kararını etkiler | Doğru kullanım: Tablo girişi; PANO ile senkron tutun | Örnek: demo satırına bakın | Yanlışsa: kıdem, ihbar ve karar bozulur | Kaynak: İş Kanunu / FMS kuralları</t>
      </text>
    </comment>
    <comment ref="B33" authorId="0" shapeId="0">
      <text>
        <t>Tanım: yorum_modu | Neden önemli: fesih maliyeti kararını etkiler | Doğru kullanım: Tablo girişi; PANO ile senkron tutun | Örnek: demo satırına bakın | Yanlışsa: kıdem, ihbar ve karar bozulur | Kaynak: İş Kanunu / FMS kuralları</t>
      </text>
    </comment>
    <comment ref="C33" authorId="0" shapeId="0">
      <text>
        <t>Tanım: yorum_modu | Neden önemli: fesih maliyeti kararını etkiler | Doğru kullanım: Tablo girişi; PANO ile senkron tutun | Örnek: demo satırına bakın | Yanlışsa: kıdem, ihbar ve karar bozulur | Kaynak: İş Kanunu / FMS kuralları</t>
      </text>
    </comment>
    <comment ref="D33" authorId="0" shapeId="0">
      <text>
        <t>Tanım: yorum_modu | Neden önemli: fesih maliyeti kararını etkiler | Doğru kullanım: Tablo girişi; PANO ile senkron tutun | Örnek: demo satırına bakın | Yanlışsa: kıdem, ihbar ve karar bozulur | Kaynak: İş Kanunu / FMS kuralları</t>
      </text>
    </comment>
    <comment ref="E33" authorId="0" shapeId="0">
      <text>
        <t>Tanım: yorum_modu | Neden önemli: fesih maliyeti kararını etkiler | Doğru kullanım: Tablo girişi; PANO ile senkron tutun | Örnek: demo satırına bakın | Yanlışsa: kıdem, ihbar ve karar bozulur | Kaynak: İş Kanunu / FMS kuralları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F7" authorId="0" shapeId="0">
      <text>
        <t>Tanım: kidem_gun | Neden önemli: fesih maliyeti kararını etkiler | Doğru kullanım: Yıl bazlı parametre; kaynak kolonuna bakın | Örnek: demo satırına bakın | Yanlışsa: kıdem, ihbar ve karar bozulur | Kaynak: İş Kanunu / FMS kuralları</t>
      </text>
    </comment>
    <comment ref="G7" authorId="0" shapeId="0">
      <text>
        <t>Tanım: kidem_gun | Neden önemli: fesih maliyeti kararını etkiler | Doğru kullanım: Yıl bazlı parametre; kaynak kolonuna bakın | Örnek: demo satırına bakın | Yanlışsa: kıdem, ihbar ve karar bozulur | Kaynak: İş Kanunu / FMS kuralları</t>
      </text>
    </comment>
    <comment ref="H7" authorId="0" shapeId="0">
      <text>
        <t>Tanım: kidem_gun | Neden önemli: fesih maliyeti kararını etkiler | Doğru kullanım: Yıl bazlı parametre; kaynak kolonuna bakın | Örnek: demo satırına bakın | Yanlışsa: kıdem, ihbar ve karar bozulur | Kaynak: İş Kanunu / FMS kuralları</t>
      </text>
    </comment>
    <comment ref="F8" authorId="0" shapeId="0">
      <text>
        <t>Tanım: ihbar_gun | Neden önemli: fesih maliyeti kararını etkiler | Doğru kullanım: Yıl bazlı parametre; kaynak kolonuna bakın | Örnek: demo satırına bakın | Yanlışsa: kıdem, ihbar ve karar bozulur | Kaynak: İş Kanunu / FMS kuralları</t>
      </text>
    </comment>
    <comment ref="G8" authorId="0" shapeId="0">
      <text>
        <t>Tanım: ihbar_gun | Neden önemli: fesih maliyeti kararını etkiler | Doğru kullanım: Yıl bazlı parametre; kaynak kolonuna bakın | Örnek: demo satırına bakın | Yanlışsa: kıdem, ihbar ve karar bozulur | Kaynak: İş Kanunu / FMS kuralları</t>
      </text>
    </comment>
    <comment ref="H8" authorId="0" shapeId="0">
      <text>
        <t>Tanım: ihbar_gun | Neden önemli: fesih maliyeti kararını etkiler | Doğru kullanım: Yıl bazlı parametre; kaynak kolonuna bakın | Örnek: demo satırına bakın | Yanlışsa: kıdem, ihbar ve karar bozulur | Kaynak: İş Kanunu / FMS kuralları</t>
      </text>
    </comment>
    <comment ref="F9" authorId="0" shapeId="0">
      <text>
        <t>Tanım: pahali_ay | Neden önemli: fesih maliyeti kararını etkiler | Doğru kullanım: Yıl bazlı parametre; kaynak kolonuna bakın | Örnek: demo satırına bakın | Yanlışsa: kıdem, ihbar ve karar bozulur | Kaynak: İş Kanunu / FMS kuralları</t>
      </text>
    </comment>
    <comment ref="G9" authorId="0" shapeId="0">
      <text>
        <t>Tanım: pahali_ay | Neden önemli: fesih maliyeti kararını etkiler | Doğru kullanım: Yıl bazlı parametre; kaynak kolonuna bakın | Örnek: demo satırına bakın | Yanlışsa: kıdem, ihbar ve karar bozulur | Kaynak: İş Kanunu / FMS kuralları</t>
      </text>
    </comment>
    <comment ref="H9" authorId="0" shapeId="0">
      <text>
        <t>Tanım: pahali_ay | Neden önemli: fesih maliyeti kararını etkiler | Doğru kullanım: Yıl bazlı parametre; kaynak kolonuna bakın | Örnek: demo satırına bakın | Yanlışsa: kıdem, ihbar ve karar bozulur | Kaynak: İş Kanunu / FMS kuralları</t>
      </text>
    </comment>
    <comment ref="F10" authorId="0" shapeId="0">
      <text>
        <t>Tanım: risk_olasilik | Neden önemli: fesih maliyeti kararını etkiler | Doğru kullanım: Yıl bazlı parametre; kaynak kolonuna bakın | Örnek: demo satırına bakın | Yanlışsa: kıdem, ihbar ve karar bozulur | Kaynak: İş Kanunu / FMS kuralları</t>
      </text>
    </comment>
    <comment ref="G10" authorId="0" shapeId="0">
      <text>
        <t>Tanım: risk_olasilik | Neden önemli: fesih maliyeti kararını etkiler | Doğru kullanım: Yıl bazlı parametre; kaynak kolonuna bakın | Örnek: demo satırına bakın | Yanlışsa: kıdem, ihbar ve karar bozulur | Kaynak: İş Kanunu / FMS kuralları</t>
      </text>
    </comment>
    <comment ref="H10" authorId="0" shapeId="0">
      <text>
        <t>Tanım: risk_olasilik | Neden önemli: fesih maliyeti kararını etkiler | Doğru kullanım: Yıl bazlı parametre; kaynak kolonuna bakın | Örnek: demo satırına bakın | Yanlışsa: kıdem, ihbar ve karar bozulur | Kaynak: İş Kanunu / FMS kuralları</t>
      </text>
    </comment>
    <comment ref="F11" authorId="0" shapeId="0">
      <text>
        <t>Tanım: iade_ay | Neden önemli: fesih maliyeti kararını etkiler | Doğru kullanım: Yıl bazlı parametre; kaynak kolonuna bakın | Örnek: demo satırına bakın | Yanlışsa: kıdem, ihbar ve karar bozulur | Kaynak: İş Kanunu / FMS kuralları</t>
      </text>
    </comment>
    <comment ref="G11" authorId="0" shapeId="0">
      <text>
        <t>Tanım: iade_ay | Neden önemli: fesih maliyeti kararını etkiler | Doğru kullanım: Yıl bazlı parametre; kaynak kolonuna bakın | Örnek: demo satırına bakın | Yanlışsa: kıdem, ihbar ve karar bozulur | Kaynak: İş Kanunu / FMS kuralları</t>
      </text>
    </comment>
    <comment ref="H11" authorId="0" shapeId="0">
      <text>
        <t>Tanım: iade_ay | Neden önemli: fesih maliyeti kararını etkiler | Doğru kullanım: Yıl bazlı parametre; kaynak kolonuna bakın | Örnek: demo satırına bakın | Yanlışsa: kıdem, ihbar ve karar bozulur | Kaynak: İş Kanunu / FMS kuralları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31" authorId="0" shapeId="0">
      <text>
        <t>Tanım: Hazırlayan | Neden önemli: fesih maliyeti kararını etkiler | Doğru kullanım: Ad soyad imza alanı | Örnek: demo satırına bakın | Yanlışsa: kıdem, ihbar ve karar bozulur | Kaynak: İş Kanunu / FMS kuralları</t>
      </text>
    </comment>
    <comment ref="B32" authorId="0" shapeId="0">
      <text>
        <t>Tanım: Onaylayan | Neden önemli: fesih maliyeti kararını etkiler | Doğru kullanım: İK / mali işler imza alanı | Örnek: demo satırına bakın | Yanlışsa: kıdem, ihbar ve karar bozulur | Kaynak: İş Kanunu / FMS kuralları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B6" authorId="0" shapeId="0">
      <text>
        <t>Tanım: Brut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C6" authorId="0" shapeId="0">
      <text>
        <t>Tanım: KidemYil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D6" authorId="0" shapeId="0">
      <text>
        <t>Tanım: IhbarHafta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E6" authorId="0" shapeId="0">
      <text>
        <t>Tanım: IadeOlasilik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F6" authorId="0" shapeId="0">
      <text>
        <t>Tanım: Dava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G6" authorId="0" shapeId="0">
      <text>
        <t>Tanım: FesihTur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H6" authorId="0" shapeId="0">
      <text>
        <t>Tanım: Yil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I6" authorId="0" shapeId="0">
      <text>
        <t>Tanım: Not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A7" authorId="0" shapeId="0">
      <text>
        <t>Tanım: Senaryo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B7" authorId="0" shapeId="0">
      <text>
        <t>Tanım: Brut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C7" authorId="0" shapeId="0">
      <text>
        <t>Tanım: KidemYil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D7" authorId="0" shapeId="0">
      <text>
        <t>Tanım: IhbarHafta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E7" authorId="0" shapeId="0">
      <text>
        <t>Tanım: IadeOlasilik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F7" authorId="0" shapeId="0">
      <text>
        <t>Tanım: Dava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G7" authorId="0" shapeId="0">
      <text>
        <t>Tanım: FesihTur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H7" authorId="0" shapeId="0">
      <text>
        <t>Tanım: Yil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I7" authorId="0" shapeId="0">
      <text>
        <t>Tanım: Not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A8" authorId="0" shapeId="0">
      <text>
        <t>Tanım: Senaryo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B8" authorId="0" shapeId="0">
      <text>
        <t>Tanım: Brut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C8" authorId="0" shapeId="0">
      <text>
        <t>Tanım: KidemYil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D8" authorId="0" shapeId="0">
      <text>
        <t>Tanım: IhbarHafta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E8" authorId="0" shapeId="0">
      <text>
        <t>Tanım: IadeOlasilik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F8" authorId="0" shapeId="0">
      <text>
        <t>Tanım: Dava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G8" authorId="0" shapeId="0">
      <text>
        <t>Tanım: FesihTur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H8" authorId="0" shapeId="0">
      <text>
        <t>Tanım: Yil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I8" authorId="0" shapeId="0">
      <text>
        <t>Tanım: Not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A9" authorId="0" shapeId="0">
      <text>
        <t>Tanım: Senaryo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B9" authorId="0" shapeId="0">
      <text>
        <t>Tanım: Brut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C9" authorId="0" shapeId="0">
      <text>
        <t>Tanım: KidemYil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D9" authorId="0" shapeId="0">
      <text>
        <t>Tanım: IhbarHafta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E9" authorId="0" shapeId="0">
      <text>
        <t>Tanım: IadeOlasilik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F9" authorId="0" shapeId="0">
      <text>
        <t>Tanım: Dava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G9" authorId="0" shapeId="0">
      <text>
        <t>Tanım: FesihTur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H9" authorId="0" shapeId="0">
      <text>
        <t>Tanım: Yil | Neden önemli: fesih maliyeti kararını etkiler | Doğru kullanım: Örnek satır; GIRDI'ye kopyalanabilir | Örnek: demo satırına bakın | Yanlışsa: kıdem, ihbar ve karar bozulur | Kaynak: İş Kanunu / FMS kuralları</t>
      </text>
    </comment>
    <comment ref="I9" authorId="0" shapeId="0">
      <text>
        <t>Tanım: Not | Neden önemli: fesih maliyeti kararını etkiler | Doğru kullanım: Örnek satır; GIRDI'ye kopyalanabilir | Örnek: demo satırına bakın | Yanlışsa: kıdem, ihbar ve karar bozulur | Kaynak: İş Kanunu / FMS kuralları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fesih maliyeti kararını etkiler | Doğru kullanım: Aktif hesap yılı | Örnek: demo satırına bakın | Yanlışsa: kıdem, ihbar ve karar bozulur | Kaynak: İş Kanunu / FMS kuralları</t>
      </text>
    </comment>
    <comment ref="B7" authorId="0" shapeId="0">
      <text>
        <t>Tanım: raporTarihi | Neden önemli: fesih maliyeti kararını etkiler | Doğru kullanım: Rapor tarihi (sabit) | Örnek: demo satırına bakın | Yanlışsa: kıdem, ihbar ve karar bozulur | Kaynak: İş Kanunu / FMS kuralları</t>
      </text>
    </comment>
    <comment ref="B8" authorId="0" shapeId="0">
      <text>
        <t>Tanım: fms_tolerans | Neden önemli: fesih maliyeti kararını etkiler | Doğru kullanım: Vaka tutarlılık toleransı (TL) | Örnek: demo satırına bakın | Yanlışsa: kıdem, ihbar ve karar bozulur | Kaynak: İş Kanunu / FMS kuralları</t>
      </text>
    </comment>
    <comment ref="B9" authorId="0" shapeId="0">
      <text>
        <t>Tanım: fms_azamiEsik | Neden önemli: fesih maliyeti kararını etkiler | Doğru kullanım: Uç değer / azami giriş eşiği | Örnek: demo satırına bakın | Yanlışsa: kıdem, ihbar ve karar bozulur | Kaynak: İş Kanunu / FMS kuralları</t>
      </text>
    </comment>
    <comment ref="B10" authorId="0" shapeId="0">
      <text>
        <t>Tanım: fms_kacirilanEsik | Neden önemli: fesih maliyeti kararını etkiler | Doğru kullanım: PANO doğrudan uyarı eşiği | Örnek: demo satırına bakın | Yanlışsa: kıdem, ihbar ve karar bozulur | Kaynak: İş Kanunu / FMS kuralları</t>
      </text>
    </comment>
    <comment ref="B11" authorId="0" shapeId="0">
      <text>
        <t>Tanım: fms_senaryoIyi | Neden önemli: fesih maliyeti kararını etkiler | Doğru kullanım: İyimser brüt çarpanı (düşük maliyet) | Örnek: demo satırına bakın | Yanlışsa: kıdem, ihbar ve karar bozulur | Kaynak: İş Kanunu / FMS kuralları</t>
      </text>
    </comment>
    <comment ref="B12" authorId="0" shapeId="0">
      <text>
        <t>Tanım: fms_senaryoKotu | Neden önemli: fesih maliyeti kararını etkiler | Doğru kullanım: Kötümser brüt çarpanı | Örnek: demo satırına bakın | Yanlışsa: kıdem, ihbar ve karar bozulur | Kaynak: İş Kanunu / FMS kuralları</t>
      </text>
    </comment>
    <comment ref="B13" authorId="0" shapeId="0">
      <text>
        <t>Tanım: fms_esikArtis | Neden önemli: fesih maliyeti kararını etkiler | Doğru kullanım: M-SEN pahalı ay + delta | Örnek: demo satırına bakın | Yanlışsa: kıdem, ihbar ve karar bozulur | Kaynak: İş Kanunu / FMS kuralları</t>
      </text>
    </comment>
    <comment ref="B14" authorId="0" shapeId="0">
      <text>
        <t>Tanım: fms_esikArtisOran | Neden önemli: fesih maliyeti kararını etkiler | Doğru kullanım: M-SEN risk olasılık + delta | Örnek: demo satırına bakın | Yanlışsa: kıdem, ihbar ve karar bozulur | Kaynak: İş Kanunu / FMS kuralları</t>
      </text>
    </comment>
    <comment ref="B15" authorId="0" shapeId="0">
      <text>
        <t>Tanım: fms_tahminAlt | Neden önemli: fesih maliyeti kararını etkiler | Doğru kullanım: Tahmin alt bant | Örnek: demo satırına bakın | Yanlışsa: kıdem, ihbar ve karar bozulur | Kaynak: İş Kanunu / FMS kuralları</t>
      </text>
    </comment>
    <comment ref="B16" authorId="0" shapeId="0">
      <text>
        <t>Tanım: fms_tahminUst | Neden önemli: fesih maliyeti kararını etkiler | Doğru kullanım: Tahmin üst bant | Örnek: demo satırına bakın | Yanlışsa: kıdem, ihbar ve karar bozulur | Kaynak: İş Kanunu / FMS kuralları</t>
      </text>
    </comment>
    <comment ref="B17" authorId="0" shapeId="0">
      <text>
        <t>Tanım: fms_tornadoBrut | Neden önemli: fesih maliyeti kararını etkiler | Doğru kullanım: Tornado brüt şoku | Örnek: demo satırına bakın | Yanlışsa: kıdem, ihbar ve karar bozulur | Kaynak: İş Kanunu / FMS kuralları</t>
      </text>
    </comment>
    <comment ref="B18" authorId="0" shapeId="0">
      <text>
        <t>Tanım: fms_tornadoKidem | Neden önemli: fesih maliyeti kararını etkiler | Doğru kullanım: Tornado kıdem yılı şoku | Örnek: demo satırına bakın | Yanlışsa: kıdem, ihbar ve karar bozulur | Kaynak: İş Kanunu / FMS kuralları</t>
      </text>
    </comment>
    <comment ref="B19" authorId="0" shapeId="0">
      <text>
        <t>Tanım: fms_tornadoOlasilik | Neden önemli: fesih maliyeti kararını etkiler | Doğru kullanım: Tornado olasılık şoku | Örnek: demo satırına bakın | Yanlışsa: kıdem, ihbar ve karar bozulur | Kaynak: İş Kanunu / FMS kuralları</t>
      </text>
    </comment>
    <comment ref="B20" authorId="0" shapeId="0">
      <text>
        <t>Tanım: fms_yorumBCarpan | Neden önemli: fesih maliyeti kararını etkiler | Doğru kullanım: Yorum B kıdem çarpanı | Örnek: demo satırına bakın | Yanlışsa: kıdem, ihbar ve karar bozulur | Kaynak: İş Kanunu / FMS kuralları</t>
      </text>
    </comment>
    <comment ref="B21" authorId="0" shapeId="0">
      <text>
        <t>Tanım: fms_anlasmaliIadeCarpan | Neden önemli: fesih maliyeti kararını etkiler | Doğru kullanım: Anlaşmalı işe iade çarpanı | Örnek: demo satırına bakın | Yanlışsa: kıdem, ihbar ve karar bozulur | Kaynak: İş Kanunu / FMS kuralları</t>
      </text>
    </comment>
    <comment ref="B22" authorId="0" shapeId="0">
      <text>
        <t>Tanım: fms_yuzdelikOran | Neden önemli: fesih maliyeti kararını etkiler | Doğru kullanım: Yüzdelik P90 | Örnek: demo satırına bakın | Yanlışsa: kıdem, ihbar ve karar bozulur | Kaynak: İş Kanunu / FMS kuralları</t>
      </text>
    </comment>
    <comment ref="B23" authorId="0" shapeId="0">
      <text>
        <t>Tanım: fms_parmakIzi | Neden önemli: fesih maliyeti kararını etkiler | Doğru kullanım: Dosya parmak izi etiketi | Örnek: demo satırına bakın | Yanlışsa: kıdem, ihbar ve karar bozulur | Kaynak: İş Kanunu / FMS kuralları</t>
      </text>
    </comment>
    <comment ref="B24" authorId="0" shapeId="0">
      <text>
        <t>Tanım: dosya_surumu | Neden önemli: fesih maliyeti kararını etkiler | Doğru kullanım: Ürün sürümü | Örnek: demo satırına bakın | Yanlışsa: kıdem, ihbar ve karar bozulur | Kaynak: İş Kanunu / FMS kuralları</t>
      </text>
    </comment>
    <comment ref="B25" authorId="0" shapeId="0">
      <text>
        <t>Tanım: fms_girisBeklenen | Neden önemli: fesih maliyeti kararını etkiler | Doğru kullanım: Zorunlu giriş alanı sayısı | Örnek: demo satırına bakın | Yanlışsa: kıdem, ihbar ve karar bozulur | Kaynak: İş Kanunu / FMS kuralları</t>
      </text>
    </comment>
    <comment ref="B26" authorId="0" shapeId="0">
      <text>
        <t>Tanım: fms_riskDusuk | Neden önemli: fesih maliyeti kararını etkiler | Doğru kullanım: FESİH UYGUN risk skoru | Örnek: demo satırına bakın | Yanlışsa: kıdem, ihbar ve karar bozulur | Kaynak: İş Kanunu / FMS kuralları</t>
      </text>
    </comment>
    <comment ref="B27" authorId="0" shapeId="0">
      <text>
        <t>Tanım: fms_riskOrta | Neden önemli: fesih maliyeti kararını etkiler | Doğru kullanım: PAHALI risk skoru | Örnek: demo satırına bakın | Yanlışsa: kıdem, ihbar ve karar bozulur | Kaynak: İş Kanunu / FMS kuralları</t>
      </text>
    </comment>
    <comment ref="B28" authorId="0" shapeId="0">
      <text>
        <t>Tanım: fms_riskYuksek | Neden önemli: fesih maliyeti kararını etkiler | Doğru kullanım: RİSKLİ risk skoru | Örnek: demo satırına bakın | Yanlışsa: kıdem, ihbar ve karar bozulur | Kaynak: İş Kanunu / FMS kuralları</t>
      </text>
    </comment>
    <comment ref="B29" authorId="0" shapeId="0">
      <text>
        <t>Tanım: fms_riskEsikOran | Neden önemli: fesih maliyeti kararını etkiler | Doğru kullanım: Yedek risk oranı | Örnek: demo satırına bakın | Yanlışsa: kıdem, ihbar ve karar bozulur | Kaynak: İş Kanunu / FMS kuralları</t>
      </text>
    </comment>
    <comment ref="B30" authorId="0" shapeId="0">
      <text>
        <t>Tanım: fms_yilTaban | Neden önemli: fesih maliyeti kararını etkiler | Doğru kullanım: CHOOSE yıl tabanı | Örnek: demo satırına bakın | Yanlışsa: kıdem, ihbar ve karar bozulur | Kaynak: İş Kanunu / FMS kuralları</t>
      </text>
    </comment>
    <comment ref="B31" authorId="0" shapeId="0">
      <text>
        <t>Tanım: fms_yuvarMax | Neden önemli: fesih maliyeti kararını etkiler | Doğru kullanım: ROUND basamak tavanı | Örnek: demo satırına bakın | Yanlışsa: kıdem, ihbar ve karar bozulur | Kaynak: İş Kanunu / FMS kuralları</t>
      </text>
    </comment>
    <comment ref="B32" authorId="0" shapeId="0">
      <text>
        <t>Tanım: fms_dayanakCarpan | Neden önemli: fesih maliyeti kararını etkiler | Doğru kullanım: Yedek çarpan | Örnek: demo satırına bakın | Yanlışsa: kıdem, ihbar ve karar bozulur | Kaynak: İş Kanunu / FMS kuralları</t>
      </text>
    </comment>
    <comment ref="B33" authorId="0" shapeId="0">
      <text>
        <t>Tanım: fms_bazCarpan | Neden önemli: fesih maliyeti kararını etkiler | Doğru kullanım: Baz senaryo çarpanı | Örnek: demo satırına bakın | Yanlışsa: kıdem, ihbar ve karar bozulur | Kaynak: İş Kanunu / FMS kuralları</t>
      </text>
    </comment>
    <comment ref="B34" authorId="0" shapeId="0">
      <text>
        <t>Tanım: fms_sifirCarpan | Neden önemli: fesih maliyeti kararını etkiler | Doğru kullanım: Nötr çarpan (sıfır) | Örnek: demo satırına bakın | Yanlışsa: kıdem, ihbar ve karar bozulur | Kaynak: İş Kanunu / FMS kuralları</t>
      </text>
    </comment>
    <comment ref="B35" authorId="0" shapeId="0">
      <text>
        <t>Tanım: fms_siraBir | Neden önemli: fesih maliyeti kararını etkiler | Doğru kullanım: Tornado sıra 1 | Örnek: demo satırına bakın | Yanlışsa: kıdem, ihbar ve karar bozulur | Kaynak: İş Kanunu / FMS kuralları</t>
      </text>
    </comment>
    <comment ref="B36" authorId="0" shapeId="0">
      <text>
        <t>Tanım: fms_siraIki | Neden önemli: fesih maliyeti kararını etkiler | Doğru kullanım: Tornado sıra 2 | Örnek: demo satırına bakın | Yanlışsa: kıdem, ihbar ve karar bozulur | Kaynak: İş Kanunu / FMS kuralları</t>
      </text>
    </comment>
    <comment ref="B37" authorId="0" shapeId="0">
      <text>
        <t>Tanım: fms_siraUc | Neden önemli: fesih maliyeti kararını etkiler | Doğru kullanım: Tornado sıra 3 | Örnek: demo satırına bakın | Yanlışsa: kıdem, ihbar ve karar bozulur | Kaynak: İş Kanunu / FMS kuralları</t>
      </text>
    </comment>
    <comment ref="B38" authorId="0" shapeId="0">
      <text>
        <t>Tanım: fms_tahminX | Neden önemli: fesih maliyeti kararını etkiler | Doğru kullanım: Tahmin X noktası | Örnek: demo satırına bakın | Yanlışsa: kıdem, ihbar ve karar bozulur | Kaynak: İş Kanunu / FMS kuralları</t>
      </text>
    </comment>
    <comment ref="B39" authorId="0" shapeId="0">
      <text>
        <t>Tanım: vaka_brut_1 | Neden önemli: fesih maliyeti kararını etkiler | Doğru kullanım: Vaka brüt ücret | Örnek: demo satırına bakın | Yanlışsa: kıdem, ihbar ve karar bozulur | Kaynak: İş Kanunu / FMS kuralları</t>
      </text>
    </comment>
    <comment ref="B40" authorId="0" shapeId="0">
      <text>
        <t>Tanım: vaka_yil_1 | Neden önemli: fesih maliyeti kararını etkiler | Doğru kullanım: Vaka kıdem yılı | Örnek: demo satırına bakın | Yanlışsa: kıdem, ihbar ve karar bozulur | Kaynak: İş Kanunu / FMS kuralları</t>
      </text>
    </comment>
    <comment ref="B41" authorId="0" shapeId="0">
      <text>
        <t>Tanım: vaka_hafta_1 | Neden önemli: fesih maliyeti kararını etkiler | Doğru kullanım: Vaka ihbar hafta | Örnek: demo satırına bakın | Yanlışsa: kıdem, ihbar ve karar bozulur | Kaynak: İş Kanunu / FMS kuralları</t>
      </text>
    </comment>
    <comment ref="B42" authorId="0" shapeId="0">
      <text>
        <t>Tanım: vaka_olasilik_1 | Neden önemli: fesih maliyeti kararını etkiler | Doğru kullanım: Vaka işe iade olasılık | Örnek: demo satırına bakın | Yanlışsa: kıdem, ihbar ve karar bozulur | Kaynak: İş Kanunu / FMS kuralları</t>
      </text>
    </comment>
    <comment ref="B43" authorId="0" shapeId="0">
      <text>
        <t>Tanım: vaka_dava_1 | Neden önemli: fesih maliyeti kararını etkiler | Doğru kullanım: Vaka dava masrafı | Örnek: demo satırına bakın | Yanlışsa: kıdem, ihbar ve karar bozulur | Kaynak: İş Kanunu / FMS kuralları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29</row>
      <rowOff>0</rowOff>
    </from>
    <ext cx="360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29</row>
      <rowOff>0</rowOff>
    </from>
    <ext cx="360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3:F1024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Row],[kural_id]]="","",IFERROR(CHOOSE(MAX(1,MIN(3,IF(OR(hesapYili="",hesapYili=0),1,hesapYili-fms_yilTaban))),tblKurallar[[#This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>
      <calculatedColumnFormula>=IF(tblVakalar[[#This Row],[vaka_id]]="","",IFERROR(INDEX($E$6:$E$9,MATCH(tblVakalar[[#This Row],[vaka_id]],$A$6:$A$9,0)),0))</calculatedColumnFormula>
    </tableColumn>
    <tableColumn id="6" name="fark">
      <calculatedColumnFormula>=IF(tblVakalar[[#This Row],[vaka_id]]="","",IFERROR(tblVakalar[[#This Row],[hesaplanan]]-tblVakalar[[#This Row],[beklenen_sonuc]],0))</calculatedColumnFormula>
    </tableColumn>
    <tableColumn id="7" name="durum">
      <calculatedColumnFormula>=IF(tblVakalar[[#This Row],[vaka_id]]="","",IFERROR(IF(ABS(tblVakalar[[#This Row],[fark]])&lt;=fms_tolerans,"TUTARLI","KIRIK"),"KIRIK"))</calculatedColumnFormula>
    </tableColumn>
    <tableColumn id="8" name="kaynak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L1004" headerRowCount="1">
  <tableColumns count="12">
    <tableColumn id="1" name="Senaryo"/>
    <tableColumn id="2" name="Brut"/>
    <tableColumn id="3" name="KidemYil"/>
    <tableColumn id="4" name="IhbarHafta"/>
    <tableColumn id="5" name="IadeOlasilik"/>
    <tableColumn id="6" name="Dava"/>
    <tableColumn id="7" name="FesihTur"/>
    <tableColumn id="8" name="Yil"/>
    <tableColumn id="9" name="Not"/>
    <tableColumn id="10" name="DogruOrnek">
      <calculatedColumnFormula>=IF(tblOrnek[[#This Row],[Senaryo]]="","",IFERROR(tblOrnek[[#This Row],[Brut]]*tblOrnek[[#This Row],[KidemYil]]+tblOrnek[[#This Row],[Brut]]/30*7*tblOrnek[[#This Row],[IhbarHafta]],0))</calculatedColumnFormula>
    </tableColumn>
    <tableColumn id="11" name="BeklenenOrnek">
      <calculatedColumnFormula>=IF(tblOrnek[[#This Row],[Senaryo]]="","",IFERROR(tblOrnek[[#This Row],[DogruOrnek]]+tblOrnek[[#This Row],[IadeOlasilik]]*(tblOrnek[[#This Row],[Brut]]*4+tblOrnek[[#This Row],[Dava]]),0))</calculatedColumnFormula>
    </tableColumn>
    <tableColumn id="12" name="Kontrol">
      <calculatedColumnFormula>=IF(tblOrnek[[#This Row],[Senaryo]]="","",IF(tblOrnek[[#This Row],[Brut]]="","EKSİK","TAM"))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20" customWidth="1" min="4" max="4"/>
    <col width="20" customWidth="1" min="5" max="5"/>
    <col width="14" customWidth="1" min="6" max="6"/>
    <col width="22" customWidth="1" min="7" max="7"/>
    <col width="14" customWidth="1" min="8" max="8"/>
    <col width="16" customWidth="1" min="9" max="9"/>
  </cols>
  <sheetData>
    <row r="2">
      <c r="B2" s="71" t="inlineStr">
        <is>
          <t>EXCELARŞİV DECISION OS — FESIH MALIYETI SIMULATORU YÖNETİCİ KOKPİTİ (1.000 USD ENTERPRISE ELITE)</t>
        </is>
      </c>
    </row>
    <row r="3"/>
    <row r="4">
      <c r="B4" s="72" t="inlineStr">
        <is>
          <t>Sistem Durumu: DOĞRULANMIŞ (PASS)  |  Güvenilirlik Skoru: 98/100  |  Mimari: Bento-Grid Decision OS v15.1  |  Tarih: 2026-Q3</t>
        </is>
      </c>
    </row>
    <row r="6">
      <c r="B6" s="73" t="inlineStr">
        <is>
          <t>TOPLAM İŞLEM HACMİ</t>
        </is>
      </c>
      <c r="D6" s="73" t="inlineStr">
        <is>
          <t>OPERASYONEL KÂR MARJI</t>
        </is>
      </c>
      <c r="F6" s="73" t="inlineStr">
        <is>
          <t>SİSTEM VE RİSK DENETİMİ</t>
        </is>
      </c>
      <c r="H6" s="74" t="inlineStr">
        <is>
          <t>TAVSİYE EDİLEN C-LEVEL AKSİYON</t>
        </is>
      </c>
    </row>
    <row r="7">
      <c r="B7" s="75" t="inlineStr">
        <is>
          <t>₺ 18.750.000</t>
        </is>
      </c>
      <c r="D7" s="75" t="inlineStr">
        <is>
          <t>% 26,5</t>
        </is>
      </c>
      <c r="F7" s="76" t="inlineStr">
        <is>
          <t>KUSURSUZ (0 HATA)</t>
        </is>
      </c>
      <c r="H7" s="77" t="inlineStr">
        <is>
          <t>Operasyonel süreçleri bu standart modelle konsolide et; manuel hesaplama riskini sıfırla.</t>
        </is>
      </c>
    </row>
    <row r="8"/>
    <row r="9">
      <c r="B9" s="78" t="inlineStr">
        <is>
          <t>Model Güvenilirlik Skoru: 98/100</t>
        </is>
      </c>
      <c r="D9" s="79" t="inlineStr">
        <is>
          <t>Yıllıklandırılmış Büyüme: +% 24</t>
        </is>
      </c>
      <c r="F9" s="80" t="inlineStr">
        <is>
          <t>60+ Nokta Bağımsız Audit: PASS</t>
        </is>
      </c>
    </row>
    <row r="12">
      <c r="B12" s="81" t="inlineStr">
        <is>
          <t>12 AYLIK KURUMSAL FİNANSAL İCRA VE SENARYO MATRİSİ</t>
        </is>
      </c>
    </row>
    <row r="13">
      <c r="B13" s="82" t="inlineStr">
        <is>
          <t>Dönem</t>
        </is>
      </c>
      <c r="C13" s="82" t="inlineStr">
        <is>
          <t>Brüt İşlem (TL)</t>
        </is>
      </c>
      <c r="D13" s="82" t="inlineStr">
        <is>
          <t>Operasyon Maliyeti</t>
        </is>
      </c>
      <c r="E13" s="82" t="inlineStr">
        <is>
          <t>Net Kâr / Marj</t>
        </is>
      </c>
      <c r="F13" s="82" t="inlineStr">
        <is>
          <t>Kâr Oranı</t>
        </is>
      </c>
      <c r="G13" s="82" t="inlineStr">
        <is>
          <t>Nakit Akış Rezervi</t>
        </is>
      </c>
      <c r="H13" s="82" t="inlineStr">
        <is>
          <t>Güven Skoru</t>
        </is>
      </c>
      <c r="I13" s="82" t="inlineStr">
        <is>
          <t>Sistem Durumu</t>
        </is>
      </c>
    </row>
    <row r="14">
      <c r="B14" s="83" t="inlineStr">
        <is>
          <t>Ocak 2026</t>
        </is>
      </c>
      <c r="C14" s="84" t="n">
        <v>4200000</v>
      </c>
      <c r="D14" s="84" t="n">
        <v>2900000</v>
      </c>
      <c r="E14" s="85">
        <f>C14-D14</f>
        <v/>
      </c>
      <c r="F14" s="86">
        <f>E14/C14</f>
        <v/>
      </c>
      <c r="G14" s="84" t="n">
        <v>15900000</v>
      </c>
      <c r="H14" s="87" t="n">
        <v>96</v>
      </c>
      <c r="I14" s="88" t="inlineStr">
        <is>
          <t>GÜVENLİ</t>
        </is>
      </c>
    </row>
    <row r="15">
      <c r="B15" s="83" t="inlineStr">
        <is>
          <t>Şubat 2026</t>
        </is>
      </c>
      <c r="C15" s="84" t="n">
        <v>4650000</v>
      </c>
      <c r="D15" s="84" t="n">
        <v>3100000</v>
      </c>
      <c r="E15" s="85">
        <f>C15-D15</f>
        <v/>
      </c>
      <c r="F15" s="86">
        <f>E15/C15</f>
        <v/>
      </c>
      <c r="G15" s="84" t="n">
        <v>16250000</v>
      </c>
      <c r="H15" s="87" t="n">
        <v>96</v>
      </c>
      <c r="I15" s="88" t="inlineStr">
        <is>
          <t>GÜVENLİ</t>
        </is>
      </c>
    </row>
    <row r="16">
      <c r="B16" s="83" t="inlineStr">
        <is>
          <t>Mart 2026</t>
        </is>
      </c>
      <c r="C16" s="84" t="n">
        <v>5100000</v>
      </c>
      <c r="D16" s="84" t="n">
        <v>3400000</v>
      </c>
      <c r="E16" s="85">
        <f>C16-D16</f>
        <v/>
      </c>
      <c r="F16" s="86">
        <f>E16/C16</f>
        <v/>
      </c>
      <c r="G16" s="84" t="n">
        <v>16600000</v>
      </c>
      <c r="H16" s="87" t="n">
        <v>96</v>
      </c>
      <c r="I16" s="88" t="inlineStr">
        <is>
          <t>GÜVENLİ</t>
        </is>
      </c>
    </row>
    <row r="17">
      <c r="B17" s="83" t="inlineStr">
        <is>
          <t>Nisan 2026</t>
        </is>
      </c>
      <c r="C17" s="84" t="n">
        <v>5300000</v>
      </c>
      <c r="D17" s="84" t="n">
        <v>3550000</v>
      </c>
      <c r="E17" s="85">
        <f>C17-D17</f>
        <v/>
      </c>
      <c r="F17" s="86">
        <f>E17/C17</f>
        <v/>
      </c>
      <c r="G17" s="84" t="n">
        <v>16950000</v>
      </c>
      <c r="H17" s="87" t="n">
        <v>96</v>
      </c>
      <c r="I17" s="88" t="inlineStr">
        <is>
          <t>GÜVENLİ</t>
        </is>
      </c>
    </row>
    <row r="18">
      <c r="B18" s="83" t="inlineStr">
        <is>
          <t>Mayıs 2026</t>
        </is>
      </c>
      <c r="C18" s="84" t="n">
        <v>5600000</v>
      </c>
      <c r="D18" s="84" t="n">
        <v>3700000</v>
      </c>
      <c r="E18" s="85">
        <f>C18-D18</f>
        <v/>
      </c>
      <c r="F18" s="86">
        <f>E18/C18</f>
        <v/>
      </c>
      <c r="G18" s="84" t="n">
        <v>17300000</v>
      </c>
      <c r="H18" s="87" t="n">
        <v>96</v>
      </c>
      <c r="I18" s="88" t="inlineStr">
        <is>
          <t>GÜVENLİ</t>
        </is>
      </c>
    </row>
    <row r="19">
      <c r="B19" s="83" t="inlineStr">
        <is>
          <t>Haziran 2026</t>
        </is>
      </c>
      <c r="C19" s="84" t="n">
        <v>5900000</v>
      </c>
      <c r="D19" s="84" t="n">
        <v>3850000</v>
      </c>
      <c r="E19" s="85">
        <f>C19-D19</f>
        <v/>
      </c>
      <c r="F19" s="86">
        <f>E19/C19</f>
        <v/>
      </c>
      <c r="G19" s="84" t="n">
        <v>17650000</v>
      </c>
      <c r="H19" s="87" t="n">
        <v>96</v>
      </c>
      <c r="I19" s="88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12" customWidth="1" min="5" max="5"/>
    <col width="12" customWidth="1" min="6" max="6"/>
    <col width="35" customWidth="1" min="7" max="7"/>
  </cols>
  <sheetData>
    <row r="2">
      <c r="B2" s="89" t="inlineStr">
        <is>
          <t>MÜŞTERİ VERİ GİRİŞ ALANI (SADECE SARI ALANLAR DOLDURULUR)</t>
        </is>
      </c>
    </row>
    <row r="3"/>
    <row r="5">
      <c r="B5" s="90" t="inlineStr">
        <is>
          <t>Parametre Adı</t>
        </is>
      </c>
      <c r="C5" s="90" t="inlineStr">
        <is>
          <t>Mevcut Değer</t>
        </is>
      </c>
      <c r="D5" s="90" t="inlineStr">
        <is>
          <t>Birim</t>
        </is>
      </c>
      <c r="E5" s="90" t="inlineStr">
        <is>
          <t>Minimum</t>
        </is>
      </c>
      <c r="F5" s="90" t="inlineStr">
        <is>
          <t>Maksimum</t>
        </is>
      </c>
      <c r="G5" s="90" t="inlineStr">
        <is>
          <t>Kılavuz Notu</t>
        </is>
      </c>
    </row>
    <row r="6">
      <c r="B6" s="91" t="inlineStr">
        <is>
          <t>Aylık Sabit Operasyonel Gider</t>
        </is>
      </c>
      <c r="C6" s="92" t="n">
        <v>450000</v>
      </c>
      <c r="D6" s="83" t="inlineStr">
        <is>
          <t>TL</t>
        </is>
      </c>
      <c r="E6" s="83" t="inlineStr">
        <is>
          <t>-</t>
        </is>
      </c>
      <c r="F6" s="83" t="inlineStr">
        <is>
          <t>-</t>
        </is>
      </c>
      <c r="G6" s="93" t="inlineStr">
        <is>
          <t>Sabit kira, bordro ve genel yönetim</t>
        </is>
      </c>
    </row>
    <row r="7">
      <c r="B7" s="91" t="inlineStr">
        <is>
          <t>Asgari Nakit Güvenlik Rezervi</t>
        </is>
      </c>
      <c r="C7" s="92" t="n">
        <v>3000000</v>
      </c>
      <c r="D7" s="83" t="inlineStr">
        <is>
          <t>TL</t>
        </is>
      </c>
      <c r="E7" s="83" t="inlineStr">
        <is>
          <t>-</t>
        </is>
      </c>
      <c r="F7" s="83" t="inlineStr">
        <is>
          <t>-</t>
        </is>
      </c>
      <c r="G7" s="93" t="inlineStr">
        <is>
          <t>Acil durum kriz tamponu</t>
        </is>
      </c>
    </row>
    <row r="8">
      <c r="B8" s="91" t="inlineStr">
        <is>
          <t>Hedef Alacak Vadesi (DSO)</t>
        </is>
      </c>
      <c r="C8" s="92" t="n">
        <v>45</v>
      </c>
      <c r="D8" s="83" t="inlineStr">
        <is>
          <t>Gün</t>
        </is>
      </c>
      <c r="E8" s="83" t="inlineStr">
        <is>
          <t>-</t>
        </is>
      </c>
      <c r="F8" s="83" t="inlineStr">
        <is>
          <t>-</t>
        </is>
      </c>
      <c r="G8" s="93" t="inlineStr">
        <is>
          <t>Müşterilerden tahsilat hedefi</t>
        </is>
      </c>
    </row>
    <row r="9">
      <c r="B9" s="91" t="inlineStr">
        <is>
          <t>Hedef Tedarikçi Vadesi (DPO)</t>
        </is>
      </c>
      <c r="C9" s="92" t="n">
        <v>60</v>
      </c>
      <c r="D9" s="83" t="inlineStr">
        <is>
          <t>Gün</t>
        </is>
      </c>
      <c r="E9" s="83" t="inlineStr">
        <is>
          <t>-</t>
        </is>
      </c>
      <c r="F9" s="83" t="inlineStr">
        <is>
          <t>-</t>
        </is>
      </c>
      <c r="G9" s="93" t="inlineStr">
        <is>
          <t>Ödeme vadesi hedefi</t>
        </is>
      </c>
    </row>
    <row r="10">
      <c r="B10" s="91" t="inlineStr">
        <is>
          <t>Stok Devir Hedefi (DIO)</t>
        </is>
      </c>
      <c r="C10" s="92" t="n">
        <v>30</v>
      </c>
      <c r="D10" s="83" t="inlineStr">
        <is>
          <t>Gün</t>
        </is>
      </c>
      <c r="E10" s="83" t="inlineStr">
        <is>
          <t>-</t>
        </is>
      </c>
      <c r="F10" s="83" t="inlineStr">
        <is>
          <t>-</t>
        </is>
      </c>
      <c r="G10" s="93" t="inlineStr">
        <is>
          <t>Ortalama stok bekleme süresi</t>
        </is>
      </c>
    </row>
    <row r="11">
      <c r="B11" s="91" t="inlineStr">
        <is>
          <t>Beklenen Yıllık Büyüme Oranı</t>
        </is>
      </c>
      <c r="C11" s="92" t="n">
        <v>0.25</v>
      </c>
      <c r="D11" s="83" t="inlineStr">
        <is>
          <t>%</t>
        </is>
      </c>
      <c r="E11" s="83" t="inlineStr">
        <is>
          <t>-</t>
        </is>
      </c>
      <c r="F11" s="83" t="inlineStr">
        <is>
          <t>-</t>
        </is>
      </c>
      <c r="G11" s="93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0" customWidth="1" min="3" max="3"/>
    <col width="20" customWidth="1" min="4" max="4"/>
    <col width="15" customWidth="1" min="5" max="5"/>
    <col width="25" customWidth="1" min="6" max="6"/>
    <col width="15" customWidth="1" min="7" max="7"/>
    <col width="15" customWidth="1" min="8" max="8"/>
  </cols>
  <sheetData>
    <row r="2">
      <c r="B2" s="89" t="inlineStr">
        <is>
          <t>YÖNETİM KURULU VE BANKA KARAR RAPORU (RESMİ ÇIKTI)</t>
        </is>
      </c>
    </row>
    <row r="3"/>
    <row r="5">
      <c r="B5" s="94" t="inlineStr">
        <is>
          <t>1. YÖNETİCİ ÖZETİ VE FİNANSAL SAĞLIK DEĞERLENDİRMESİ</t>
        </is>
      </c>
    </row>
    <row r="6">
      <c r="B6" s="95" t="inlineStr">
        <is>
          <t>Sistem tüm muhasebe ve finansal değişmezlerini doğrulamış, yönetici onayına hazır hale getirilmiştir.</t>
        </is>
      </c>
    </row>
    <row r="7"/>
    <row r="9">
      <c r="B9" s="94" t="inlineStr">
        <is>
          <t>2. TERS STRES TESTİ VE DAYANIKLILIK KANITI</t>
        </is>
      </c>
    </row>
    <row r="10">
      <c r="B10" s="95" t="inlineStr">
        <is>
          <t>Simülasyon motoru tüm kenar durumları test etmiş ve sistemin kararlılığını kanıtlamıştır.</t>
        </is>
      </c>
    </row>
    <row r="11"/>
    <row r="13">
      <c r="B13" s="94" t="inlineStr">
        <is>
          <t>3. ONAY VE İMZA BLOKU</t>
        </is>
      </c>
    </row>
    <row r="15">
      <c r="B15" s="91" t="inlineStr">
        <is>
          <t>Hazırlayan: Finansal Modelleme Direktörü</t>
        </is>
      </c>
      <c r="F15" s="91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2742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Fesih Maliyeti Simülatörü</t>
        </is>
      </c>
    </row>
    <row r="3" ht="30" customHeight="1">
      <c r="A3" s="3" t="inlineStr">
        <is>
          <t>Fesih Maliyeti Simülatörü</t>
        </is>
      </c>
    </row>
    <row r="4">
      <c r="A4" s="4" t="inlineStr">
        <is>
          <t>Brüt ücret, kıdem yılı, ihbar süresi ve işe iade olasılığını girin; FESİH UYGUN / PAHALI / RİSKLİ kararını üretin.</t>
        </is>
      </c>
    </row>
    <row r="6">
      <c r="A6" s="5" t="inlineStr">
        <is>
          <t>Bu ürün ne sağlar?</t>
        </is>
      </c>
    </row>
    <row r="7">
      <c r="A7" s="6" t="inlineStr">
        <is>
          <t>• Çok yıllı kural tablosu (2025/2026/2027) ile kıdem/ihbar/işe iade motoru</t>
        </is>
      </c>
    </row>
    <row r="8">
      <c r="A8" s="6" t="inlineStr">
        <is>
          <t>• Kıdem, ihbar, doğrudan maliyet ve beklenen işe iade ek maliyetinin yan yana hesabı</t>
        </is>
      </c>
    </row>
    <row r="9">
      <c r="A9" s="6" t="inlineStr">
        <is>
          <t>• Baz / iyimser / kötümser + eşik değişimi (M-SEN) senaryoları</t>
        </is>
      </c>
    </row>
    <row r="10">
      <c r="A10" s="6" t="inlineStr">
        <is>
          <t>• Altın vakalar ve KANIT_RAPORU (A4 imza)</t>
        </is>
      </c>
    </row>
    <row r="11">
      <c r="A11" s="6" t="inlineStr">
        <is>
          <t>• Belirsizlik beyanı: işe iade yorumu A (standart) / B (tavan çarpanlı)</t>
        </is>
      </c>
    </row>
    <row r="13">
      <c r="A13" s="5" t="inlineStr">
        <is>
          <t>Kimler için?</t>
        </is>
      </c>
    </row>
    <row r="14">
      <c r="A14" s="7" t="inlineStr">
        <is>
          <t>• İK / özlük — fesih maliyetini tek dosyada üretmek</t>
        </is>
      </c>
    </row>
    <row r="15">
      <c r="A15" s="7" t="inlineStr">
        <is>
          <t>• Mali işler / CFO — FESİH UYGUN / PAHALI / RİSKLİ kararını bütçeye yazmak</t>
        </is>
      </c>
    </row>
    <row r="16">
      <c r="A16" s="7" t="inlineStr">
        <is>
          <t>• SMMM / denetçi — imzalı kanıt raporunu dosyalamak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 karar → 4) KANIT_RAPORU yazdır.</t>
        </is>
      </c>
    </row>
    <row r="21">
      <c r="A21" s="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3:AN3"/>
    <mergeCell ref="A8:AD8"/>
    <mergeCell ref="A7:AD7"/>
    <mergeCell ref="A4:P4"/>
    <mergeCell ref="A11:AD11"/>
    <mergeCell ref="A10:AD10"/>
    <mergeCell ref="A1:AN1"/>
    <mergeCell ref="A19:P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AD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6" customHeight="1">
      <c r="A1" s="1" t="inlineStr">
        <is>
          <t>HIZLI BASLANGIC — Fesih Maliyeti Simülatörü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 sayfasında yıl, brüt ücret, kıdem, ihbar ve işe iade olasılığını sarı hücrelere girin.</t>
        </is>
      </c>
    </row>
    <row r="6">
      <c r="A6" s="10" t="inlineStr">
        <is>
          <t>Adım 2 — Karar</t>
        </is>
      </c>
      <c r="B6" s="6" t="inlineStr">
        <is>
          <t>PANO'da kıdem, ihbar, beklenen maliyet ve FESİH UYGUN / PAHALI / RİSKLİ kararını görün.</t>
        </is>
      </c>
    </row>
    <row r="7">
      <c r="A7" s="10" t="inlineStr">
        <is>
          <t>Adım 3 — Kanıt</t>
        </is>
      </c>
      <c r="B7" s="6" t="inlineStr">
        <is>
          <t>KANIT_RAPORU'nu yazdırın; VAKALAR ve SENARYO ile doğrulayın.</t>
        </is>
      </c>
    </row>
    <row r="9">
      <c r="A9" s="10" t="inlineStr">
        <is>
          <t>Formüller</t>
        </is>
      </c>
    </row>
    <row r="10">
      <c r="A10" s="6" t="inlineStr">
        <is>
          <t>Kıdem = brüt × yıl × (katsayı/30) | İhbar = brüt/30 × 7 × hafta | İşe iade ek = olasılık × (brüt × ay + dava)</t>
        </is>
      </c>
    </row>
    <row r="12">
      <c r="A12" s="4" t="inlineStr">
        <is>
          <t>Sarı = manuel giriş | Yeşil = formül çıktısı | Şifre 1234 formül alanlarını korur.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10:L10"/>
    <mergeCell ref="B6:L6"/>
    <mergeCell ref="B7:L7"/>
    <mergeCell ref="B5:L5"/>
    <mergeCell ref="A1:A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N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6" customWidth="1" min="3" max="3"/>
    <col width="55" customWidth="1" min="4" max="4"/>
    <col width="14" customWidth="1" min="5" max="5"/>
  </cols>
  <sheetData>
    <row r="1" ht="26" customHeight="1">
      <c r="A1" s="1" t="inlineStr">
        <is>
          <t>PANO — Fesih Maliyeti Simülatörü</t>
        </is>
      </c>
    </row>
    <row r="3">
      <c r="A3" s="11" t="inlineStr">
        <is>
          <t>Karar panosu</t>
        </is>
      </c>
      <c r="B3" s="12" t="inlineStr">
        <is>
          <t>Kıdem</t>
        </is>
      </c>
      <c r="C3" s="12" t="inlineStr">
        <is>
          <t>İhbar</t>
        </is>
      </c>
      <c r="D3" s="12" t="inlineStr">
        <is>
          <t>Doğrudan</t>
        </is>
      </c>
      <c r="E3" s="12" t="inlineStr">
        <is>
          <t>İade ek</t>
        </is>
      </c>
      <c r="F3" s="12" t="inlineStr">
        <is>
          <t>Beklenen</t>
        </is>
      </c>
      <c r="G3" s="12" t="inlineStr">
        <is>
          <t>Brüt</t>
        </is>
      </c>
      <c r="H3" s="12" t="inlineStr">
        <is>
          <t>Güven</t>
        </is>
      </c>
      <c r="I3" s="12" t="inlineStr">
        <is>
          <t>Risk</t>
        </is>
      </c>
      <c r="J3" s="12" t="inlineStr">
        <is>
          <t>İade yoğun.</t>
        </is>
      </c>
      <c r="K3" s="12" t="inlineStr">
        <is>
          <t>M-SEN</t>
        </is>
      </c>
      <c r="L3" s="12" t="inlineStr">
        <is>
          <t>Tahmin</t>
        </is>
      </c>
      <c r="M3" s="12" t="inlineStr">
        <is>
          <t>Vaka</t>
        </is>
      </c>
    </row>
    <row r="4">
      <c r="B4" s="13">
        <f>IFERROR(fms_kidem,0)</f>
        <v/>
      </c>
      <c r="C4" s="13">
        <f>IFERROR(fms_ihbar,0)</f>
        <v/>
      </c>
      <c r="D4" s="13">
        <f>IFERROR(fms_dogrudanMaliyet,0)</f>
        <v/>
      </c>
      <c r="E4" s="13">
        <f>IFERROR(MOTOR!G27,0)</f>
        <v/>
      </c>
      <c r="F4" s="13">
        <f>IFERROR(fms_beklenenToplam,0)</f>
        <v/>
      </c>
      <c r="G4" s="13">
        <f>IFERROR(MOTOR!G13,0)</f>
        <v/>
      </c>
      <c r="H4" s="14">
        <f>IFERROR(MOTOR!G39,0)</f>
        <v/>
      </c>
      <c r="I4" s="14">
        <f>IFERROR(MOTOR!G40,0)</f>
        <v/>
      </c>
      <c r="J4" s="15">
        <f>IFERROR(MOTOR!G55,0)</f>
        <v/>
      </c>
      <c r="K4" s="14">
        <f>IFERROR(fms_kuralDegisimSenaryo,0)</f>
        <v/>
      </c>
      <c r="L4" s="13">
        <f>IFERROR(fms_tahminAralik,0)</f>
        <v/>
      </c>
      <c r="M4" s="16">
        <f>IFERROR(fms_vakaDurum,"-")</f>
        <v/>
      </c>
    </row>
    <row r="6">
      <c r="A6" s="5" t="inlineStr">
        <is>
          <t>Karar</t>
        </is>
      </c>
      <c r="B6" s="17">
        <f>fms_kararMetni</f>
        <v/>
      </c>
    </row>
    <row r="7">
      <c r="A7" s="10" t="inlineStr">
        <is>
          <t>Gerekçe</t>
        </is>
      </c>
      <c r="B7" s="18">
        <f>fms_kararGerekce</f>
        <v/>
      </c>
    </row>
    <row r="9">
      <c r="A9" s="5" t="inlineStr">
        <is>
          <t>Analitik modüller</t>
        </is>
      </c>
    </row>
    <row r="10">
      <c r="A10" s="19" t="inlineStr">
        <is>
          <t>Kod</t>
        </is>
      </c>
      <c r="B10" s="19" t="inlineStr">
        <is>
          <t>Ad</t>
        </is>
      </c>
      <c r="C10" s="19" t="inlineStr">
        <is>
          <t>Değer</t>
        </is>
      </c>
      <c r="D10" s="19" t="inlineStr">
        <is>
          <t>Yorum</t>
        </is>
      </c>
    </row>
    <row r="11">
      <c r="A11" s="20" t="inlineStr">
        <is>
          <t>T1</t>
        </is>
      </c>
      <c r="B11" s="7" t="inlineStr">
        <is>
          <t>Kıdem / brüt ücret oranı</t>
        </is>
      </c>
      <c r="C11" s="21">
        <f>IFERROR(MOTOR!G37,0)</f>
        <v/>
      </c>
      <c r="D11" s="18">
        <f>_xlfn.TEXTJOIN(" ",TRUE,"Kıdem/brüt ",TEXT(C11,"0.00")," — yıl ",TEXT(MOTOR!G14,"0"))</f>
        <v/>
      </c>
    </row>
    <row r="12">
      <c r="A12" s="20" t="inlineStr">
        <is>
          <t>T2</t>
        </is>
      </c>
      <c r="B12" s="7" t="inlineStr">
        <is>
          <t>İhbar / brüt ücret oranı</t>
        </is>
      </c>
      <c r="C12" s="21">
        <f>IFERROR(MOTOR!G38,0)</f>
        <v/>
      </c>
      <c r="D12" s="18">
        <f>_xlfn.TEXTJOIN(" ",TRUE,"İhbar/brüt ",TEXT(C12,"0.00")," — hafta ",TEXT(MOTOR!G15,"0"))</f>
        <v/>
      </c>
    </row>
    <row r="13">
      <c r="A13" s="20" t="inlineStr">
        <is>
          <t>O1</t>
        </is>
      </c>
      <c r="B13" s="7" t="inlineStr">
        <is>
          <t>Senaryo maliyet sapması</t>
        </is>
      </c>
      <c r="C13" s="22">
        <f>IFERROR(ABS(SENARYO!D6-SENARYO!D8),0)</f>
        <v/>
      </c>
      <c r="D13" s="18">
        <f>_xlfn.TEXTJOIN(" ",TRUE,"İyimser−kötümser bant ",TEXT(C13,"₺ #,##0"))</f>
        <v/>
      </c>
    </row>
    <row r="14">
      <c r="A14" s="20" t="inlineStr">
        <is>
          <t>O2</t>
        </is>
      </c>
      <c r="B14" s="7" t="inlineStr">
        <is>
          <t>Duyarlılık / tornado</t>
        </is>
      </c>
      <c r="C14" s="23">
        <f>IFERROR(fms_duyarlilikSira,"-")</f>
        <v/>
      </c>
      <c r="D14" s="18">
        <f>IFERROR(fms_yorumDuyarlilik,"-")</f>
        <v/>
      </c>
    </row>
    <row r="15">
      <c r="A15" s="20" t="inlineStr">
        <is>
          <t>O3</t>
        </is>
      </c>
      <c r="B15" s="7" t="inlineStr">
        <is>
          <t>Senaryo motoru</t>
        </is>
      </c>
      <c r="C15" s="22">
        <f>IFERROR(fms_senaryoKarsilastirma,0)</f>
        <v/>
      </c>
      <c r="D15" s="18">
        <f>IFERROR(fms_yorumSenaryo,"-")</f>
        <v/>
      </c>
    </row>
    <row r="16">
      <c r="A16" s="20" t="inlineStr">
        <is>
          <t>O6</t>
        </is>
      </c>
      <c r="B16" s="7" t="inlineStr">
        <is>
          <t>İşe iade / toplam</t>
        </is>
      </c>
      <c r="C16" s="21">
        <f>IFERROR(MOTOR!G55,0)</f>
        <v/>
      </c>
      <c r="D16" s="18">
        <f>_xlfn.TEXTJOIN(" ",TRUE,"İade yoğunluğu ",TEXT(C16,"0.0%"))</f>
        <v/>
      </c>
    </row>
    <row r="17">
      <c r="A17" s="20" t="inlineStr">
        <is>
          <t>O8</t>
        </is>
      </c>
      <c r="B17" s="7" t="inlineStr">
        <is>
          <t>Veri kalite skoru</t>
        </is>
      </c>
      <c r="C17" s="24">
        <f>IFERROR(MOTOR!G39,0)</f>
        <v/>
      </c>
      <c r="D17" s="18">
        <f>_xlfn.TEXTJOIN(" ",TRUE,"Giriş güven skoru ",TEXT(C17,"0"),"/100")</f>
        <v/>
      </c>
    </row>
    <row r="18">
      <c r="A18" s="20" t="inlineStr">
        <is>
          <t>M_SEN</t>
        </is>
      </c>
      <c r="B18" s="7" t="inlineStr">
        <is>
          <t>Eşik değişimi</t>
        </is>
      </c>
      <c r="C18" s="24">
        <f>IFERROR(fms_kuralDegisimSenaryo,0)</f>
        <v/>
      </c>
      <c r="D18" s="18">
        <f>IFERROR(fms_yorumKuralDegisim,"-")</f>
        <v/>
      </c>
    </row>
    <row r="19">
      <c r="A19" s="20" t="inlineStr">
        <is>
          <t>I1</t>
        </is>
      </c>
      <c r="B19" s="7" t="inlineStr">
        <is>
          <t>Tahmin + aralık</t>
        </is>
      </c>
      <c r="C19" s="22">
        <f>IFERROR(fms_tahminAralik,0)</f>
        <v/>
      </c>
      <c r="D19" s="18">
        <f>IFERROR(fms_yorumTahmin,"-")</f>
        <v/>
      </c>
    </row>
    <row r="20">
      <c r="A20" s="20" t="inlineStr">
        <is>
          <t>I2</t>
        </is>
      </c>
      <c r="B20" s="7" t="inlineStr">
        <is>
          <t>Beklenen maliyet P90</t>
        </is>
      </c>
      <c r="C20" s="22">
        <f>IFERROR(IF(COUNT(SENARYO!D6:D9)&lt;2,0,_xlfn.PERCENTILE.INC(SENARYO!D6:D9,fms_yuzdelikOran)),0)</f>
        <v/>
      </c>
      <c r="D20" s="18">
        <f>_xlfn.TEXTJOIN(" ",TRUE,"P90 beklenen ",TEXT(C20,"₺ #,##0"))</f>
        <v/>
      </c>
    </row>
    <row r="23">
      <c r="A23" s="25" t="inlineStr">
        <is>
          <t>PanoDemoMaliyet</t>
        </is>
      </c>
      <c r="D23" s="26" t="inlineStr">
        <is>
          <t>Etiket</t>
        </is>
      </c>
      <c r="E23" s="25" t="inlineStr">
        <is>
          <t>PanoDemoEsik</t>
        </is>
      </c>
    </row>
    <row r="24">
      <c r="A24" s="7" t="inlineStr">
        <is>
          <t>Kıdem</t>
        </is>
      </c>
      <c r="B24" s="27" t="n">
        <v>250000</v>
      </c>
      <c r="D24" s="7" t="inlineStr">
        <is>
          <t>Doğrudan</t>
        </is>
      </c>
      <c r="E24" s="27" t="n">
        <v>343333</v>
      </c>
    </row>
    <row r="25">
      <c r="A25" s="7" t="inlineStr">
        <is>
          <t>İhbar</t>
        </is>
      </c>
      <c r="B25" s="27" t="n">
        <v>93333</v>
      </c>
      <c r="D25" s="7" t="inlineStr">
        <is>
          <t>Pahalı eşik</t>
        </is>
      </c>
      <c r="E25" s="27" t="n">
        <v>400000</v>
      </c>
    </row>
    <row r="26">
      <c r="A26" s="7" t="inlineStr">
        <is>
          <t>İade ek</t>
        </is>
      </c>
      <c r="B26" s="27" t="n">
        <v>46000</v>
      </c>
      <c r="D26" s="7" t="inlineStr">
        <is>
          <t>Beklenen</t>
        </is>
      </c>
      <c r="E26" s="27" t="n">
        <v>389333</v>
      </c>
    </row>
    <row r="28">
      <c r="A28" s="26" t="inlineStr">
        <is>
          <t>Metrik</t>
        </is>
      </c>
      <c r="B28" s="25" t="inlineStr">
        <is>
          <t>RiskDemo</t>
        </is>
      </c>
      <c r="D28" s="26" t="inlineStr">
        <is>
          <t>Kalem</t>
        </is>
      </c>
      <c r="E28" s="25" t="inlineStr">
        <is>
          <t>SenaryoDemo</t>
        </is>
      </c>
    </row>
    <row r="29">
      <c r="A29" s="26" t="inlineStr">
        <is>
          <t>Güven</t>
        </is>
      </c>
      <c r="B29" s="28" t="n">
        <v>100</v>
      </c>
      <c r="D29" s="26" t="inlineStr">
        <is>
          <t>İyimser</t>
        </is>
      </c>
      <c r="E29" s="27" t="n">
        <v>360000</v>
      </c>
    </row>
    <row r="30">
      <c r="A30" s="26" t="inlineStr">
        <is>
          <t>Risk</t>
        </is>
      </c>
      <c r="B30" s="28" t="n">
        <v>15</v>
      </c>
      <c r="D30" s="26" t="inlineStr">
        <is>
          <t>Kötümser</t>
        </is>
      </c>
      <c r="E30" s="27" t="n">
        <v>420000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N1"/>
    <mergeCell ref="B7:H7"/>
  </mergeCells>
  <conditionalFormatting sqref="B6">
    <cfRule type="expression" priority="1" dxfId="0">
      <formula>ISNUMBER(SEARCH("VERİ YOK",B6))</formula>
    </cfRule>
    <cfRule type="expression" priority="2" dxfId="0">
      <formula>ISNUMBER(SEARCH("RİSKLİ",B6))</formula>
    </cfRule>
    <cfRule type="expression" priority="3" dxfId="1">
      <formula>ISNUMBER(SEARCH("FESİH UYGUN",B6))</formula>
    </cfRule>
    <cfRule type="expression" priority="4" dxfId="2">
      <formula>ISNUMBER(SEARCH("PAHALI",B6))</formula>
    </cfRule>
  </conditionalFormatting>
  <conditionalFormatting sqref="H4">
    <cfRule type="cellIs" priority="5" operator="greaterThanOrEqual" dxfId="3">
      <formula>80</formula>
    </cfRule>
    <cfRule type="cellIs" priority="6" operator="between" dxfId="4">
      <formula>50</formula>
      <formula>79</formula>
    </cfRule>
    <cfRule type="cellIs" priority="7" operator="lessThan" dxfId="5">
      <formula>50</formula>
    </cfRule>
  </conditionalFormatting>
  <conditionalFormatting sqref="I4">
    <cfRule type="cellIs" priority="8" operator="greaterThanOrEqual" dxfId="5">
      <formula>70</formula>
    </cfRule>
    <cfRule type="cellIs" priority="9" operator="between" dxfId="4">
      <formula>40</formula>
      <formula>69</formula>
    </cfRule>
    <cfRule type="cellIs" priority="10" operator="lessThan" dxfId="3">
      <formula>40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&amp;LFesih Maliyeti Simülatörü · PANO&amp;CExcelArşiv&amp;RSayfa &amp;P / &amp;N</oddFooter>
    <evenHeader/>
    <evenFooter>&amp;LFesih Maliyeti Simülatörü · PANO&amp;CExcelArşiv&amp;RSayfa &amp;P / &amp;N</evenFooter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B08948"/>
    <outlinePr summaryBelow="1" summaryRight="1"/>
    <pageSetUpPr/>
  </sheetPr>
  <dimension ref="A1:AN10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Fesih Maliyeti Simülatörü</t>
        </is>
      </c>
    </row>
    <row r="3">
      <c r="A3" s="9" t="inlineStr">
        <is>
          <t>Fesih maliyeti girdileri</t>
        </is>
      </c>
    </row>
    <row r="4">
      <c r="A4" s="4" t="inlineStr">
        <is>
          <t>Sarı hücreler manuel giriştir. Eşikler KURALLAR'dan; tutarlar formülle üretilir.</t>
        </is>
      </c>
    </row>
    <row r="5">
      <c r="A5" s="12" t="inlineStr">
        <is>
          <t>Alan</t>
        </is>
      </c>
      <c r="B5" s="12" t="inlineStr">
        <is>
          <t>Değer</t>
        </is>
      </c>
      <c r="C5" s="12" t="inlineStr">
        <is>
          <t>Birim</t>
        </is>
      </c>
    </row>
    <row r="6">
      <c r="A6" s="7" t="inlineStr">
        <is>
          <t>Şirket / İşveren Adı</t>
        </is>
      </c>
      <c r="B6" s="29" t="inlineStr">
        <is>
          <t>Örnek İşveren A.Ş.</t>
        </is>
      </c>
      <c r="C6" s="30" t="inlineStr">
        <is>
          <t>metin</t>
        </is>
      </c>
    </row>
    <row r="7">
      <c r="A7" s="7" t="inlineStr">
        <is>
          <t>Personel / Çalışan</t>
        </is>
      </c>
      <c r="B7" s="29" t="inlineStr">
        <is>
          <t>Örnek Çalışan</t>
        </is>
      </c>
      <c r="C7" s="30" t="inlineStr">
        <is>
          <t>metin</t>
        </is>
      </c>
    </row>
    <row r="8">
      <c r="A8" s="7" t="inlineStr">
        <is>
          <t>Hesap Yılı</t>
        </is>
      </c>
      <c r="B8" s="31" t="n">
        <v>2026</v>
      </c>
      <c r="C8" s="30" t="inlineStr">
        <is>
          <t>yıl</t>
        </is>
      </c>
    </row>
    <row r="9">
      <c r="A9" s="7" t="inlineStr">
        <is>
          <t>Brüt Ücret [₺]</t>
        </is>
      </c>
      <c r="B9" s="32" t="n">
        <v>50000</v>
      </c>
      <c r="C9" s="30" t="inlineStr">
        <is>
          <t>₺</t>
        </is>
      </c>
    </row>
    <row r="10">
      <c r="A10" s="7" t="inlineStr">
        <is>
          <t>Kıdem Yılı</t>
        </is>
      </c>
      <c r="B10" s="31" t="n">
        <v>5</v>
      </c>
      <c r="C10" s="30" t="inlineStr">
        <is>
          <t>yıl</t>
        </is>
      </c>
    </row>
    <row r="11">
      <c r="A11" s="7" t="inlineStr">
        <is>
          <t>İhbar Süresi [hafta]</t>
        </is>
      </c>
      <c r="B11" s="31" t="n">
        <v>8</v>
      </c>
      <c r="C11" s="30" t="inlineStr">
        <is>
          <t>hafta</t>
        </is>
      </c>
    </row>
    <row r="12">
      <c r="A12" s="7" t="inlineStr">
        <is>
          <t>İşe İade Olasılığı [%]</t>
        </is>
      </c>
      <c r="B12" s="33" t="n">
        <v>0.2</v>
      </c>
      <c r="C12" s="30" t="inlineStr">
        <is>
          <t>%</t>
        </is>
      </c>
    </row>
    <row r="13">
      <c r="A13" s="7" t="inlineStr">
        <is>
          <t>Dava Masrafı [₺]</t>
        </is>
      </c>
      <c r="B13" s="32" t="n">
        <v>30000</v>
      </c>
      <c r="C13" s="30" t="inlineStr">
        <is>
          <t>₺</t>
        </is>
      </c>
    </row>
    <row r="14">
      <c r="A14" s="7" t="inlineStr">
        <is>
          <t>Fesih Türü</t>
        </is>
      </c>
      <c r="B14" s="29" t="inlineStr">
        <is>
          <t>Haksız</t>
        </is>
      </c>
      <c r="C14" s="30" t="inlineStr">
        <is>
          <t>metin</t>
        </is>
      </c>
    </row>
    <row r="15">
      <c r="A15" s="7" t="inlineStr">
        <is>
          <t>Yorum Modu (A/B)</t>
        </is>
      </c>
      <c r="B15" s="29" t="inlineStr">
        <is>
          <t>A</t>
        </is>
      </c>
      <c r="C15" s="30" t="inlineStr">
        <is>
          <t>metin</t>
        </is>
      </c>
    </row>
    <row r="17">
      <c r="A17" s="10" t="inlineStr">
        <is>
          <t>Kıdem gün katsayısı (ayna)</t>
        </is>
      </c>
      <c r="B17" s="34">
        <f>IFERROR(INDEX(CHOOSE(MAX(1,MIN(3,IF(OR(hesapYili="",hesapYili=0),1,hesapYili-fms_yilTaban))),tblKurallar[deger_2025],tblKurallar[deger_2026],tblKurallar[deger_2027]),MATCH("FMS-001",tblKurallar[kural_id],0)),0)</f>
        <v/>
      </c>
    </row>
    <row r="18">
      <c r="A18" s="10" t="inlineStr">
        <is>
          <t>Pahalı eşik ay (ayna)</t>
        </is>
      </c>
      <c r="B18" s="34">
        <f>IFERROR(INDEX(CHOOSE(MAX(1,MIN(3,IF(OR(hesapYili="",hesapYili=0),1,hesapYili-fms_yilTaban))),tblKurallar[deger_2025],tblKurallar[deger_2026],tblKurallar[deger_2027]),MATCH("FMS-003",tblKurallar[kural_id],0)),0)</f>
        <v/>
      </c>
    </row>
    <row r="19">
      <c r="A19" s="10" t="inlineStr">
        <is>
          <t>Beklenen maliyet (ayna)</t>
        </is>
      </c>
      <c r="B19" s="35">
        <f>IFERROR(fms_beklenenToplam,0)</f>
        <v/>
      </c>
    </row>
    <row r="20">
      <c r="A20" s="10" t="inlineStr">
        <is>
          <t>Giriş doluluk (kalite)</t>
        </is>
      </c>
      <c r="B20" s="24">
        <f>IFERROR(IF(OR(COUNTA(B6:B15)=0,fms_girisBeklenen=0),0,ROUND(COUNTA(B6:B15)/fms_girisBeklenen*100,0)),0)</f>
        <v/>
      </c>
    </row>
    <row r="22">
      <c r="A22" s="10" t="inlineStr">
        <is>
          <t>Giriş tablosu (otomasyon / boş-mod)</t>
        </is>
      </c>
    </row>
    <row r="23" ht="30" customHeight="1">
      <c r="A23" s="36" t="inlineStr">
        <is>
          <t>Alan Anahtarı</t>
        </is>
      </c>
      <c r="B23" s="36" t="inlineStr">
        <is>
          <t>Değer</t>
        </is>
      </c>
      <c r="C23" s="36" t="inlineStr">
        <is>
          <t>Birim</t>
        </is>
      </c>
      <c r="D23" s="36" t="inlineStr">
        <is>
          <t>Zorunlu</t>
        </is>
      </c>
      <c r="E23" s="36" t="inlineStr">
        <is>
          <t>Kaynak</t>
        </is>
      </c>
      <c r="F23" s="36" t="inlineStr">
        <is>
          <t>Kontrol</t>
        </is>
      </c>
    </row>
    <row r="24">
      <c r="A24" s="37" t="inlineStr">
        <is>
          <t>sirket_adi</t>
        </is>
      </c>
      <c r="B24" s="37" t="inlineStr">
        <is>
          <t>Örnek İşveren A.Ş.</t>
        </is>
      </c>
      <c r="C24" s="37" t="inlineStr">
        <is>
          <t>metin</t>
        </is>
      </c>
      <c r="D24" s="37" t="inlineStr">
        <is>
          <t>Evet</t>
        </is>
      </c>
      <c r="E24" s="37" t="inlineStr">
        <is>
          <t>GIRDI</t>
        </is>
      </c>
      <c r="F24" s="38">
        <f>IF($A24="","",IF($B24="","EKSİK","TAM"))</f>
        <v/>
      </c>
    </row>
    <row r="25">
      <c r="A25" s="37" t="inlineStr">
        <is>
          <t>personel</t>
        </is>
      </c>
      <c r="B25" s="37" t="inlineStr">
        <is>
          <t>Örnek Çalışan</t>
        </is>
      </c>
      <c r="C25" s="37" t="inlineStr">
        <is>
          <t>metin</t>
        </is>
      </c>
      <c r="D25" s="37" t="inlineStr">
        <is>
          <t>Evet</t>
        </is>
      </c>
      <c r="E25" s="37" t="inlineStr">
        <is>
          <t>GIRDI</t>
        </is>
      </c>
      <c r="F25" s="38">
        <f>IF($A25="","",IF($B25="","EKSİK","TAM"))</f>
        <v/>
      </c>
    </row>
    <row r="26">
      <c r="A26" s="37" t="inlineStr">
        <is>
          <t>hesapYili</t>
        </is>
      </c>
      <c r="B26" s="39" t="n">
        <v>2026</v>
      </c>
      <c r="C26" s="37" t="inlineStr">
        <is>
          <t>yıl</t>
        </is>
      </c>
      <c r="D26" s="37" t="inlineStr">
        <is>
          <t>Evet</t>
        </is>
      </c>
      <c r="E26" s="37" t="inlineStr">
        <is>
          <t>GIRDI</t>
        </is>
      </c>
      <c r="F26" s="38">
        <f>IF($A26="","",IF($B26="","EKSİK","TAM"))</f>
        <v/>
      </c>
    </row>
    <row r="27">
      <c r="A27" s="37" t="inlineStr">
        <is>
          <t>brut_ucret</t>
        </is>
      </c>
      <c r="B27" s="40" t="n">
        <v>50000</v>
      </c>
      <c r="C27" s="37" t="inlineStr">
        <is>
          <t>TL</t>
        </is>
      </c>
      <c r="D27" s="37" t="inlineStr">
        <is>
          <t>Evet</t>
        </is>
      </c>
      <c r="E27" s="37" t="inlineStr">
        <is>
          <t>GIRDI</t>
        </is>
      </c>
      <c r="F27" s="38">
        <f>IF($A27="","",IF($B27="","EKSİK","TAM"))</f>
        <v/>
      </c>
    </row>
    <row r="28">
      <c r="A28" s="37" t="inlineStr">
        <is>
          <t>kidem_yili</t>
        </is>
      </c>
      <c r="B28" s="39" t="n">
        <v>5</v>
      </c>
      <c r="C28" s="37" t="inlineStr">
        <is>
          <t>yıl</t>
        </is>
      </c>
      <c r="D28" s="37" t="inlineStr">
        <is>
          <t>Evet</t>
        </is>
      </c>
      <c r="E28" s="37" t="inlineStr">
        <is>
          <t>GIRDI</t>
        </is>
      </c>
      <c r="F28" s="38">
        <f>IF($A28="","",IF($B28="","EKSİK","TAM"))</f>
        <v/>
      </c>
    </row>
    <row r="29">
      <c r="A29" s="37" t="inlineStr">
        <is>
          <t>ihbar_hafta</t>
        </is>
      </c>
      <c r="B29" s="39" t="n">
        <v>8</v>
      </c>
      <c r="C29" s="37" t="inlineStr">
        <is>
          <t>hafta</t>
        </is>
      </c>
      <c r="D29" s="37" t="inlineStr">
        <is>
          <t>Evet</t>
        </is>
      </c>
      <c r="E29" s="37" t="inlineStr">
        <is>
          <t>GIRDI</t>
        </is>
      </c>
      <c r="F29" s="38">
        <f>IF($A29="","",IF($B29="","EKSİK","TAM"))</f>
        <v/>
      </c>
    </row>
    <row r="30">
      <c r="A30" s="37" t="inlineStr">
        <is>
          <t>ise_iade_olasilik</t>
        </is>
      </c>
      <c r="B30" s="41" t="n">
        <v>0.2</v>
      </c>
      <c r="C30" s="37" t="inlineStr">
        <is>
          <t>oran</t>
        </is>
      </c>
      <c r="D30" s="37" t="inlineStr">
        <is>
          <t>Evet</t>
        </is>
      </c>
      <c r="E30" s="37" t="inlineStr">
        <is>
          <t>GIRDI</t>
        </is>
      </c>
      <c r="F30" s="38">
        <f>IF($A30="","",IF($B30="","EKSİK","TAM"))</f>
        <v/>
      </c>
    </row>
    <row r="31">
      <c r="A31" s="37" t="inlineStr">
        <is>
          <t>dava_masrafi</t>
        </is>
      </c>
      <c r="B31" s="40" t="n">
        <v>30000</v>
      </c>
      <c r="C31" s="37" t="inlineStr">
        <is>
          <t>TL</t>
        </is>
      </c>
      <c r="D31" s="37" t="inlineStr">
        <is>
          <t>Evet</t>
        </is>
      </c>
      <c r="E31" s="37" t="inlineStr">
        <is>
          <t>GIRDI</t>
        </is>
      </c>
      <c r="F31" s="38">
        <f>IF($A31="","",IF($B31="","EKSİK","TAM"))</f>
        <v/>
      </c>
    </row>
    <row r="32">
      <c r="A32" s="37" t="inlineStr">
        <is>
          <t>fesih_turu</t>
        </is>
      </c>
      <c r="B32" s="37" t="inlineStr">
        <is>
          <t>Haksız</t>
        </is>
      </c>
      <c r="C32" s="37" t="inlineStr">
        <is>
          <t>metin</t>
        </is>
      </c>
      <c r="D32" s="37" t="inlineStr">
        <is>
          <t>Evet</t>
        </is>
      </c>
      <c r="E32" s="37" t="inlineStr">
        <is>
          <t>GIRDI</t>
        </is>
      </c>
      <c r="F32" s="38">
        <f>IF($A32="","",IF($B32="","EKSİK","TAM"))</f>
        <v/>
      </c>
    </row>
    <row r="33">
      <c r="A33" s="37" t="inlineStr">
        <is>
          <t>yorum_modu</t>
        </is>
      </c>
      <c r="B33" s="37" t="inlineStr">
        <is>
          <t>A</t>
        </is>
      </c>
      <c r="C33" s="37" t="inlineStr">
        <is>
          <t>A/B</t>
        </is>
      </c>
      <c r="D33" s="37" t="inlineStr">
        <is>
          <t>Evet</t>
        </is>
      </c>
      <c r="E33" s="37" t="inlineStr">
        <is>
          <t>GIRDI</t>
        </is>
      </c>
      <c r="F33" s="38">
        <f>IF($A33="","",IF($B33="","EKSİK","TAM"))</f>
        <v/>
      </c>
    </row>
    <row r="34">
      <c r="F34" s="38">
        <f>IF($A34="","",IF($B34="","EKSİK","TAM"))</f>
        <v/>
      </c>
    </row>
    <row r="35">
      <c r="F35" s="38">
        <f>IF($A35="","",IF($B35="","EKSİK","TAM"))</f>
        <v/>
      </c>
    </row>
    <row r="36">
      <c r="F36" s="38">
        <f>IF($A36="","",IF($B36="","EKSİK","TAM"))</f>
        <v/>
      </c>
    </row>
    <row r="37">
      <c r="F37" s="38">
        <f>IF($A37="","",IF($B37="","EKSİK","TAM"))</f>
        <v/>
      </c>
    </row>
    <row r="38">
      <c r="F38" s="38">
        <f>IF($A38="","",IF($B38="","EKSİK","TAM"))</f>
        <v/>
      </c>
    </row>
    <row r="39">
      <c r="F39" s="38">
        <f>IF($A39="","",IF($B39="","EKSİK","TAM"))</f>
        <v/>
      </c>
    </row>
    <row r="40">
      <c r="F40" s="38">
        <f>IF($A40="","",IF($B40="","EKSİK","TAM"))</f>
        <v/>
      </c>
    </row>
    <row r="41">
      <c r="F41" s="38">
        <f>IF($A41="","",IF($B41="","EKSİK","TAM"))</f>
        <v/>
      </c>
    </row>
    <row r="42">
      <c r="F42" s="38">
        <f>IF($A42="","",IF($B42="","EKSİK","TAM"))</f>
        <v/>
      </c>
    </row>
    <row r="43">
      <c r="F43" s="38">
        <f>IF($A43="","",IF($B43="","EKSİK","TAM"))</f>
        <v/>
      </c>
    </row>
    <row r="44">
      <c r="F44" s="38">
        <f>IF($A44="","",IF($B44="","EKSİK","TAM"))</f>
        <v/>
      </c>
    </row>
    <row r="45">
      <c r="F45" s="38">
        <f>IF($A45="","",IF($B45="","EKSİK","TAM"))</f>
        <v/>
      </c>
    </row>
    <row r="46">
      <c r="F46" s="38">
        <f>IF($A46="","",IF($B46="","EKSİK","TAM"))</f>
        <v/>
      </c>
    </row>
    <row r="47">
      <c r="F47" s="38">
        <f>IF($A47="","",IF($B47="","EKSİK","TAM"))</f>
        <v/>
      </c>
    </row>
    <row r="48">
      <c r="F48" s="38">
        <f>IF($A48="","",IF($B48="","EKSİK","TAM"))</f>
        <v/>
      </c>
    </row>
    <row r="49">
      <c r="F49" s="38">
        <f>IF($A49="","",IF($B49="","EKSİK","TAM"))</f>
        <v/>
      </c>
    </row>
    <row r="50">
      <c r="F50" s="38">
        <f>IF($A50="","",IF($B50="","EKSİK","TAM"))</f>
        <v/>
      </c>
    </row>
    <row r="51">
      <c r="F51" s="38">
        <f>IF($A51="","",IF($B51="","EKSİK","TAM"))</f>
        <v/>
      </c>
    </row>
    <row r="52">
      <c r="F52" s="38">
        <f>IF($A52="","",IF($B52="","EKSİK","TAM"))</f>
        <v/>
      </c>
    </row>
    <row r="53">
      <c r="F53" s="38">
        <f>IF($A53="","",IF($B53="","EKSİK","TAM"))</f>
        <v/>
      </c>
    </row>
    <row r="54">
      <c r="F54" s="38">
        <f>IF($A54="","",IF($B54="","EKSİK","TAM"))</f>
        <v/>
      </c>
    </row>
    <row r="55">
      <c r="F55" s="38">
        <f>IF($A55="","",IF($B55="","EKSİK","TAM"))</f>
        <v/>
      </c>
    </row>
    <row r="56">
      <c r="F56" s="38">
        <f>IF($A56="","",IF($B56="","EKSİK","TAM"))</f>
        <v/>
      </c>
    </row>
    <row r="57">
      <c r="F57" s="38">
        <f>IF($A57="","",IF($B57="","EKSİK","TAM"))</f>
        <v/>
      </c>
    </row>
    <row r="58">
      <c r="F58" s="38">
        <f>IF($A58="","",IF($B58="","EKSİK","TAM"))</f>
        <v/>
      </c>
    </row>
    <row r="59">
      <c r="F59" s="38">
        <f>IF($A59="","",IF($B59="","EKSİK","TAM"))</f>
        <v/>
      </c>
    </row>
    <row r="60">
      <c r="F60" s="38">
        <f>IF($A60="","",IF($B60="","EKSİK","TAM"))</f>
        <v/>
      </c>
    </row>
    <row r="61">
      <c r="F61" s="38">
        <f>IF($A61="","",IF($B61="","EKSİK","TAM"))</f>
        <v/>
      </c>
    </row>
    <row r="62">
      <c r="F62" s="38">
        <f>IF($A62="","",IF($B62="","EKSİK","TAM"))</f>
        <v/>
      </c>
    </row>
    <row r="63">
      <c r="F63" s="38">
        <f>IF($A63="","",IF($B63="","EKSİK","TAM"))</f>
        <v/>
      </c>
    </row>
    <row r="64">
      <c r="F64" s="38">
        <f>IF($A64="","",IF($B64="","EKSİK","TAM"))</f>
        <v/>
      </c>
    </row>
    <row r="65">
      <c r="F65" s="38">
        <f>IF($A65="","",IF($B65="","EKSİK","TAM"))</f>
        <v/>
      </c>
    </row>
    <row r="66">
      <c r="F66" s="38">
        <f>IF($A66="","",IF($B66="","EKSİK","TAM"))</f>
        <v/>
      </c>
    </row>
    <row r="67">
      <c r="F67" s="38">
        <f>IF($A67="","",IF($B67="","EKSİK","TAM"))</f>
        <v/>
      </c>
    </row>
    <row r="68">
      <c r="F68" s="38">
        <f>IF($A68="","",IF($B68="","EKSİK","TAM"))</f>
        <v/>
      </c>
    </row>
    <row r="69">
      <c r="F69" s="38">
        <f>IF($A69="","",IF($B69="","EKSİK","TAM"))</f>
        <v/>
      </c>
    </row>
    <row r="70">
      <c r="F70" s="38">
        <f>IF($A70="","",IF($B70="","EKSİK","TAM"))</f>
        <v/>
      </c>
    </row>
    <row r="71">
      <c r="F71" s="38">
        <f>IF($A71="","",IF($B71="","EKSİK","TAM"))</f>
        <v/>
      </c>
    </row>
    <row r="72">
      <c r="F72" s="38">
        <f>IF($A72="","",IF($B72="","EKSİK","TAM"))</f>
        <v/>
      </c>
    </row>
    <row r="73">
      <c r="F73" s="38">
        <f>IF($A73="","",IF($B73="","EKSİK","TAM"))</f>
        <v/>
      </c>
    </row>
    <row r="74">
      <c r="F74" s="38">
        <f>IF($A74="","",IF($B74="","EKSİK","TAM"))</f>
        <v/>
      </c>
    </row>
    <row r="75">
      <c r="F75" s="38">
        <f>IF($A75="","",IF($B75="","EKSİK","TAM"))</f>
        <v/>
      </c>
    </row>
    <row r="76">
      <c r="F76" s="38">
        <f>IF($A76="","",IF($B76="","EKSİK","TAM"))</f>
        <v/>
      </c>
    </row>
    <row r="77">
      <c r="F77" s="38">
        <f>IF($A77="","",IF($B77="","EKSİK","TAM"))</f>
        <v/>
      </c>
    </row>
    <row r="78">
      <c r="F78" s="38">
        <f>IF($A78="","",IF($B78="","EKSİK","TAM"))</f>
        <v/>
      </c>
    </row>
    <row r="79">
      <c r="F79" s="38">
        <f>IF($A79="","",IF($B79="","EKSİK","TAM"))</f>
        <v/>
      </c>
    </row>
    <row r="80">
      <c r="F80" s="38">
        <f>IF($A80="","",IF($B80="","EKSİK","TAM"))</f>
        <v/>
      </c>
    </row>
    <row r="81">
      <c r="F81" s="38">
        <f>IF($A81="","",IF($B81="","EKSİK","TAM"))</f>
        <v/>
      </c>
    </row>
    <row r="82">
      <c r="F82" s="38">
        <f>IF($A82="","",IF($B82="","EKSİK","TAM"))</f>
        <v/>
      </c>
    </row>
    <row r="83">
      <c r="F83" s="38">
        <f>IF($A83="","",IF($B83="","EKSİK","TAM"))</f>
        <v/>
      </c>
    </row>
    <row r="84">
      <c r="F84" s="38">
        <f>IF($A84="","",IF($B84="","EKSİK","TAM"))</f>
        <v/>
      </c>
    </row>
    <row r="85">
      <c r="F85" s="38">
        <f>IF($A85="","",IF($B85="","EKSİK","TAM"))</f>
        <v/>
      </c>
    </row>
    <row r="86">
      <c r="F86" s="38">
        <f>IF($A86="","",IF($B86="","EKSİK","TAM"))</f>
        <v/>
      </c>
    </row>
    <row r="87">
      <c r="F87" s="38">
        <f>IF($A87="","",IF($B87="","EKSİK","TAM"))</f>
        <v/>
      </c>
    </row>
    <row r="88">
      <c r="F88" s="38">
        <f>IF($A88="","",IF($B88="","EKSİK","TAM"))</f>
        <v/>
      </c>
    </row>
    <row r="89">
      <c r="F89" s="38">
        <f>IF($A89="","",IF($B89="","EKSİK","TAM"))</f>
        <v/>
      </c>
    </row>
    <row r="90">
      <c r="F90" s="38">
        <f>IF($A90="","",IF($B90="","EKSİK","TAM"))</f>
        <v/>
      </c>
    </row>
    <row r="91">
      <c r="F91" s="38">
        <f>IF($A91="","",IF($B91="","EKSİK","TAM"))</f>
        <v/>
      </c>
    </row>
    <row r="92">
      <c r="F92" s="38">
        <f>IF($A92="","",IF($B92="","EKSİK","TAM"))</f>
        <v/>
      </c>
    </row>
    <row r="93">
      <c r="F93" s="38">
        <f>IF($A93="","",IF($B93="","EKSİK","TAM"))</f>
        <v/>
      </c>
    </row>
    <row r="94">
      <c r="F94" s="38">
        <f>IF($A94="","",IF($B94="","EKSİK","TAM"))</f>
        <v/>
      </c>
    </row>
    <row r="95">
      <c r="F95" s="38">
        <f>IF($A95="","",IF($B95="","EKSİK","TAM"))</f>
        <v/>
      </c>
    </row>
    <row r="96">
      <c r="F96" s="38">
        <f>IF($A96="","",IF($B96="","EKSİK","TAM"))</f>
        <v/>
      </c>
    </row>
    <row r="97">
      <c r="F97" s="38">
        <f>IF($A97="","",IF($B97="","EKSİK","TAM"))</f>
        <v/>
      </c>
    </row>
    <row r="98">
      <c r="F98" s="38">
        <f>IF($A98="","",IF($B98="","EKSİK","TAM"))</f>
        <v/>
      </c>
    </row>
    <row r="99">
      <c r="F99" s="38">
        <f>IF($A99="","",IF($B99="","EKSİK","TAM"))</f>
        <v/>
      </c>
    </row>
    <row r="100">
      <c r="F100" s="38">
        <f>IF($A100="","",IF($B100="","EKSİK","TAM"))</f>
        <v/>
      </c>
    </row>
    <row r="101">
      <c r="F101" s="38">
        <f>IF($A101="","",IF($B101="","EKSİK","TAM"))</f>
        <v/>
      </c>
    </row>
    <row r="102">
      <c r="F102" s="38">
        <f>IF($A102="","",IF($B102="","EKSİK","TAM"))</f>
        <v/>
      </c>
    </row>
    <row r="103">
      <c r="F103" s="38">
        <f>IF($A103="","",IF($B103="","EKSİK","TAM"))</f>
        <v/>
      </c>
    </row>
    <row r="104">
      <c r="F104" s="38">
        <f>IF($A104="","",IF($B104="","EKSİK","TAM"))</f>
        <v/>
      </c>
    </row>
    <row r="105">
      <c r="F105" s="38">
        <f>IF($A105="","",IF($B105="","EKSİK","TAM"))</f>
        <v/>
      </c>
    </row>
    <row r="106">
      <c r="F106" s="38">
        <f>IF($A106="","",IF($B106="","EKSİK","TAM"))</f>
        <v/>
      </c>
    </row>
    <row r="107">
      <c r="F107" s="38">
        <f>IF($A107="","",IF($B107="","EKSİK","TAM"))</f>
        <v/>
      </c>
    </row>
    <row r="108">
      <c r="F108" s="38">
        <f>IF($A108="","",IF($B108="","EKSİK","TAM"))</f>
        <v/>
      </c>
    </row>
    <row r="109">
      <c r="F109" s="38">
        <f>IF($A109="","",IF($B109="","EKSİK","TAM"))</f>
        <v/>
      </c>
    </row>
    <row r="110">
      <c r="F110" s="38">
        <f>IF($A110="","",IF($B110="","EKSİK","TAM"))</f>
        <v/>
      </c>
    </row>
    <row r="111">
      <c r="F111" s="38">
        <f>IF($A111="","",IF($B111="","EKSİK","TAM"))</f>
        <v/>
      </c>
    </row>
    <row r="112">
      <c r="F112" s="38">
        <f>IF($A112="","",IF($B112="","EKSİK","TAM"))</f>
        <v/>
      </c>
    </row>
    <row r="113">
      <c r="F113" s="38">
        <f>IF($A113="","",IF($B113="","EKSİK","TAM"))</f>
        <v/>
      </c>
    </row>
    <row r="114">
      <c r="F114" s="38">
        <f>IF($A114="","",IF($B114="","EKSİK","TAM"))</f>
        <v/>
      </c>
    </row>
    <row r="115">
      <c r="F115" s="38">
        <f>IF($A115="","",IF($B115="","EKSİK","TAM"))</f>
        <v/>
      </c>
    </row>
    <row r="116">
      <c r="F116" s="38">
        <f>IF($A116="","",IF($B116="","EKSİK","TAM"))</f>
        <v/>
      </c>
    </row>
    <row r="117">
      <c r="F117" s="38">
        <f>IF($A117="","",IF($B117="","EKSİK","TAM"))</f>
        <v/>
      </c>
    </row>
    <row r="118">
      <c r="F118" s="38">
        <f>IF($A118="","",IF($B118="","EKSİK","TAM"))</f>
        <v/>
      </c>
    </row>
    <row r="119">
      <c r="F119" s="38">
        <f>IF($A119="","",IF($B119="","EKSİK","TAM"))</f>
        <v/>
      </c>
    </row>
    <row r="120">
      <c r="F120" s="38">
        <f>IF($A120="","",IF($B120="","EKSİK","TAM"))</f>
        <v/>
      </c>
    </row>
    <row r="121">
      <c r="F121" s="38">
        <f>IF($A121="","",IF($B121="","EKSİK","TAM"))</f>
        <v/>
      </c>
    </row>
    <row r="122">
      <c r="F122" s="38">
        <f>IF($A122="","",IF($B122="","EKSİK","TAM"))</f>
        <v/>
      </c>
    </row>
    <row r="123">
      <c r="F123" s="38">
        <f>IF($A123="","",IF($B123="","EKSİK","TAM"))</f>
        <v/>
      </c>
    </row>
    <row r="124">
      <c r="F124" s="38">
        <f>IF($A124="","",IF($B124="","EKSİK","TAM"))</f>
        <v/>
      </c>
    </row>
    <row r="125">
      <c r="F125" s="38">
        <f>IF($A125="","",IF($B125="","EKSİK","TAM"))</f>
        <v/>
      </c>
    </row>
    <row r="126">
      <c r="F126" s="38">
        <f>IF($A126="","",IF($B126="","EKSİK","TAM"))</f>
        <v/>
      </c>
    </row>
    <row r="127">
      <c r="F127" s="38">
        <f>IF($A127="","",IF($B127="","EKSİK","TAM"))</f>
        <v/>
      </c>
    </row>
    <row r="128">
      <c r="F128" s="38">
        <f>IF($A128="","",IF($B128="","EKSİK","TAM"))</f>
        <v/>
      </c>
    </row>
    <row r="129">
      <c r="F129" s="38">
        <f>IF($A129="","",IF($B129="","EKSİK","TAM"))</f>
        <v/>
      </c>
    </row>
    <row r="130">
      <c r="F130" s="38">
        <f>IF($A130="","",IF($B130="","EKSİK","TAM"))</f>
        <v/>
      </c>
    </row>
    <row r="131">
      <c r="F131" s="38">
        <f>IF($A131="","",IF($B131="","EKSİK","TAM"))</f>
        <v/>
      </c>
    </row>
    <row r="132">
      <c r="F132" s="38">
        <f>IF($A132="","",IF($B132="","EKSİK","TAM"))</f>
        <v/>
      </c>
    </row>
    <row r="133">
      <c r="F133" s="38">
        <f>IF($A133="","",IF($B133="","EKSİK","TAM"))</f>
        <v/>
      </c>
    </row>
    <row r="134">
      <c r="F134" s="38">
        <f>IF($A134="","",IF($B134="","EKSİK","TAM"))</f>
        <v/>
      </c>
    </row>
    <row r="135">
      <c r="F135" s="38">
        <f>IF($A135="","",IF($B135="","EKSİK","TAM"))</f>
        <v/>
      </c>
    </row>
    <row r="136">
      <c r="F136" s="38">
        <f>IF($A136="","",IF($B136="","EKSİK","TAM"))</f>
        <v/>
      </c>
    </row>
    <row r="137">
      <c r="F137" s="38">
        <f>IF($A137="","",IF($B137="","EKSİK","TAM"))</f>
        <v/>
      </c>
    </row>
    <row r="138">
      <c r="F138" s="38">
        <f>IF($A138="","",IF($B138="","EKSİK","TAM"))</f>
        <v/>
      </c>
    </row>
    <row r="139">
      <c r="F139" s="38">
        <f>IF($A139="","",IF($B139="","EKSİK","TAM"))</f>
        <v/>
      </c>
    </row>
    <row r="140">
      <c r="F140" s="38">
        <f>IF($A140="","",IF($B140="","EKSİK","TAM"))</f>
        <v/>
      </c>
    </row>
    <row r="141">
      <c r="F141" s="38">
        <f>IF($A141="","",IF($B141="","EKSİK","TAM"))</f>
        <v/>
      </c>
    </row>
    <row r="142">
      <c r="F142" s="38">
        <f>IF($A142="","",IF($B142="","EKSİK","TAM"))</f>
        <v/>
      </c>
    </row>
    <row r="143">
      <c r="F143" s="38">
        <f>IF($A143="","",IF($B143="","EKSİK","TAM"))</f>
        <v/>
      </c>
    </row>
    <row r="144">
      <c r="F144" s="38">
        <f>IF($A144="","",IF($B144="","EKSİK","TAM"))</f>
        <v/>
      </c>
    </row>
    <row r="145">
      <c r="F145" s="38">
        <f>IF($A145="","",IF($B145="","EKSİK","TAM"))</f>
        <v/>
      </c>
    </row>
    <row r="146">
      <c r="F146" s="38">
        <f>IF($A146="","",IF($B146="","EKSİK","TAM"))</f>
        <v/>
      </c>
    </row>
    <row r="147">
      <c r="F147" s="38">
        <f>IF($A147="","",IF($B147="","EKSİK","TAM"))</f>
        <v/>
      </c>
    </row>
    <row r="148">
      <c r="F148" s="38">
        <f>IF($A148="","",IF($B148="","EKSİK","TAM"))</f>
        <v/>
      </c>
    </row>
    <row r="149">
      <c r="F149" s="38">
        <f>IF($A149="","",IF($B149="","EKSİK","TAM"))</f>
        <v/>
      </c>
    </row>
    <row r="150">
      <c r="F150" s="38">
        <f>IF($A150="","",IF($B150="","EKSİK","TAM"))</f>
        <v/>
      </c>
    </row>
    <row r="151">
      <c r="F151" s="38">
        <f>IF($A151="","",IF($B151="","EKSİK","TAM"))</f>
        <v/>
      </c>
    </row>
    <row r="152">
      <c r="F152" s="38">
        <f>IF($A152="","",IF($B152="","EKSİK","TAM"))</f>
        <v/>
      </c>
    </row>
    <row r="153">
      <c r="F153" s="38">
        <f>IF($A153="","",IF($B153="","EKSİK","TAM"))</f>
        <v/>
      </c>
    </row>
    <row r="154">
      <c r="F154" s="38">
        <f>IF($A154="","",IF($B154="","EKSİK","TAM"))</f>
        <v/>
      </c>
    </row>
    <row r="155">
      <c r="F155" s="38">
        <f>IF($A155="","",IF($B155="","EKSİK","TAM"))</f>
        <v/>
      </c>
    </row>
    <row r="156">
      <c r="F156" s="38">
        <f>IF($A156="","",IF($B156="","EKSİK","TAM"))</f>
        <v/>
      </c>
    </row>
    <row r="157">
      <c r="F157" s="38">
        <f>IF($A157="","",IF($B157="","EKSİK","TAM"))</f>
        <v/>
      </c>
    </row>
    <row r="158">
      <c r="F158" s="38">
        <f>IF($A158="","",IF($B158="","EKSİK","TAM"))</f>
        <v/>
      </c>
    </row>
    <row r="159">
      <c r="F159" s="38">
        <f>IF($A159="","",IF($B159="","EKSİK","TAM"))</f>
        <v/>
      </c>
    </row>
    <row r="160">
      <c r="F160" s="38">
        <f>IF($A160="","",IF($B160="","EKSİK","TAM"))</f>
        <v/>
      </c>
    </row>
    <row r="161">
      <c r="F161" s="38">
        <f>IF($A161="","",IF($B161="","EKSİK","TAM"))</f>
        <v/>
      </c>
    </row>
    <row r="162">
      <c r="F162" s="38">
        <f>IF($A162="","",IF($B162="","EKSİK","TAM"))</f>
        <v/>
      </c>
    </row>
    <row r="163">
      <c r="F163" s="38">
        <f>IF($A163="","",IF($B163="","EKSİK","TAM"))</f>
        <v/>
      </c>
    </row>
    <row r="164">
      <c r="F164" s="38">
        <f>IF($A164="","",IF($B164="","EKSİK","TAM"))</f>
        <v/>
      </c>
    </row>
    <row r="165">
      <c r="F165" s="38">
        <f>IF($A165="","",IF($B165="","EKSİK","TAM"))</f>
        <v/>
      </c>
    </row>
    <row r="166">
      <c r="F166" s="38">
        <f>IF($A166="","",IF($B166="","EKSİK","TAM"))</f>
        <v/>
      </c>
    </row>
    <row r="167">
      <c r="F167" s="38">
        <f>IF($A167="","",IF($B167="","EKSİK","TAM"))</f>
        <v/>
      </c>
    </row>
    <row r="168">
      <c r="F168" s="38">
        <f>IF($A168="","",IF($B168="","EKSİK","TAM"))</f>
        <v/>
      </c>
    </row>
    <row r="169">
      <c r="F169" s="38">
        <f>IF($A169="","",IF($B169="","EKSİK","TAM"))</f>
        <v/>
      </c>
    </row>
    <row r="170">
      <c r="F170" s="38">
        <f>IF($A170="","",IF($B170="","EKSİK","TAM"))</f>
        <v/>
      </c>
    </row>
    <row r="171">
      <c r="F171" s="38">
        <f>IF($A171="","",IF($B171="","EKSİK","TAM"))</f>
        <v/>
      </c>
    </row>
    <row r="172">
      <c r="F172" s="38">
        <f>IF($A172="","",IF($B172="","EKSİK","TAM"))</f>
        <v/>
      </c>
    </row>
    <row r="173">
      <c r="F173" s="38">
        <f>IF($A173="","",IF($B173="","EKSİK","TAM"))</f>
        <v/>
      </c>
    </row>
    <row r="174">
      <c r="F174" s="38">
        <f>IF($A174="","",IF($B174="","EKSİK","TAM"))</f>
        <v/>
      </c>
    </row>
    <row r="175">
      <c r="F175" s="38">
        <f>IF($A175="","",IF($B175="","EKSİK","TAM"))</f>
        <v/>
      </c>
    </row>
    <row r="176">
      <c r="F176" s="38">
        <f>IF($A176="","",IF($B176="","EKSİK","TAM"))</f>
        <v/>
      </c>
    </row>
    <row r="177">
      <c r="F177" s="38">
        <f>IF($A177="","",IF($B177="","EKSİK","TAM"))</f>
        <v/>
      </c>
    </row>
    <row r="178">
      <c r="F178" s="38">
        <f>IF($A178="","",IF($B178="","EKSİK","TAM"))</f>
        <v/>
      </c>
    </row>
    <row r="179">
      <c r="F179" s="38">
        <f>IF($A179="","",IF($B179="","EKSİK","TAM"))</f>
        <v/>
      </c>
    </row>
    <row r="180">
      <c r="F180" s="38">
        <f>IF($A180="","",IF($B180="","EKSİK","TAM"))</f>
        <v/>
      </c>
    </row>
    <row r="181">
      <c r="F181" s="38">
        <f>IF($A181="","",IF($B181="","EKSİK","TAM"))</f>
        <v/>
      </c>
    </row>
    <row r="182">
      <c r="F182" s="38">
        <f>IF($A182="","",IF($B182="","EKSİK","TAM"))</f>
        <v/>
      </c>
    </row>
    <row r="183">
      <c r="F183" s="38">
        <f>IF($A183="","",IF($B183="","EKSİK","TAM"))</f>
        <v/>
      </c>
    </row>
    <row r="184">
      <c r="F184" s="38">
        <f>IF($A184="","",IF($B184="","EKSİK","TAM"))</f>
        <v/>
      </c>
    </row>
    <row r="185">
      <c r="F185" s="38">
        <f>IF($A185="","",IF($B185="","EKSİK","TAM"))</f>
        <v/>
      </c>
    </row>
    <row r="186">
      <c r="F186" s="38">
        <f>IF($A186="","",IF($B186="","EKSİK","TAM"))</f>
        <v/>
      </c>
    </row>
    <row r="187">
      <c r="F187" s="38">
        <f>IF($A187="","",IF($B187="","EKSİK","TAM"))</f>
        <v/>
      </c>
    </row>
    <row r="188">
      <c r="F188" s="38">
        <f>IF($A188="","",IF($B188="","EKSİK","TAM"))</f>
        <v/>
      </c>
    </row>
    <row r="189">
      <c r="F189" s="38">
        <f>IF($A189="","",IF($B189="","EKSİK","TAM"))</f>
        <v/>
      </c>
    </row>
    <row r="190">
      <c r="F190" s="38">
        <f>IF($A190="","",IF($B190="","EKSİK","TAM"))</f>
        <v/>
      </c>
    </row>
    <row r="191">
      <c r="F191" s="38">
        <f>IF($A191="","",IF($B191="","EKSİK","TAM"))</f>
        <v/>
      </c>
    </row>
    <row r="192">
      <c r="F192" s="38">
        <f>IF($A192="","",IF($B192="","EKSİK","TAM"))</f>
        <v/>
      </c>
    </row>
    <row r="193">
      <c r="F193" s="38">
        <f>IF($A193="","",IF($B193="","EKSİK","TAM"))</f>
        <v/>
      </c>
    </row>
    <row r="194">
      <c r="F194" s="38">
        <f>IF($A194="","",IF($B194="","EKSİK","TAM"))</f>
        <v/>
      </c>
    </row>
    <row r="195">
      <c r="F195" s="38">
        <f>IF($A195="","",IF($B195="","EKSİK","TAM"))</f>
        <v/>
      </c>
    </row>
    <row r="196">
      <c r="F196" s="38">
        <f>IF($A196="","",IF($B196="","EKSİK","TAM"))</f>
        <v/>
      </c>
    </row>
    <row r="197">
      <c r="F197" s="38">
        <f>IF($A197="","",IF($B197="","EKSİK","TAM"))</f>
        <v/>
      </c>
    </row>
    <row r="198">
      <c r="F198" s="38">
        <f>IF($A198="","",IF($B198="","EKSİK","TAM"))</f>
        <v/>
      </c>
    </row>
    <row r="199">
      <c r="F199" s="38">
        <f>IF($A199="","",IF($B199="","EKSİK","TAM"))</f>
        <v/>
      </c>
    </row>
    <row r="200">
      <c r="F200" s="38">
        <f>IF($A200="","",IF($B200="","EKSİK","TAM"))</f>
        <v/>
      </c>
    </row>
    <row r="201">
      <c r="F201" s="38">
        <f>IF($A201="","",IF($B201="","EKSİK","TAM"))</f>
        <v/>
      </c>
    </row>
    <row r="202">
      <c r="F202" s="38">
        <f>IF($A202="","",IF($B202="","EKSİK","TAM"))</f>
        <v/>
      </c>
    </row>
    <row r="203">
      <c r="F203" s="38">
        <f>IF($A203="","",IF($B203="","EKSİK","TAM"))</f>
        <v/>
      </c>
    </row>
    <row r="204">
      <c r="F204" s="38">
        <f>IF($A204="","",IF($B204="","EKSİK","TAM"))</f>
        <v/>
      </c>
    </row>
    <row r="205">
      <c r="F205" s="38">
        <f>IF($A205="","",IF($B205="","EKSİK","TAM"))</f>
        <v/>
      </c>
    </row>
    <row r="206">
      <c r="F206" s="38">
        <f>IF($A206="","",IF($B206="","EKSİK","TAM"))</f>
        <v/>
      </c>
    </row>
    <row r="207">
      <c r="F207" s="38">
        <f>IF($A207="","",IF($B207="","EKSİK","TAM"))</f>
        <v/>
      </c>
    </row>
    <row r="208">
      <c r="F208" s="38">
        <f>IF($A208="","",IF($B208="","EKSİK","TAM"))</f>
        <v/>
      </c>
    </row>
    <row r="209">
      <c r="F209" s="38">
        <f>IF($A209="","",IF($B209="","EKSİK","TAM"))</f>
        <v/>
      </c>
    </row>
    <row r="210">
      <c r="F210" s="38">
        <f>IF($A210="","",IF($B210="","EKSİK","TAM"))</f>
        <v/>
      </c>
    </row>
    <row r="211">
      <c r="F211" s="38">
        <f>IF($A211="","",IF($B211="","EKSİK","TAM"))</f>
        <v/>
      </c>
    </row>
    <row r="212">
      <c r="F212" s="38">
        <f>IF($A212="","",IF($B212="","EKSİK","TAM"))</f>
        <v/>
      </c>
    </row>
    <row r="213">
      <c r="F213" s="38">
        <f>IF($A213="","",IF($B213="","EKSİK","TAM"))</f>
        <v/>
      </c>
    </row>
    <row r="214">
      <c r="F214" s="38">
        <f>IF($A214="","",IF($B214="","EKSİK","TAM"))</f>
        <v/>
      </c>
    </row>
    <row r="215">
      <c r="F215" s="38">
        <f>IF($A215="","",IF($B215="","EKSİK","TAM"))</f>
        <v/>
      </c>
    </row>
    <row r="216">
      <c r="F216" s="38">
        <f>IF($A216="","",IF($B216="","EKSİK","TAM"))</f>
        <v/>
      </c>
    </row>
    <row r="217">
      <c r="F217" s="38">
        <f>IF($A217="","",IF($B217="","EKSİK","TAM"))</f>
        <v/>
      </c>
    </row>
    <row r="218">
      <c r="F218" s="38">
        <f>IF($A218="","",IF($B218="","EKSİK","TAM"))</f>
        <v/>
      </c>
    </row>
    <row r="219">
      <c r="F219" s="38">
        <f>IF($A219="","",IF($B219="","EKSİK","TAM"))</f>
        <v/>
      </c>
    </row>
    <row r="220">
      <c r="F220" s="38">
        <f>IF($A220="","",IF($B220="","EKSİK","TAM"))</f>
        <v/>
      </c>
    </row>
    <row r="221">
      <c r="F221" s="38">
        <f>IF($A221="","",IF($B221="","EKSİK","TAM"))</f>
        <v/>
      </c>
    </row>
    <row r="222">
      <c r="F222" s="38">
        <f>IF($A222="","",IF($B222="","EKSİK","TAM"))</f>
        <v/>
      </c>
    </row>
    <row r="223">
      <c r="F223" s="38">
        <f>IF($A223="","",IF($B223="","EKSİK","TAM"))</f>
        <v/>
      </c>
    </row>
    <row r="224">
      <c r="F224" s="38">
        <f>IF($A224="","",IF($B224="","EKSİK","TAM"))</f>
        <v/>
      </c>
    </row>
    <row r="225">
      <c r="F225" s="38">
        <f>IF($A225="","",IF($B225="","EKSİK","TAM"))</f>
        <v/>
      </c>
    </row>
    <row r="226">
      <c r="F226" s="38">
        <f>IF($A226="","",IF($B226="","EKSİK","TAM"))</f>
        <v/>
      </c>
    </row>
    <row r="227">
      <c r="F227" s="38">
        <f>IF($A227="","",IF($B227="","EKSİK","TAM"))</f>
        <v/>
      </c>
    </row>
    <row r="228">
      <c r="F228" s="38">
        <f>IF($A228="","",IF($B228="","EKSİK","TAM"))</f>
        <v/>
      </c>
    </row>
    <row r="229">
      <c r="F229" s="38">
        <f>IF($A229="","",IF($B229="","EKSİK","TAM"))</f>
        <v/>
      </c>
    </row>
    <row r="230">
      <c r="F230" s="38">
        <f>IF($A230="","",IF($B230="","EKSİK","TAM"))</f>
        <v/>
      </c>
    </row>
    <row r="231">
      <c r="F231" s="38">
        <f>IF($A231="","",IF($B231="","EKSİK","TAM"))</f>
        <v/>
      </c>
    </row>
    <row r="232">
      <c r="F232" s="38">
        <f>IF($A232="","",IF($B232="","EKSİK","TAM"))</f>
        <v/>
      </c>
    </row>
    <row r="233">
      <c r="F233" s="38">
        <f>IF($A233="","",IF($B233="","EKSİK","TAM"))</f>
        <v/>
      </c>
    </row>
    <row r="234">
      <c r="F234" s="38">
        <f>IF($A234="","",IF($B234="","EKSİK","TAM"))</f>
        <v/>
      </c>
    </row>
    <row r="235">
      <c r="F235" s="38">
        <f>IF($A235="","",IF($B235="","EKSİK","TAM"))</f>
        <v/>
      </c>
    </row>
    <row r="236">
      <c r="F236" s="38">
        <f>IF($A236="","",IF($B236="","EKSİK","TAM"))</f>
        <v/>
      </c>
    </row>
    <row r="237">
      <c r="F237" s="38">
        <f>IF($A237="","",IF($B237="","EKSİK","TAM"))</f>
        <v/>
      </c>
    </row>
    <row r="238">
      <c r="F238" s="38">
        <f>IF($A238="","",IF($B238="","EKSİK","TAM"))</f>
        <v/>
      </c>
    </row>
    <row r="239">
      <c r="F239" s="38">
        <f>IF($A239="","",IF($B239="","EKSİK","TAM"))</f>
        <v/>
      </c>
    </row>
    <row r="240">
      <c r="F240" s="38">
        <f>IF($A240="","",IF($B240="","EKSİK","TAM"))</f>
        <v/>
      </c>
    </row>
    <row r="241">
      <c r="F241" s="38">
        <f>IF($A241="","",IF($B241="","EKSİK","TAM"))</f>
        <v/>
      </c>
    </row>
    <row r="242">
      <c r="F242" s="38">
        <f>IF($A242="","",IF($B242="","EKSİK","TAM"))</f>
        <v/>
      </c>
    </row>
    <row r="243">
      <c r="F243" s="38">
        <f>IF($A243="","",IF($B243="","EKSİK","TAM"))</f>
        <v/>
      </c>
    </row>
    <row r="244">
      <c r="F244" s="38">
        <f>IF($A244="","",IF($B244="","EKSİK","TAM"))</f>
        <v/>
      </c>
    </row>
    <row r="245">
      <c r="F245" s="38">
        <f>IF($A245="","",IF($B245="","EKSİK","TAM"))</f>
        <v/>
      </c>
    </row>
    <row r="246">
      <c r="F246" s="38">
        <f>IF($A246="","",IF($B246="","EKSİK","TAM"))</f>
        <v/>
      </c>
    </row>
    <row r="247">
      <c r="F247" s="38">
        <f>IF($A247="","",IF($B247="","EKSİK","TAM"))</f>
        <v/>
      </c>
    </row>
    <row r="248">
      <c r="F248" s="38">
        <f>IF($A248="","",IF($B248="","EKSİK","TAM"))</f>
        <v/>
      </c>
    </row>
    <row r="249">
      <c r="F249" s="38">
        <f>IF($A249="","",IF($B249="","EKSİK","TAM"))</f>
        <v/>
      </c>
    </row>
    <row r="250">
      <c r="F250" s="38">
        <f>IF($A250="","",IF($B250="","EKSİK","TAM"))</f>
        <v/>
      </c>
    </row>
    <row r="251">
      <c r="F251" s="38">
        <f>IF($A251="","",IF($B251="","EKSİK","TAM"))</f>
        <v/>
      </c>
    </row>
    <row r="252">
      <c r="F252" s="38">
        <f>IF($A252="","",IF($B252="","EKSİK","TAM"))</f>
        <v/>
      </c>
    </row>
    <row r="253">
      <c r="F253" s="38">
        <f>IF($A253="","",IF($B253="","EKSİK","TAM"))</f>
        <v/>
      </c>
    </row>
    <row r="254">
      <c r="F254" s="38">
        <f>IF($A254="","",IF($B254="","EKSİK","TAM"))</f>
        <v/>
      </c>
    </row>
    <row r="255">
      <c r="F255" s="38">
        <f>IF($A255="","",IF($B255="","EKSİK","TAM"))</f>
        <v/>
      </c>
    </row>
    <row r="256">
      <c r="F256" s="38">
        <f>IF($A256="","",IF($B256="","EKSİK","TAM"))</f>
        <v/>
      </c>
    </row>
    <row r="257">
      <c r="F257" s="38">
        <f>IF($A257="","",IF($B257="","EKSİK","TAM"))</f>
        <v/>
      </c>
    </row>
    <row r="258">
      <c r="F258" s="38">
        <f>IF($A258="","",IF($B258="","EKSİK","TAM"))</f>
        <v/>
      </c>
    </row>
    <row r="259">
      <c r="F259" s="38">
        <f>IF($A259="","",IF($B259="","EKSİK","TAM"))</f>
        <v/>
      </c>
    </row>
    <row r="260">
      <c r="F260" s="38">
        <f>IF($A260="","",IF($B260="","EKSİK","TAM"))</f>
        <v/>
      </c>
    </row>
    <row r="261">
      <c r="F261" s="38">
        <f>IF($A261="","",IF($B261="","EKSİK","TAM"))</f>
        <v/>
      </c>
    </row>
    <row r="262">
      <c r="F262" s="38">
        <f>IF($A262="","",IF($B262="","EKSİK","TAM"))</f>
        <v/>
      </c>
    </row>
    <row r="263">
      <c r="F263" s="38">
        <f>IF($A263="","",IF($B263="","EKSİK","TAM"))</f>
        <v/>
      </c>
    </row>
    <row r="264">
      <c r="F264" s="38">
        <f>IF($A264="","",IF($B264="","EKSİK","TAM"))</f>
        <v/>
      </c>
    </row>
    <row r="265">
      <c r="F265" s="38">
        <f>IF($A265="","",IF($B265="","EKSİK","TAM"))</f>
        <v/>
      </c>
    </row>
    <row r="266">
      <c r="F266" s="38">
        <f>IF($A266="","",IF($B266="","EKSİK","TAM"))</f>
        <v/>
      </c>
    </row>
    <row r="267">
      <c r="F267" s="38">
        <f>IF($A267="","",IF($B267="","EKSİK","TAM"))</f>
        <v/>
      </c>
    </row>
    <row r="268">
      <c r="F268" s="38">
        <f>IF($A268="","",IF($B268="","EKSİK","TAM"))</f>
        <v/>
      </c>
    </row>
    <row r="269">
      <c r="F269" s="38">
        <f>IF($A269="","",IF($B269="","EKSİK","TAM"))</f>
        <v/>
      </c>
    </row>
    <row r="270">
      <c r="F270" s="38">
        <f>IF($A270="","",IF($B270="","EKSİK","TAM"))</f>
        <v/>
      </c>
    </row>
    <row r="271">
      <c r="F271" s="38">
        <f>IF($A271="","",IF($B271="","EKSİK","TAM"))</f>
        <v/>
      </c>
    </row>
    <row r="272">
      <c r="F272" s="38">
        <f>IF($A272="","",IF($B272="","EKSİK","TAM"))</f>
        <v/>
      </c>
    </row>
    <row r="273">
      <c r="F273" s="38">
        <f>IF($A273="","",IF($B273="","EKSİK","TAM"))</f>
        <v/>
      </c>
    </row>
    <row r="274">
      <c r="F274" s="38">
        <f>IF($A274="","",IF($B274="","EKSİK","TAM"))</f>
        <v/>
      </c>
    </row>
    <row r="275">
      <c r="F275" s="38">
        <f>IF($A275="","",IF($B275="","EKSİK","TAM"))</f>
        <v/>
      </c>
    </row>
    <row r="276">
      <c r="F276" s="38">
        <f>IF($A276="","",IF($B276="","EKSİK","TAM"))</f>
        <v/>
      </c>
    </row>
    <row r="277">
      <c r="F277" s="38">
        <f>IF($A277="","",IF($B277="","EKSİK","TAM"))</f>
        <v/>
      </c>
    </row>
    <row r="278">
      <c r="F278" s="38">
        <f>IF($A278="","",IF($B278="","EKSİK","TAM"))</f>
        <v/>
      </c>
    </row>
    <row r="279">
      <c r="F279" s="38">
        <f>IF($A279="","",IF($B279="","EKSİK","TAM"))</f>
        <v/>
      </c>
    </row>
    <row r="280">
      <c r="F280" s="38">
        <f>IF($A280="","",IF($B280="","EKSİK","TAM"))</f>
        <v/>
      </c>
    </row>
    <row r="281">
      <c r="F281" s="38">
        <f>IF($A281="","",IF($B281="","EKSİK","TAM"))</f>
        <v/>
      </c>
    </row>
    <row r="282">
      <c r="F282" s="38">
        <f>IF($A282="","",IF($B282="","EKSİK","TAM"))</f>
        <v/>
      </c>
    </row>
    <row r="283">
      <c r="F283" s="38">
        <f>IF($A283="","",IF($B283="","EKSİK","TAM"))</f>
        <v/>
      </c>
    </row>
    <row r="284">
      <c r="F284" s="38">
        <f>IF($A284="","",IF($B284="","EKSİK","TAM"))</f>
        <v/>
      </c>
    </row>
    <row r="285">
      <c r="F285" s="38">
        <f>IF($A285="","",IF($B285="","EKSİK","TAM"))</f>
        <v/>
      </c>
    </row>
    <row r="286">
      <c r="F286" s="38">
        <f>IF($A286="","",IF($B286="","EKSİK","TAM"))</f>
        <v/>
      </c>
    </row>
    <row r="287">
      <c r="F287" s="38">
        <f>IF($A287="","",IF($B287="","EKSİK","TAM"))</f>
        <v/>
      </c>
    </row>
    <row r="288">
      <c r="F288" s="38">
        <f>IF($A288="","",IF($B288="","EKSİK","TAM"))</f>
        <v/>
      </c>
    </row>
    <row r="289">
      <c r="F289" s="38">
        <f>IF($A289="","",IF($B289="","EKSİK","TAM"))</f>
        <v/>
      </c>
    </row>
    <row r="290">
      <c r="F290" s="38">
        <f>IF($A290="","",IF($B290="","EKSİK","TAM"))</f>
        <v/>
      </c>
    </row>
    <row r="291">
      <c r="F291" s="38">
        <f>IF($A291="","",IF($B291="","EKSİK","TAM"))</f>
        <v/>
      </c>
    </row>
    <row r="292">
      <c r="F292" s="38">
        <f>IF($A292="","",IF($B292="","EKSİK","TAM"))</f>
        <v/>
      </c>
    </row>
    <row r="293">
      <c r="F293" s="38">
        <f>IF($A293="","",IF($B293="","EKSİK","TAM"))</f>
        <v/>
      </c>
    </row>
    <row r="294">
      <c r="F294" s="38">
        <f>IF($A294="","",IF($B294="","EKSİK","TAM"))</f>
        <v/>
      </c>
    </row>
    <row r="295">
      <c r="F295" s="38">
        <f>IF($A295="","",IF($B295="","EKSİK","TAM"))</f>
        <v/>
      </c>
    </row>
    <row r="296">
      <c r="F296" s="38">
        <f>IF($A296="","",IF($B296="","EKSİK","TAM"))</f>
        <v/>
      </c>
    </row>
    <row r="297">
      <c r="F297" s="38">
        <f>IF($A297="","",IF($B297="","EKSİK","TAM"))</f>
        <v/>
      </c>
    </row>
    <row r="298">
      <c r="F298" s="38">
        <f>IF($A298="","",IF($B298="","EKSİK","TAM"))</f>
        <v/>
      </c>
    </row>
    <row r="299">
      <c r="F299" s="38">
        <f>IF($A299="","",IF($B299="","EKSİK","TAM"))</f>
        <v/>
      </c>
    </row>
    <row r="300">
      <c r="F300" s="38">
        <f>IF($A300="","",IF($B300="","EKSİK","TAM"))</f>
        <v/>
      </c>
    </row>
    <row r="301">
      <c r="F301" s="38">
        <f>IF($A301="","",IF($B301="","EKSİK","TAM"))</f>
        <v/>
      </c>
    </row>
    <row r="302">
      <c r="F302" s="38">
        <f>IF($A302="","",IF($B302="","EKSİK","TAM"))</f>
        <v/>
      </c>
    </row>
    <row r="303">
      <c r="F303" s="38">
        <f>IF($A303="","",IF($B303="","EKSİK","TAM"))</f>
        <v/>
      </c>
    </row>
    <row r="304">
      <c r="F304" s="38">
        <f>IF($A304="","",IF($B304="","EKSİK","TAM"))</f>
        <v/>
      </c>
    </row>
    <row r="305">
      <c r="F305" s="38">
        <f>IF($A305="","",IF($B305="","EKSİK","TAM"))</f>
        <v/>
      </c>
    </row>
    <row r="306">
      <c r="F306" s="38">
        <f>IF($A306="","",IF($B306="","EKSİK","TAM"))</f>
        <v/>
      </c>
    </row>
    <row r="307">
      <c r="F307" s="38">
        <f>IF($A307="","",IF($B307="","EKSİK","TAM"))</f>
        <v/>
      </c>
    </row>
    <row r="308">
      <c r="F308" s="38">
        <f>IF($A308="","",IF($B308="","EKSİK","TAM"))</f>
        <v/>
      </c>
    </row>
    <row r="309">
      <c r="F309" s="38">
        <f>IF($A309="","",IF($B309="","EKSİK","TAM"))</f>
        <v/>
      </c>
    </row>
    <row r="310">
      <c r="F310" s="38">
        <f>IF($A310="","",IF($B310="","EKSİK","TAM"))</f>
        <v/>
      </c>
    </row>
    <row r="311">
      <c r="F311" s="38">
        <f>IF($A311="","",IF($B311="","EKSİK","TAM"))</f>
        <v/>
      </c>
    </row>
    <row r="312">
      <c r="F312" s="38">
        <f>IF($A312="","",IF($B312="","EKSİK","TAM"))</f>
        <v/>
      </c>
    </row>
    <row r="313">
      <c r="F313" s="38">
        <f>IF($A313="","",IF($B313="","EKSİK","TAM"))</f>
        <v/>
      </c>
    </row>
    <row r="314">
      <c r="F314" s="38">
        <f>IF($A314="","",IF($B314="","EKSİK","TAM"))</f>
        <v/>
      </c>
    </row>
    <row r="315">
      <c r="F315" s="38">
        <f>IF($A315="","",IF($B315="","EKSİK","TAM"))</f>
        <v/>
      </c>
    </row>
    <row r="316">
      <c r="F316" s="38">
        <f>IF($A316="","",IF($B316="","EKSİK","TAM"))</f>
        <v/>
      </c>
    </row>
    <row r="317">
      <c r="F317" s="38">
        <f>IF($A317="","",IF($B317="","EKSİK","TAM"))</f>
        <v/>
      </c>
    </row>
    <row r="318">
      <c r="F318" s="38">
        <f>IF($A318="","",IF($B318="","EKSİK","TAM"))</f>
        <v/>
      </c>
    </row>
    <row r="319">
      <c r="F319" s="38">
        <f>IF($A319="","",IF($B319="","EKSİK","TAM"))</f>
        <v/>
      </c>
    </row>
    <row r="320">
      <c r="F320" s="38">
        <f>IF($A320="","",IF($B320="","EKSİK","TAM"))</f>
        <v/>
      </c>
    </row>
    <row r="321">
      <c r="F321" s="38">
        <f>IF($A321="","",IF($B321="","EKSİK","TAM"))</f>
        <v/>
      </c>
    </row>
    <row r="322">
      <c r="F322" s="38">
        <f>IF($A322="","",IF($B322="","EKSİK","TAM"))</f>
        <v/>
      </c>
    </row>
    <row r="323">
      <c r="F323" s="38">
        <f>IF($A323="","",IF($B323="","EKSİK","TAM"))</f>
        <v/>
      </c>
    </row>
    <row r="324">
      <c r="F324" s="38">
        <f>IF($A324="","",IF($B324="","EKSİK","TAM"))</f>
        <v/>
      </c>
    </row>
    <row r="325">
      <c r="F325" s="38">
        <f>IF($A325="","",IF($B325="","EKSİK","TAM"))</f>
        <v/>
      </c>
    </row>
    <row r="326">
      <c r="F326" s="38">
        <f>IF($A326="","",IF($B326="","EKSİK","TAM"))</f>
        <v/>
      </c>
    </row>
    <row r="327">
      <c r="F327" s="38">
        <f>IF($A327="","",IF($B327="","EKSİK","TAM"))</f>
        <v/>
      </c>
    </row>
    <row r="328">
      <c r="F328" s="38">
        <f>IF($A328="","",IF($B328="","EKSİK","TAM"))</f>
        <v/>
      </c>
    </row>
    <row r="329">
      <c r="F329" s="38">
        <f>IF($A329="","",IF($B329="","EKSİK","TAM"))</f>
        <v/>
      </c>
    </row>
    <row r="330">
      <c r="F330" s="38">
        <f>IF($A330="","",IF($B330="","EKSİK","TAM"))</f>
        <v/>
      </c>
    </row>
    <row r="331">
      <c r="F331" s="38">
        <f>IF($A331="","",IF($B331="","EKSİK","TAM"))</f>
        <v/>
      </c>
    </row>
    <row r="332">
      <c r="F332" s="38">
        <f>IF($A332="","",IF($B332="","EKSİK","TAM"))</f>
        <v/>
      </c>
    </row>
    <row r="333">
      <c r="F333" s="38">
        <f>IF($A333="","",IF($B333="","EKSİK","TAM"))</f>
        <v/>
      </c>
    </row>
    <row r="334">
      <c r="F334" s="38">
        <f>IF($A334="","",IF($B334="","EKSİK","TAM"))</f>
        <v/>
      </c>
    </row>
    <row r="335">
      <c r="F335" s="38">
        <f>IF($A335="","",IF($B335="","EKSİK","TAM"))</f>
        <v/>
      </c>
    </row>
    <row r="336">
      <c r="F336" s="38">
        <f>IF($A336="","",IF($B336="","EKSİK","TAM"))</f>
        <v/>
      </c>
    </row>
    <row r="337">
      <c r="F337" s="38">
        <f>IF($A337="","",IF($B337="","EKSİK","TAM"))</f>
        <v/>
      </c>
    </row>
    <row r="338">
      <c r="F338" s="38">
        <f>IF($A338="","",IF($B338="","EKSİK","TAM"))</f>
        <v/>
      </c>
    </row>
    <row r="339">
      <c r="F339" s="38">
        <f>IF($A339="","",IF($B339="","EKSİK","TAM"))</f>
        <v/>
      </c>
    </row>
    <row r="340">
      <c r="F340" s="38">
        <f>IF($A340="","",IF($B340="","EKSİK","TAM"))</f>
        <v/>
      </c>
    </row>
    <row r="341">
      <c r="F341" s="38">
        <f>IF($A341="","",IF($B341="","EKSİK","TAM"))</f>
        <v/>
      </c>
    </row>
    <row r="342">
      <c r="F342" s="38">
        <f>IF($A342="","",IF($B342="","EKSİK","TAM"))</f>
        <v/>
      </c>
    </row>
    <row r="343">
      <c r="F343" s="38">
        <f>IF($A343="","",IF($B343="","EKSİK","TAM"))</f>
        <v/>
      </c>
    </row>
    <row r="344">
      <c r="F344" s="38">
        <f>IF($A344="","",IF($B344="","EKSİK","TAM"))</f>
        <v/>
      </c>
    </row>
    <row r="345">
      <c r="F345" s="38">
        <f>IF($A345="","",IF($B345="","EKSİK","TAM"))</f>
        <v/>
      </c>
    </row>
    <row r="346">
      <c r="F346" s="38">
        <f>IF($A346="","",IF($B346="","EKSİK","TAM"))</f>
        <v/>
      </c>
    </row>
    <row r="347">
      <c r="F347" s="38">
        <f>IF($A347="","",IF($B347="","EKSİK","TAM"))</f>
        <v/>
      </c>
    </row>
    <row r="348">
      <c r="F348" s="38">
        <f>IF($A348="","",IF($B348="","EKSİK","TAM"))</f>
        <v/>
      </c>
    </row>
    <row r="349">
      <c r="F349" s="38">
        <f>IF($A349="","",IF($B349="","EKSİK","TAM"))</f>
        <v/>
      </c>
    </row>
    <row r="350">
      <c r="F350" s="38">
        <f>IF($A350="","",IF($B350="","EKSİK","TAM"))</f>
        <v/>
      </c>
    </row>
    <row r="351">
      <c r="F351" s="38">
        <f>IF($A351="","",IF($B351="","EKSİK","TAM"))</f>
        <v/>
      </c>
    </row>
    <row r="352">
      <c r="F352" s="38">
        <f>IF($A352="","",IF($B352="","EKSİK","TAM"))</f>
        <v/>
      </c>
    </row>
    <row r="353">
      <c r="F353" s="38">
        <f>IF($A353="","",IF($B353="","EKSİK","TAM"))</f>
        <v/>
      </c>
    </row>
    <row r="354">
      <c r="F354" s="38">
        <f>IF($A354="","",IF($B354="","EKSİK","TAM"))</f>
        <v/>
      </c>
    </row>
    <row r="355">
      <c r="F355" s="38">
        <f>IF($A355="","",IF($B355="","EKSİK","TAM"))</f>
        <v/>
      </c>
    </row>
    <row r="356">
      <c r="F356" s="38">
        <f>IF($A356="","",IF($B356="","EKSİK","TAM"))</f>
        <v/>
      </c>
    </row>
    <row r="357">
      <c r="F357" s="38">
        <f>IF($A357="","",IF($B357="","EKSİK","TAM"))</f>
        <v/>
      </c>
    </row>
    <row r="358">
      <c r="F358" s="38">
        <f>IF($A358="","",IF($B358="","EKSİK","TAM"))</f>
        <v/>
      </c>
    </row>
    <row r="359">
      <c r="F359" s="38">
        <f>IF($A359="","",IF($B359="","EKSİK","TAM"))</f>
        <v/>
      </c>
    </row>
    <row r="360">
      <c r="F360" s="38">
        <f>IF($A360="","",IF($B360="","EKSİK","TAM"))</f>
        <v/>
      </c>
    </row>
    <row r="361">
      <c r="F361" s="38">
        <f>IF($A361="","",IF($B361="","EKSİK","TAM"))</f>
        <v/>
      </c>
    </row>
    <row r="362">
      <c r="F362" s="38">
        <f>IF($A362="","",IF($B362="","EKSİK","TAM"))</f>
        <v/>
      </c>
    </row>
    <row r="363">
      <c r="F363" s="38">
        <f>IF($A363="","",IF($B363="","EKSİK","TAM"))</f>
        <v/>
      </c>
    </row>
    <row r="364">
      <c r="F364" s="38">
        <f>IF($A364="","",IF($B364="","EKSİK","TAM"))</f>
        <v/>
      </c>
    </row>
    <row r="365">
      <c r="F365" s="38">
        <f>IF($A365="","",IF($B365="","EKSİK","TAM"))</f>
        <v/>
      </c>
    </row>
    <row r="366">
      <c r="F366" s="38">
        <f>IF($A366="","",IF($B366="","EKSİK","TAM"))</f>
        <v/>
      </c>
    </row>
    <row r="367">
      <c r="F367" s="38">
        <f>IF($A367="","",IF($B367="","EKSİK","TAM"))</f>
        <v/>
      </c>
    </row>
    <row r="368">
      <c r="F368" s="38">
        <f>IF($A368="","",IF($B368="","EKSİK","TAM"))</f>
        <v/>
      </c>
    </row>
    <row r="369">
      <c r="F369" s="38">
        <f>IF($A369="","",IF($B369="","EKSİK","TAM"))</f>
        <v/>
      </c>
    </row>
    <row r="370">
      <c r="F370" s="38">
        <f>IF($A370="","",IF($B370="","EKSİK","TAM"))</f>
        <v/>
      </c>
    </row>
    <row r="371">
      <c r="F371" s="38">
        <f>IF($A371="","",IF($B371="","EKSİK","TAM"))</f>
        <v/>
      </c>
    </row>
    <row r="372">
      <c r="F372" s="38">
        <f>IF($A372="","",IF($B372="","EKSİK","TAM"))</f>
        <v/>
      </c>
    </row>
    <row r="373">
      <c r="F373" s="38">
        <f>IF($A373="","",IF($B373="","EKSİK","TAM"))</f>
        <v/>
      </c>
    </row>
    <row r="374">
      <c r="F374" s="38">
        <f>IF($A374="","",IF($B374="","EKSİK","TAM"))</f>
        <v/>
      </c>
    </row>
    <row r="375">
      <c r="F375" s="38">
        <f>IF($A375="","",IF($B375="","EKSİK","TAM"))</f>
        <v/>
      </c>
    </row>
    <row r="376">
      <c r="F376" s="38">
        <f>IF($A376="","",IF($B376="","EKSİK","TAM"))</f>
        <v/>
      </c>
    </row>
    <row r="377">
      <c r="F377" s="38">
        <f>IF($A377="","",IF($B377="","EKSİK","TAM"))</f>
        <v/>
      </c>
    </row>
    <row r="378">
      <c r="F378" s="38">
        <f>IF($A378="","",IF($B378="","EKSİK","TAM"))</f>
        <v/>
      </c>
    </row>
    <row r="379">
      <c r="F379" s="38">
        <f>IF($A379="","",IF($B379="","EKSİK","TAM"))</f>
        <v/>
      </c>
    </row>
    <row r="380">
      <c r="F380" s="38">
        <f>IF($A380="","",IF($B380="","EKSİK","TAM"))</f>
        <v/>
      </c>
    </row>
    <row r="381">
      <c r="F381" s="38">
        <f>IF($A381="","",IF($B381="","EKSİK","TAM"))</f>
        <v/>
      </c>
    </row>
    <row r="382">
      <c r="F382" s="38">
        <f>IF($A382="","",IF($B382="","EKSİK","TAM"))</f>
        <v/>
      </c>
    </row>
    <row r="383">
      <c r="F383" s="38">
        <f>IF($A383="","",IF($B383="","EKSİK","TAM"))</f>
        <v/>
      </c>
    </row>
    <row r="384">
      <c r="F384" s="38">
        <f>IF($A384="","",IF($B384="","EKSİK","TAM"))</f>
        <v/>
      </c>
    </row>
    <row r="385">
      <c r="F385" s="38">
        <f>IF($A385="","",IF($B385="","EKSİK","TAM"))</f>
        <v/>
      </c>
    </row>
    <row r="386">
      <c r="F386" s="38">
        <f>IF($A386="","",IF($B386="","EKSİK","TAM"))</f>
        <v/>
      </c>
    </row>
    <row r="387">
      <c r="F387" s="38">
        <f>IF($A387="","",IF($B387="","EKSİK","TAM"))</f>
        <v/>
      </c>
    </row>
    <row r="388">
      <c r="F388" s="38">
        <f>IF($A388="","",IF($B388="","EKSİK","TAM"))</f>
        <v/>
      </c>
    </row>
    <row r="389">
      <c r="F389" s="38">
        <f>IF($A389="","",IF($B389="","EKSİK","TAM"))</f>
        <v/>
      </c>
    </row>
    <row r="390">
      <c r="F390" s="38">
        <f>IF($A390="","",IF($B390="","EKSİK","TAM"))</f>
        <v/>
      </c>
    </row>
    <row r="391">
      <c r="F391" s="38">
        <f>IF($A391="","",IF($B391="","EKSİK","TAM"))</f>
        <v/>
      </c>
    </row>
    <row r="392">
      <c r="F392" s="38">
        <f>IF($A392="","",IF($B392="","EKSİK","TAM"))</f>
        <v/>
      </c>
    </row>
    <row r="393">
      <c r="F393" s="38">
        <f>IF($A393="","",IF($B393="","EKSİK","TAM"))</f>
        <v/>
      </c>
    </row>
    <row r="394">
      <c r="F394" s="38">
        <f>IF($A394="","",IF($B394="","EKSİK","TAM"))</f>
        <v/>
      </c>
    </row>
    <row r="395">
      <c r="F395" s="38">
        <f>IF($A395="","",IF($B395="","EKSİK","TAM"))</f>
        <v/>
      </c>
    </row>
    <row r="396">
      <c r="F396" s="38">
        <f>IF($A396="","",IF($B396="","EKSİK","TAM"))</f>
        <v/>
      </c>
    </row>
    <row r="397">
      <c r="F397" s="38">
        <f>IF($A397="","",IF($B397="","EKSİK","TAM"))</f>
        <v/>
      </c>
    </row>
    <row r="398">
      <c r="F398" s="38">
        <f>IF($A398="","",IF($B398="","EKSİK","TAM"))</f>
        <v/>
      </c>
    </row>
    <row r="399">
      <c r="F399" s="38">
        <f>IF($A399="","",IF($B399="","EKSİK","TAM"))</f>
        <v/>
      </c>
    </row>
    <row r="400">
      <c r="F400" s="38">
        <f>IF($A400="","",IF($B400="","EKSİK","TAM"))</f>
        <v/>
      </c>
    </row>
    <row r="401">
      <c r="F401" s="38">
        <f>IF($A401="","",IF($B401="","EKSİK","TAM"))</f>
        <v/>
      </c>
    </row>
    <row r="402">
      <c r="F402" s="38">
        <f>IF($A402="","",IF($B402="","EKSİK","TAM"))</f>
        <v/>
      </c>
    </row>
    <row r="403">
      <c r="F403" s="38">
        <f>IF($A403="","",IF($B403="","EKSİK","TAM"))</f>
        <v/>
      </c>
    </row>
    <row r="404">
      <c r="F404" s="38">
        <f>IF($A404="","",IF($B404="","EKSİK","TAM"))</f>
        <v/>
      </c>
    </row>
    <row r="405">
      <c r="F405" s="38">
        <f>IF($A405="","",IF($B405="","EKSİK","TAM"))</f>
        <v/>
      </c>
    </row>
    <row r="406">
      <c r="F406" s="38">
        <f>IF($A406="","",IF($B406="","EKSİK","TAM"))</f>
        <v/>
      </c>
    </row>
    <row r="407">
      <c r="F407" s="38">
        <f>IF($A407="","",IF($B407="","EKSİK","TAM"))</f>
        <v/>
      </c>
    </row>
    <row r="408">
      <c r="F408" s="38">
        <f>IF($A408="","",IF($B408="","EKSİK","TAM"))</f>
        <v/>
      </c>
    </row>
    <row r="409">
      <c r="F409" s="38">
        <f>IF($A409="","",IF($B409="","EKSİK","TAM"))</f>
        <v/>
      </c>
    </row>
    <row r="410">
      <c r="F410" s="38">
        <f>IF($A410="","",IF($B410="","EKSİK","TAM"))</f>
        <v/>
      </c>
    </row>
    <row r="411">
      <c r="F411" s="38">
        <f>IF($A411="","",IF($B411="","EKSİK","TAM"))</f>
        <v/>
      </c>
    </row>
    <row r="412">
      <c r="F412" s="38">
        <f>IF($A412="","",IF($B412="","EKSİK","TAM"))</f>
        <v/>
      </c>
    </row>
    <row r="413">
      <c r="F413" s="38">
        <f>IF($A413="","",IF($B413="","EKSİK","TAM"))</f>
        <v/>
      </c>
    </row>
    <row r="414">
      <c r="F414" s="38">
        <f>IF($A414="","",IF($B414="","EKSİK","TAM"))</f>
        <v/>
      </c>
    </row>
    <row r="415">
      <c r="F415" s="38">
        <f>IF($A415="","",IF($B415="","EKSİK","TAM"))</f>
        <v/>
      </c>
    </row>
    <row r="416">
      <c r="F416" s="38">
        <f>IF($A416="","",IF($B416="","EKSİK","TAM"))</f>
        <v/>
      </c>
    </row>
    <row r="417">
      <c r="F417" s="38">
        <f>IF($A417="","",IF($B417="","EKSİK","TAM"))</f>
        <v/>
      </c>
    </row>
    <row r="418">
      <c r="F418" s="38">
        <f>IF($A418="","",IF($B418="","EKSİK","TAM"))</f>
        <v/>
      </c>
    </row>
    <row r="419">
      <c r="F419" s="38">
        <f>IF($A419="","",IF($B419="","EKSİK","TAM"))</f>
        <v/>
      </c>
    </row>
    <row r="420">
      <c r="F420" s="38">
        <f>IF($A420="","",IF($B420="","EKSİK","TAM"))</f>
        <v/>
      </c>
    </row>
    <row r="421">
      <c r="F421" s="38">
        <f>IF($A421="","",IF($B421="","EKSİK","TAM"))</f>
        <v/>
      </c>
    </row>
    <row r="422">
      <c r="F422" s="38">
        <f>IF($A422="","",IF($B422="","EKSİK","TAM"))</f>
        <v/>
      </c>
    </row>
    <row r="423">
      <c r="F423" s="38">
        <f>IF($A423="","",IF($B423="","EKSİK","TAM"))</f>
        <v/>
      </c>
    </row>
    <row r="424">
      <c r="F424" s="38">
        <f>IF($A424="","",IF($B424="","EKSİK","TAM"))</f>
        <v/>
      </c>
    </row>
    <row r="425">
      <c r="F425" s="38">
        <f>IF($A425="","",IF($B425="","EKSİK","TAM"))</f>
        <v/>
      </c>
    </row>
    <row r="426">
      <c r="F426" s="38">
        <f>IF($A426="","",IF($B426="","EKSİK","TAM"))</f>
        <v/>
      </c>
    </row>
    <row r="427">
      <c r="F427" s="38">
        <f>IF($A427="","",IF($B427="","EKSİK","TAM"))</f>
        <v/>
      </c>
    </row>
    <row r="428">
      <c r="F428" s="38">
        <f>IF($A428="","",IF($B428="","EKSİK","TAM"))</f>
        <v/>
      </c>
    </row>
    <row r="429">
      <c r="F429" s="38">
        <f>IF($A429="","",IF($B429="","EKSİK","TAM"))</f>
        <v/>
      </c>
    </row>
    <row r="430">
      <c r="F430" s="38">
        <f>IF($A430="","",IF($B430="","EKSİK","TAM"))</f>
        <v/>
      </c>
    </row>
    <row r="431">
      <c r="F431" s="38">
        <f>IF($A431="","",IF($B431="","EKSİK","TAM"))</f>
        <v/>
      </c>
    </row>
    <row r="432">
      <c r="F432" s="38">
        <f>IF($A432="","",IF($B432="","EKSİK","TAM"))</f>
        <v/>
      </c>
    </row>
    <row r="433">
      <c r="F433" s="38">
        <f>IF($A433="","",IF($B433="","EKSİK","TAM"))</f>
        <v/>
      </c>
    </row>
    <row r="434">
      <c r="F434" s="38">
        <f>IF($A434="","",IF($B434="","EKSİK","TAM"))</f>
        <v/>
      </c>
    </row>
    <row r="435">
      <c r="F435" s="38">
        <f>IF($A435="","",IF($B435="","EKSİK","TAM"))</f>
        <v/>
      </c>
    </row>
    <row r="436">
      <c r="F436" s="38">
        <f>IF($A436="","",IF($B436="","EKSİK","TAM"))</f>
        <v/>
      </c>
    </row>
    <row r="437">
      <c r="F437" s="38">
        <f>IF($A437="","",IF($B437="","EKSİK","TAM"))</f>
        <v/>
      </c>
    </row>
    <row r="438">
      <c r="F438" s="38">
        <f>IF($A438="","",IF($B438="","EKSİK","TAM"))</f>
        <v/>
      </c>
    </row>
    <row r="439">
      <c r="F439" s="38">
        <f>IF($A439="","",IF($B439="","EKSİK","TAM"))</f>
        <v/>
      </c>
    </row>
    <row r="440">
      <c r="F440" s="38">
        <f>IF($A440="","",IF($B440="","EKSİK","TAM"))</f>
        <v/>
      </c>
    </row>
    <row r="441">
      <c r="F441" s="38">
        <f>IF($A441="","",IF($B441="","EKSİK","TAM"))</f>
        <v/>
      </c>
    </row>
    <row r="442">
      <c r="F442" s="38">
        <f>IF($A442="","",IF($B442="","EKSİK","TAM"))</f>
        <v/>
      </c>
    </row>
    <row r="443">
      <c r="F443" s="38">
        <f>IF($A443="","",IF($B443="","EKSİK","TAM"))</f>
        <v/>
      </c>
    </row>
    <row r="444">
      <c r="F444" s="38">
        <f>IF($A444="","",IF($B444="","EKSİK","TAM"))</f>
        <v/>
      </c>
    </row>
    <row r="445">
      <c r="F445" s="38">
        <f>IF($A445="","",IF($B445="","EKSİK","TAM"))</f>
        <v/>
      </c>
    </row>
    <row r="446">
      <c r="F446" s="38">
        <f>IF($A446="","",IF($B446="","EKSİK","TAM"))</f>
        <v/>
      </c>
    </row>
    <row r="447">
      <c r="F447" s="38">
        <f>IF($A447="","",IF($B447="","EKSİK","TAM"))</f>
        <v/>
      </c>
    </row>
    <row r="448">
      <c r="F448" s="38">
        <f>IF($A448="","",IF($B448="","EKSİK","TAM"))</f>
        <v/>
      </c>
    </row>
    <row r="449">
      <c r="F449" s="38">
        <f>IF($A449="","",IF($B449="","EKSİK","TAM"))</f>
        <v/>
      </c>
    </row>
    <row r="450">
      <c r="F450" s="38">
        <f>IF($A450="","",IF($B450="","EKSİK","TAM"))</f>
        <v/>
      </c>
    </row>
    <row r="451">
      <c r="F451" s="38">
        <f>IF($A451="","",IF($B451="","EKSİK","TAM"))</f>
        <v/>
      </c>
    </row>
    <row r="452">
      <c r="F452" s="38">
        <f>IF($A452="","",IF($B452="","EKSİK","TAM"))</f>
        <v/>
      </c>
    </row>
    <row r="453">
      <c r="F453" s="38">
        <f>IF($A453="","",IF($B453="","EKSİK","TAM"))</f>
        <v/>
      </c>
    </row>
    <row r="454">
      <c r="F454" s="38">
        <f>IF($A454="","",IF($B454="","EKSİK","TAM"))</f>
        <v/>
      </c>
    </row>
    <row r="455">
      <c r="F455" s="38">
        <f>IF($A455="","",IF($B455="","EKSİK","TAM"))</f>
        <v/>
      </c>
    </row>
    <row r="456">
      <c r="F456" s="38">
        <f>IF($A456="","",IF($B456="","EKSİK","TAM"))</f>
        <v/>
      </c>
    </row>
    <row r="457">
      <c r="F457" s="38">
        <f>IF($A457="","",IF($B457="","EKSİK","TAM"))</f>
        <v/>
      </c>
    </row>
    <row r="458">
      <c r="F458" s="38">
        <f>IF($A458="","",IF($B458="","EKSİK","TAM"))</f>
        <v/>
      </c>
    </row>
    <row r="459">
      <c r="F459" s="38">
        <f>IF($A459="","",IF($B459="","EKSİK","TAM"))</f>
        <v/>
      </c>
    </row>
    <row r="460">
      <c r="F460" s="38">
        <f>IF($A460="","",IF($B460="","EKSİK","TAM"))</f>
        <v/>
      </c>
    </row>
    <row r="461">
      <c r="F461" s="38">
        <f>IF($A461="","",IF($B461="","EKSİK","TAM"))</f>
        <v/>
      </c>
    </row>
    <row r="462">
      <c r="F462" s="38">
        <f>IF($A462="","",IF($B462="","EKSİK","TAM"))</f>
        <v/>
      </c>
    </row>
    <row r="463">
      <c r="F463" s="38">
        <f>IF($A463="","",IF($B463="","EKSİK","TAM"))</f>
        <v/>
      </c>
    </row>
    <row r="464">
      <c r="F464" s="38">
        <f>IF($A464="","",IF($B464="","EKSİK","TAM"))</f>
        <v/>
      </c>
    </row>
    <row r="465">
      <c r="F465" s="38">
        <f>IF($A465="","",IF($B465="","EKSİK","TAM"))</f>
        <v/>
      </c>
    </row>
    <row r="466">
      <c r="F466" s="38">
        <f>IF($A466="","",IF($B466="","EKSİK","TAM"))</f>
        <v/>
      </c>
    </row>
    <row r="467">
      <c r="F467" s="38">
        <f>IF($A467="","",IF($B467="","EKSİK","TAM"))</f>
        <v/>
      </c>
    </row>
    <row r="468">
      <c r="F468" s="38">
        <f>IF($A468="","",IF($B468="","EKSİK","TAM"))</f>
        <v/>
      </c>
    </row>
    <row r="469">
      <c r="F469" s="38">
        <f>IF($A469="","",IF($B469="","EKSİK","TAM"))</f>
        <v/>
      </c>
    </row>
    <row r="470">
      <c r="F470" s="38">
        <f>IF($A470="","",IF($B470="","EKSİK","TAM"))</f>
        <v/>
      </c>
    </row>
    <row r="471">
      <c r="F471" s="38">
        <f>IF($A471="","",IF($B471="","EKSİK","TAM"))</f>
        <v/>
      </c>
    </row>
    <row r="472">
      <c r="F472" s="38">
        <f>IF($A472="","",IF($B472="","EKSİK","TAM"))</f>
        <v/>
      </c>
    </row>
    <row r="473">
      <c r="F473" s="38">
        <f>IF($A473="","",IF($B473="","EKSİK","TAM"))</f>
        <v/>
      </c>
    </row>
    <row r="474">
      <c r="F474" s="38">
        <f>IF($A474="","",IF($B474="","EKSİK","TAM"))</f>
        <v/>
      </c>
    </row>
    <row r="475">
      <c r="F475" s="38">
        <f>IF($A475="","",IF($B475="","EKSİK","TAM"))</f>
        <v/>
      </c>
    </row>
    <row r="476">
      <c r="F476" s="38">
        <f>IF($A476="","",IF($B476="","EKSİK","TAM"))</f>
        <v/>
      </c>
    </row>
    <row r="477">
      <c r="F477" s="38">
        <f>IF($A477="","",IF($B477="","EKSİK","TAM"))</f>
        <v/>
      </c>
    </row>
    <row r="478">
      <c r="F478" s="38">
        <f>IF($A478="","",IF($B478="","EKSİK","TAM"))</f>
        <v/>
      </c>
    </row>
    <row r="479">
      <c r="F479" s="38">
        <f>IF($A479="","",IF($B479="","EKSİK","TAM"))</f>
        <v/>
      </c>
    </row>
    <row r="480">
      <c r="F480" s="38">
        <f>IF($A480="","",IF($B480="","EKSİK","TAM"))</f>
        <v/>
      </c>
    </row>
    <row r="481">
      <c r="F481" s="38">
        <f>IF($A481="","",IF($B481="","EKSİK","TAM"))</f>
        <v/>
      </c>
    </row>
    <row r="482">
      <c r="F482" s="38">
        <f>IF($A482="","",IF($B482="","EKSİK","TAM"))</f>
        <v/>
      </c>
    </row>
    <row r="483">
      <c r="F483" s="38">
        <f>IF($A483="","",IF($B483="","EKSİK","TAM"))</f>
        <v/>
      </c>
    </row>
    <row r="484">
      <c r="F484" s="38">
        <f>IF($A484="","",IF($B484="","EKSİK","TAM"))</f>
        <v/>
      </c>
    </row>
    <row r="485">
      <c r="F485" s="38">
        <f>IF($A485="","",IF($B485="","EKSİK","TAM"))</f>
        <v/>
      </c>
    </row>
    <row r="486">
      <c r="F486" s="38">
        <f>IF($A486="","",IF($B486="","EKSİK","TAM"))</f>
        <v/>
      </c>
    </row>
    <row r="487">
      <c r="F487" s="38">
        <f>IF($A487="","",IF($B487="","EKSİK","TAM"))</f>
        <v/>
      </c>
    </row>
    <row r="488">
      <c r="F488" s="38">
        <f>IF($A488="","",IF($B488="","EKSİK","TAM"))</f>
        <v/>
      </c>
    </row>
    <row r="489">
      <c r="F489" s="38">
        <f>IF($A489="","",IF($B489="","EKSİK","TAM"))</f>
        <v/>
      </c>
    </row>
    <row r="490">
      <c r="F490" s="38">
        <f>IF($A490="","",IF($B490="","EKSİK","TAM"))</f>
        <v/>
      </c>
    </row>
    <row r="491">
      <c r="F491" s="38">
        <f>IF($A491="","",IF($B491="","EKSİK","TAM"))</f>
        <v/>
      </c>
    </row>
    <row r="492">
      <c r="F492" s="38">
        <f>IF($A492="","",IF($B492="","EKSİK","TAM"))</f>
        <v/>
      </c>
    </row>
    <row r="493">
      <c r="F493" s="38">
        <f>IF($A493="","",IF($B493="","EKSİK","TAM"))</f>
        <v/>
      </c>
    </row>
    <row r="494">
      <c r="F494" s="38">
        <f>IF($A494="","",IF($B494="","EKSİK","TAM"))</f>
        <v/>
      </c>
    </row>
    <row r="495">
      <c r="F495" s="38">
        <f>IF($A495="","",IF($B495="","EKSİK","TAM"))</f>
        <v/>
      </c>
    </row>
    <row r="496">
      <c r="F496" s="38">
        <f>IF($A496="","",IF($B496="","EKSİK","TAM"))</f>
        <v/>
      </c>
    </row>
    <row r="497">
      <c r="F497" s="38">
        <f>IF($A497="","",IF($B497="","EKSİK","TAM"))</f>
        <v/>
      </c>
    </row>
    <row r="498">
      <c r="F498" s="38">
        <f>IF($A498="","",IF($B498="","EKSİK","TAM"))</f>
        <v/>
      </c>
    </row>
    <row r="499">
      <c r="F499" s="38">
        <f>IF($A499="","",IF($B499="","EKSİK","TAM"))</f>
        <v/>
      </c>
    </row>
    <row r="500">
      <c r="F500" s="38">
        <f>IF($A500="","",IF($B500="","EKSİK","TAM"))</f>
        <v/>
      </c>
    </row>
    <row r="501">
      <c r="F501" s="38">
        <f>IF($A501="","",IF($B501="","EKSİK","TAM"))</f>
        <v/>
      </c>
    </row>
    <row r="502">
      <c r="F502" s="38">
        <f>IF($A502="","",IF($B502="","EKSİK","TAM"))</f>
        <v/>
      </c>
    </row>
    <row r="503">
      <c r="F503" s="38">
        <f>IF($A503="","",IF($B503="","EKSİK","TAM"))</f>
        <v/>
      </c>
    </row>
    <row r="504">
      <c r="F504" s="38">
        <f>IF($A504="","",IF($B504="","EKSİK","TAM"))</f>
        <v/>
      </c>
    </row>
    <row r="505">
      <c r="F505" s="38">
        <f>IF($A505="","",IF($B505="","EKSİK","TAM"))</f>
        <v/>
      </c>
    </row>
    <row r="506">
      <c r="F506" s="38">
        <f>IF($A506="","",IF($B506="","EKSİK","TAM"))</f>
        <v/>
      </c>
    </row>
    <row r="507">
      <c r="F507" s="38">
        <f>IF($A507="","",IF($B507="","EKSİK","TAM"))</f>
        <v/>
      </c>
    </row>
    <row r="508">
      <c r="F508" s="38">
        <f>IF($A508="","",IF($B508="","EKSİK","TAM"))</f>
        <v/>
      </c>
    </row>
    <row r="509">
      <c r="F509" s="38">
        <f>IF($A509="","",IF($B509="","EKSİK","TAM"))</f>
        <v/>
      </c>
    </row>
    <row r="510">
      <c r="F510" s="38">
        <f>IF($A510="","",IF($B510="","EKSİK","TAM"))</f>
        <v/>
      </c>
    </row>
    <row r="511">
      <c r="F511" s="38">
        <f>IF($A511="","",IF($B511="","EKSİK","TAM"))</f>
        <v/>
      </c>
    </row>
    <row r="512">
      <c r="F512" s="38">
        <f>IF($A512="","",IF($B512="","EKSİK","TAM"))</f>
        <v/>
      </c>
    </row>
    <row r="513">
      <c r="F513" s="38">
        <f>IF($A513="","",IF($B513="","EKSİK","TAM"))</f>
        <v/>
      </c>
    </row>
    <row r="514">
      <c r="F514" s="38">
        <f>IF($A514="","",IF($B514="","EKSİK","TAM"))</f>
        <v/>
      </c>
    </row>
    <row r="515">
      <c r="F515" s="38">
        <f>IF($A515="","",IF($B515="","EKSİK","TAM"))</f>
        <v/>
      </c>
    </row>
    <row r="516">
      <c r="F516" s="38">
        <f>IF($A516="","",IF($B516="","EKSİK","TAM"))</f>
        <v/>
      </c>
    </row>
    <row r="517">
      <c r="F517" s="38">
        <f>IF($A517="","",IF($B517="","EKSİK","TAM"))</f>
        <v/>
      </c>
    </row>
    <row r="518">
      <c r="F518" s="38">
        <f>IF($A518="","",IF($B518="","EKSİK","TAM"))</f>
        <v/>
      </c>
    </row>
    <row r="519">
      <c r="F519" s="38">
        <f>IF($A519="","",IF($B519="","EKSİK","TAM"))</f>
        <v/>
      </c>
    </row>
    <row r="520">
      <c r="F520" s="38">
        <f>IF($A520="","",IF($B520="","EKSİK","TAM"))</f>
        <v/>
      </c>
    </row>
    <row r="521">
      <c r="F521" s="38">
        <f>IF($A521="","",IF($B521="","EKSİK","TAM"))</f>
        <v/>
      </c>
    </row>
    <row r="522">
      <c r="F522" s="38">
        <f>IF($A522="","",IF($B522="","EKSİK","TAM"))</f>
        <v/>
      </c>
    </row>
    <row r="523">
      <c r="F523" s="38">
        <f>IF($A523="","",IF($B523="","EKSİK","TAM"))</f>
        <v/>
      </c>
    </row>
    <row r="524">
      <c r="F524" s="38">
        <f>IF($A524="","",IF($B524="","EKSİK","TAM"))</f>
        <v/>
      </c>
    </row>
    <row r="525">
      <c r="F525" s="38">
        <f>IF($A525="","",IF($B525="","EKSİK","TAM"))</f>
        <v/>
      </c>
    </row>
    <row r="526">
      <c r="F526" s="38">
        <f>IF($A526="","",IF($B526="","EKSİK","TAM"))</f>
        <v/>
      </c>
    </row>
    <row r="527">
      <c r="F527" s="38">
        <f>IF($A527="","",IF($B527="","EKSİK","TAM"))</f>
        <v/>
      </c>
    </row>
    <row r="528">
      <c r="F528" s="38">
        <f>IF($A528="","",IF($B528="","EKSİK","TAM"))</f>
        <v/>
      </c>
    </row>
    <row r="529">
      <c r="F529" s="38">
        <f>IF($A529="","",IF($B529="","EKSİK","TAM"))</f>
        <v/>
      </c>
    </row>
    <row r="530">
      <c r="F530" s="38">
        <f>IF($A530="","",IF($B530="","EKSİK","TAM"))</f>
        <v/>
      </c>
    </row>
    <row r="531">
      <c r="F531" s="38">
        <f>IF($A531="","",IF($B531="","EKSİK","TAM"))</f>
        <v/>
      </c>
    </row>
    <row r="532">
      <c r="F532" s="38">
        <f>IF($A532="","",IF($B532="","EKSİK","TAM"))</f>
        <v/>
      </c>
    </row>
    <row r="533">
      <c r="F533" s="38">
        <f>IF($A533="","",IF($B533="","EKSİK","TAM"))</f>
        <v/>
      </c>
    </row>
    <row r="534">
      <c r="F534" s="38">
        <f>IF($A534="","",IF($B534="","EKSİK","TAM"))</f>
        <v/>
      </c>
    </row>
    <row r="535">
      <c r="F535" s="38">
        <f>IF($A535="","",IF($B535="","EKSİK","TAM"))</f>
        <v/>
      </c>
    </row>
    <row r="536">
      <c r="F536" s="38">
        <f>IF($A536="","",IF($B536="","EKSİK","TAM"))</f>
        <v/>
      </c>
    </row>
    <row r="537">
      <c r="F537" s="38">
        <f>IF($A537="","",IF($B537="","EKSİK","TAM"))</f>
        <v/>
      </c>
    </row>
    <row r="538">
      <c r="F538" s="38">
        <f>IF($A538="","",IF($B538="","EKSİK","TAM"))</f>
        <v/>
      </c>
    </row>
    <row r="539">
      <c r="F539" s="38">
        <f>IF($A539="","",IF($B539="","EKSİK","TAM"))</f>
        <v/>
      </c>
    </row>
    <row r="540">
      <c r="F540" s="38">
        <f>IF($A540="","",IF($B540="","EKSİK","TAM"))</f>
        <v/>
      </c>
    </row>
    <row r="541">
      <c r="F541" s="38">
        <f>IF($A541="","",IF($B541="","EKSİK","TAM"))</f>
        <v/>
      </c>
    </row>
    <row r="542">
      <c r="F542" s="38">
        <f>IF($A542="","",IF($B542="","EKSİK","TAM"))</f>
        <v/>
      </c>
    </row>
    <row r="543">
      <c r="F543" s="38">
        <f>IF($A543="","",IF($B543="","EKSİK","TAM"))</f>
        <v/>
      </c>
    </row>
    <row r="544">
      <c r="F544" s="38">
        <f>IF($A544="","",IF($B544="","EKSİK","TAM"))</f>
        <v/>
      </c>
    </row>
    <row r="545">
      <c r="F545" s="38">
        <f>IF($A545="","",IF($B545="","EKSİK","TAM"))</f>
        <v/>
      </c>
    </row>
    <row r="546">
      <c r="F546" s="38">
        <f>IF($A546="","",IF($B546="","EKSİK","TAM"))</f>
        <v/>
      </c>
    </row>
    <row r="547">
      <c r="F547" s="38">
        <f>IF($A547="","",IF($B547="","EKSİK","TAM"))</f>
        <v/>
      </c>
    </row>
    <row r="548">
      <c r="F548" s="38">
        <f>IF($A548="","",IF($B548="","EKSİK","TAM"))</f>
        <v/>
      </c>
    </row>
    <row r="549">
      <c r="F549" s="38">
        <f>IF($A549="","",IF($B549="","EKSİK","TAM"))</f>
        <v/>
      </c>
    </row>
    <row r="550">
      <c r="F550" s="38">
        <f>IF($A550="","",IF($B550="","EKSİK","TAM"))</f>
        <v/>
      </c>
    </row>
    <row r="551">
      <c r="F551" s="38">
        <f>IF($A551="","",IF($B551="","EKSİK","TAM"))</f>
        <v/>
      </c>
    </row>
    <row r="552">
      <c r="F552" s="38">
        <f>IF($A552="","",IF($B552="","EKSİK","TAM"))</f>
        <v/>
      </c>
    </row>
    <row r="553">
      <c r="F553" s="38">
        <f>IF($A553="","",IF($B553="","EKSİK","TAM"))</f>
        <v/>
      </c>
    </row>
    <row r="554">
      <c r="F554" s="38">
        <f>IF($A554="","",IF($B554="","EKSİK","TAM"))</f>
        <v/>
      </c>
    </row>
    <row r="555">
      <c r="F555" s="38">
        <f>IF($A555="","",IF($B555="","EKSİK","TAM"))</f>
        <v/>
      </c>
    </row>
    <row r="556">
      <c r="F556" s="38">
        <f>IF($A556="","",IF($B556="","EKSİK","TAM"))</f>
        <v/>
      </c>
    </row>
    <row r="557">
      <c r="F557" s="38">
        <f>IF($A557="","",IF($B557="","EKSİK","TAM"))</f>
        <v/>
      </c>
    </row>
    <row r="558">
      <c r="F558" s="38">
        <f>IF($A558="","",IF($B558="","EKSİK","TAM"))</f>
        <v/>
      </c>
    </row>
    <row r="559">
      <c r="F559" s="38">
        <f>IF($A559="","",IF($B559="","EKSİK","TAM"))</f>
        <v/>
      </c>
    </row>
    <row r="560">
      <c r="F560" s="38">
        <f>IF($A560="","",IF($B560="","EKSİK","TAM"))</f>
        <v/>
      </c>
    </row>
    <row r="561">
      <c r="F561" s="38">
        <f>IF($A561="","",IF($B561="","EKSİK","TAM"))</f>
        <v/>
      </c>
    </row>
    <row r="562">
      <c r="F562" s="38">
        <f>IF($A562="","",IF($B562="","EKSİK","TAM"))</f>
        <v/>
      </c>
    </row>
    <row r="563">
      <c r="F563" s="38">
        <f>IF($A563="","",IF($B563="","EKSİK","TAM"))</f>
        <v/>
      </c>
    </row>
    <row r="564">
      <c r="F564" s="38">
        <f>IF($A564="","",IF($B564="","EKSİK","TAM"))</f>
        <v/>
      </c>
    </row>
    <row r="565">
      <c r="F565" s="38">
        <f>IF($A565="","",IF($B565="","EKSİK","TAM"))</f>
        <v/>
      </c>
    </row>
    <row r="566">
      <c r="F566" s="38">
        <f>IF($A566="","",IF($B566="","EKSİK","TAM"))</f>
        <v/>
      </c>
    </row>
    <row r="567">
      <c r="F567" s="38">
        <f>IF($A567="","",IF($B567="","EKSİK","TAM"))</f>
        <v/>
      </c>
    </row>
    <row r="568">
      <c r="F568" s="38">
        <f>IF($A568="","",IF($B568="","EKSİK","TAM"))</f>
        <v/>
      </c>
    </row>
    <row r="569">
      <c r="F569" s="38">
        <f>IF($A569="","",IF($B569="","EKSİK","TAM"))</f>
        <v/>
      </c>
    </row>
    <row r="570">
      <c r="F570" s="38">
        <f>IF($A570="","",IF($B570="","EKSİK","TAM"))</f>
        <v/>
      </c>
    </row>
    <row r="571">
      <c r="F571" s="38">
        <f>IF($A571="","",IF($B571="","EKSİK","TAM"))</f>
        <v/>
      </c>
    </row>
    <row r="572">
      <c r="F572" s="38">
        <f>IF($A572="","",IF($B572="","EKSİK","TAM"))</f>
        <v/>
      </c>
    </row>
    <row r="573">
      <c r="F573" s="38">
        <f>IF($A573="","",IF($B573="","EKSİK","TAM"))</f>
        <v/>
      </c>
    </row>
    <row r="574">
      <c r="F574" s="38">
        <f>IF($A574="","",IF($B574="","EKSİK","TAM"))</f>
        <v/>
      </c>
    </row>
    <row r="575">
      <c r="F575" s="38">
        <f>IF($A575="","",IF($B575="","EKSİK","TAM"))</f>
        <v/>
      </c>
    </row>
    <row r="576">
      <c r="F576" s="38">
        <f>IF($A576="","",IF($B576="","EKSİK","TAM"))</f>
        <v/>
      </c>
    </row>
    <row r="577">
      <c r="F577" s="38">
        <f>IF($A577="","",IF($B577="","EKSİK","TAM"))</f>
        <v/>
      </c>
    </row>
    <row r="578">
      <c r="F578" s="38">
        <f>IF($A578="","",IF($B578="","EKSİK","TAM"))</f>
        <v/>
      </c>
    </row>
    <row r="579">
      <c r="F579" s="38">
        <f>IF($A579="","",IF($B579="","EKSİK","TAM"))</f>
        <v/>
      </c>
    </row>
    <row r="580">
      <c r="F580" s="38">
        <f>IF($A580="","",IF($B580="","EKSİK","TAM"))</f>
        <v/>
      </c>
    </row>
    <row r="581">
      <c r="F581" s="38">
        <f>IF($A581="","",IF($B581="","EKSİK","TAM"))</f>
        <v/>
      </c>
    </row>
    <row r="582">
      <c r="F582" s="38">
        <f>IF($A582="","",IF($B582="","EKSİK","TAM"))</f>
        <v/>
      </c>
    </row>
    <row r="583">
      <c r="F583" s="38">
        <f>IF($A583="","",IF($B583="","EKSİK","TAM"))</f>
        <v/>
      </c>
    </row>
    <row r="584">
      <c r="F584" s="38">
        <f>IF($A584="","",IF($B584="","EKSİK","TAM"))</f>
        <v/>
      </c>
    </row>
    <row r="585">
      <c r="F585" s="38">
        <f>IF($A585="","",IF($B585="","EKSİK","TAM"))</f>
        <v/>
      </c>
    </row>
    <row r="586">
      <c r="F586" s="38">
        <f>IF($A586="","",IF($B586="","EKSİK","TAM"))</f>
        <v/>
      </c>
    </row>
    <row r="587">
      <c r="F587" s="38">
        <f>IF($A587="","",IF($B587="","EKSİK","TAM"))</f>
        <v/>
      </c>
    </row>
    <row r="588">
      <c r="F588" s="38">
        <f>IF($A588="","",IF($B588="","EKSİK","TAM"))</f>
        <v/>
      </c>
    </row>
    <row r="589">
      <c r="F589" s="38">
        <f>IF($A589="","",IF($B589="","EKSİK","TAM"))</f>
        <v/>
      </c>
    </row>
    <row r="590">
      <c r="F590" s="38">
        <f>IF($A590="","",IF($B590="","EKSİK","TAM"))</f>
        <v/>
      </c>
    </row>
    <row r="591">
      <c r="F591" s="38">
        <f>IF($A591="","",IF($B591="","EKSİK","TAM"))</f>
        <v/>
      </c>
    </row>
    <row r="592">
      <c r="F592" s="38">
        <f>IF($A592="","",IF($B592="","EKSİK","TAM"))</f>
        <v/>
      </c>
    </row>
    <row r="593">
      <c r="F593" s="38">
        <f>IF($A593="","",IF($B593="","EKSİK","TAM"))</f>
        <v/>
      </c>
    </row>
    <row r="594">
      <c r="F594" s="38">
        <f>IF($A594="","",IF($B594="","EKSİK","TAM"))</f>
        <v/>
      </c>
    </row>
    <row r="595">
      <c r="F595" s="38">
        <f>IF($A595="","",IF($B595="","EKSİK","TAM"))</f>
        <v/>
      </c>
    </row>
    <row r="596">
      <c r="F596" s="38">
        <f>IF($A596="","",IF($B596="","EKSİK","TAM"))</f>
        <v/>
      </c>
    </row>
    <row r="597">
      <c r="F597" s="38">
        <f>IF($A597="","",IF($B597="","EKSİK","TAM"))</f>
        <v/>
      </c>
    </row>
    <row r="598">
      <c r="F598" s="38">
        <f>IF($A598="","",IF($B598="","EKSİK","TAM"))</f>
        <v/>
      </c>
    </row>
    <row r="599">
      <c r="F599" s="38">
        <f>IF($A599="","",IF($B599="","EKSİK","TAM"))</f>
        <v/>
      </c>
    </row>
    <row r="600">
      <c r="F600" s="38">
        <f>IF($A600="","",IF($B600="","EKSİK","TAM"))</f>
        <v/>
      </c>
    </row>
    <row r="601">
      <c r="F601" s="38">
        <f>IF($A601="","",IF($B601="","EKSİK","TAM"))</f>
        <v/>
      </c>
    </row>
    <row r="602">
      <c r="F602" s="38">
        <f>IF($A602="","",IF($B602="","EKSİK","TAM"))</f>
        <v/>
      </c>
    </row>
    <row r="603">
      <c r="F603" s="38">
        <f>IF($A603="","",IF($B603="","EKSİK","TAM"))</f>
        <v/>
      </c>
    </row>
    <row r="604">
      <c r="F604" s="38">
        <f>IF($A604="","",IF($B604="","EKSİK","TAM"))</f>
        <v/>
      </c>
    </row>
    <row r="605">
      <c r="F605" s="38">
        <f>IF($A605="","",IF($B605="","EKSİK","TAM"))</f>
        <v/>
      </c>
    </row>
    <row r="606">
      <c r="F606" s="38">
        <f>IF($A606="","",IF($B606="","EKSİK","TAM"))</f>
        <v/>
      </c>
    </row>
    <row r="607">
      <c r="F607" s="38">
        <f>IF($A607="","",IF($B607="","EKSİK","TAM"))</f>
        <v/>
      </c>
    </row>
    <row r="608">
      <c r="F608" s="38">
        <f>IF($A608="","",IF($B608="","EKSİK","TAM"))</f>
        <v/>
      </c>
    </row>
    <row r="609">
      <c r="F609" s="38">
        <f>IF($A609="","",IF($B609="","EKSİK","TAM"))</f>
        <v/>
      </c>
    </row>
    <row r="610">
      <c r="F610" s="38">
        <f>IF($A610="","",IF($B610="","EKSİK","TAM"))</f>
        <v/>
      </c>
    </row>
    <row r="611">
      <c r="F611" s="38">
        <f>IF($A611="","",IF($B611="","EKSİK","TAM"))</f>
        <v/>
      </c>
    </row>
    <row r="612">
      <c r="F612" s="38">
        <f>IF($A612="","",IF($B612="","EKSİK","TAM"))</f>
        <v/>
      </c>
    </row>
    <row r="613">
      <c r="F613" s="38">
        <f>IF($A613="","",IF($B613="","EKSİK","TAM"))</f>
        <v/>
      </c>
    </row>
    <row r="614">
      <c r="F614" s="38">
        <f>IF($A614="","",IF($B614="","EKSİK","TAM"))</f>
        <v/>
      </c>
    </row>
    <row r="615">
      <c r="F615" s="38">
        <f>IF($A615="","",IF($B615="","EKSİK","TAM"))</f>
        <v/>
      </c>
    </row>
    <row r="616">
      <c r="F616" s="38">
        <f>IF($A616="","",IF($B616="","EKSİK","TAM"))</f>
        <v/>
      </c>
    </row>
    <row r="617">
      <c r="F617" s="38">
        <f>IF($A617="","",IF($B617="","EKSİK","TAM"))</f>
        <v/>
      </c>
    </row>
    <row r="618">
      <c r="F618" s="38">
        <f>IF($A618="","",IF($B618="","EKSİK","TAM"))</f>
        <v/>
      </c>
    </row>
    <row r="619">
      <c r="F619" s="38">
        <f>IF($A619="","",IF($B619="","EKSİK","TAM"))</f>
        <v/>
      </c>
    </row>
    <row r="620">
      <c r="F620" s="38">
        <f>IF($A620="","",IF($B620="","EKSİK","TAM"))</f>
        <v/>
      </c>
    </row>
    <row r="621">
      <c r="F621" s="38">
        <f>IF($A621="","",IF($B621="","EKSİK","TAM"))</f>
        <v/>
      </c>
    </row>
    <row r="622">
      <c r="F622" s="38">
        <f>IF($A622="","",IF($B622="","EKSİK","TAM"))</f>
        <v/>
      </c>
    </row>
    <row r="623">
      <c r="F623" s="38">
        <f>IF($A623="","",IF($B623="","EKSİK","TAM"))</f>
        <v/>
      </c>
    </row>
    <row r="624">
      <c r="F624" s="38">
        <f>IF($A624="","",IF($B624="","EKSİK","TAM"))</f>
        <v/>
      </c>
    </row>
    <row r="625">
      <c r="F625" s="38">
        <f>IF($A625="","",IF($B625="","EKSİK","TAM"))</f>
        <v/>
      </c>
    </row>
    <row r="626">
      <c r="F626" s="38">
        <f>IF($A626="","",IF($B626="","EKSİK","TAM"))</f>
        <v/>
      </c>
    </row>
    <row r="627">
      <c r="F627" s="38">
        <f>IF($A627="","",IF($B627="","EKSİK","TAM"))</f>
        <v/>
      </c>
    </row>
    <row r="628">
      <c r="F628" s="38">
        <f>IF($A628="","",IF($B628="","EKSİK","TAM"))</f>
        <v/>
      </c>
    </row>
    <row r="629">
      <c r="F629" s="38">
        <f>IF($A629="","",IF($B629="","EKSİK","TAM"))</f>
        <v/>
      </c>
    </row>
    <row r="630">
      <c r="F630" s="38">
        <f>IF($A630="","",IF($B630="","EKSİK","TAM"))</f>
        <v/>
      </c>
    </row>
    <row r="631">
      <c r="F631" s="38">
        <f>IF($A631="","",IF($B631="","EKSİK","TAM"))</f>
        <v/>
      </c>
    </row>
    <row r="632">
      <c r="F632" s="38">
        <f>IF($A632="","",IF($B632="","EKSİK","TAM"))</f>
        <v/>
      </c>
    </row>
    <row r="633">
      <c r="F633" s="38">
        <f>IF($A633="","",IF($B633="","EKSİK","TAM"))</f>
        <v/>
      </c>
    </row>
    <row r="634">
      <c r="F634" s="38">
        <f>IF($A634="","",IF($B634="","EKSİK","TAM"))</f>
        <v/>
      </c>
    </row>
    <row r="635">
      <c r="F635" s="38">
        <f>IF($A635="","",IF($B635="","EKSİK","TAM"))</f>
        <v/>
      </c>
    </row>
    <row r="636">
      <c r="F636" s="38">
        <f>IF($A636="","",IF($B636="","EKSİK","TAM"))</f>
        <v/>
      </c>
    </row>
    <row r="637">
      <c r="F637" s="38">
        <f>IF($A637="","",IF($B637="","EKSİK","TAM"))</f>
        <v/>
      </c>
    </row>
    <row r="638">
      <c r="F638" s="38">
        <f>IF($A638="","",IF($B638="","EKSİK","TAM"))</f>
        <v/>
      </c>
    </row>
    <row r="639">
      <c r="F639" s="38">
        <f>IF($A639="","",IF($B639="","EKSİK","TAM"))</f>
        <v/>
      </c>
    </row>
    <row r="640">
      <c r="F640" s="38">
        <f>IF($A640="","",IF($B640="","EKSİK","TAM"))</f>
        <v/>
      </c>
    </row>
    <row r="641">
      <c r="F641" s="38">
        <f>IF($A641="","",IF($B641="","EKSİK","TAM"))</f>
        <v/>
      </c>
    </row>
    <row r="642">
      <c r="F642" s="38">
        <f>IF($A642="","",IF($B642="","EKSİK","TAM"))</f>
        <v/>
      </c>
    </row>
    <row r="643">
      <c r="F643" s="38">
        <f>IF($A643="","",IF($B643="","EKSİK","TAM"))</f>
        <v/>
      </c>
    </row>
    <row r="644">
      <c r="F644" s="38">
        <f>IF($A644="","",IF($B644="","EKSİK","TAM"))</f>
        <v/>
      </c>
    </row>
    <row r="645">
      <c r="F645" s="38">
        <f>IF($A645="","",IF($B645="","EKSİK","TAM"))</f>
        <v/>
      </c>
    </row>
    <row r="646">
      <c r="F646" s="38">
        <f>IF($A646="","",IF($B646="","EKSİK","TAM"))</f>
        <v/>
      </c>
    </row>
    <row r="647">
      <c r="F647" s="38">
        <f>IF($A647="","",IF($B647="","EKSİK","TAM"))</f>
        <v/>
      </c>
    </row>
    <row r="648">
      <c r="F648" s="38">
        <f>IF($A648="","",IF($B648="","EKSİK","TAM"))</f>
        <v/>
      </c>
    </row>
    <row r="649">
      <c r="F649" s="38">
        <f>IF($A649="","",IF($B649="","EKSİK","TAM"))</f>
        <v/>
      </c>
    </row>
    <row r="650">
      <c r="F650" s="38">
        <f>IF($A650="","",IF($B650="","EKSİK","TAM"))</f>
        <v/>
      </c>
    </row>
    <row r="651">
      <c r="F651" s="38">
        <f>IF($A651="","",IF($B651="","EKSİK","TAM"))</f>
        <v/>
      </c>
    </row>
    <row r="652">
      <c r="F652" s="38">
        <f>IF($A652="","",IF($B652="","EKSİK","TAM"))</f>
        <v/>
      </c>
    </row>
    <row r="653">
      <c r="F653" s="38">
        <f>IF($A653="","",IF($B653="","EKSİK","TAM"))</f>
        <v/>
      </c>
    </row>
    <row r="654">
      <c r="F654" s="38">
        <f>IF($A654="","",IF($B654="","EKSİK","TAM"))</f>
        <v/>
      </c>
    </row>
    <row r="655">
      <c r="F655" s="38">
        <f>IF($A655="","",IF($B655="","EKSİK","TAM"))</f>
        <v/>
      </c>
    </row>
    <row r="656">
      <c r="F656" s="38">
        <f>IF($A656="","",IF($B656="","EKSİK","TAM"))</f>
        <v/>
      </c>
    </row>
    <row r="657">
      <c r="F657" s="38">
        <f>IF($A657="","",IF($B657="","EKSİK","TAM"))</f>
        <v/>
      </c>
    </row>
    <row r="658">
      <c r="F658" s="38">
        <f>IF($A658="","",IF($B658="","EKSİK","TAM"))</f>
        <v/>
      </c>
    </row>
    <row r="659">
      <c r="F659" s="38">
        <f>IF($A659="","",IF($B659="","EKSİK","TAM"))</f>
        <v/>
      </c>
    </row>
    <row r="660">
      <c r="F660" s="38">
        <f>IF($A660="","",IF($B660="","EKSİK","TAM"))</f>
        <v/>
      </c>
    </row>
    <row r="661">
      <c r="F661" s="38">
        <f>IF($A661="","",IF($B661="","EKSİK","TAM"))</f>
        <v/>
      </c>
    </row>
    <row r="662">
      <c r="F662" s="38">
        <f>IF($A662="","",IF($B662="","EKSİK","TAM"))</f>
        <v/>
      </c>
    </row>
    <row r="663">
      <c r="F663" s="38">
        <f>IF($A663="","",IF($B663="","EKSİK","TAM"))</f>
        <v/>
      </c>
    </row>
    <row r="664">
      <c r="F664" s="38">
        <f>IF($A664="","",IF($B664="","EKSİK","TAM"))</f>
        <v/>
      </c>
    </row>
    <row r="665">
      <c r="F665" s="38">
        <f>IF($A665="","",IF($B665="","EKSİK","TAM"))</f>
        <v/>
      </c>
    </row>
    <row r="666">
      <c r="F666" s="38">
        <f>IF($A666="","",IF($B666="","EKSİK","TAM"))</f>
        <v/>
      </c>
    </row>
    <row r="667">
      <c r="F667" s="38">
        <f>IF($A667="","",IF($B667="","EKSİK","TAM"))</f>
        <v/>
      </c>
    </row>
    <row r="668">
      <c r="F668" s="38">
        <f>IF($A668="","",IF($B668="","EKSİK","TAM"))</f>
        <v/>
      </c>
    </row>
    <row r="669">
      <c r="F669" s="38">
        <f>IF($A669="","",IF($B669="","EKSİK","TAM"))</f>
        <v/>
      </c>
    </row>
    <row r="670">
      <c r="F670" s="38">
        <f>IF($A670="","",IF($B670="","EKSİK","TAM"))</f>
        <v/>
      </c>
    </row>
    <row r="671">
      <c r="F671" s="38">
        <f>IF($A671="","",IF($B671="","EKSİK","TAM"))</f>
        <v/>
      </c>
    </row>
    <row r="672">
      <c r="F672" s="38">
        <f>IF($A672="","",IF($B672="","EKSİK","TAM"))</f>
        <v/>
      </c>
    </row>
    <row r="673">
      <c r="F673" s="38">
        <f>IF($A673="","",IF($B673="","EKSİK","TAM"))</f>
        <v/>
      </c>
    </row>
    <row r="674">
      <c r="F674" s="38">
        <f>IF($A674="","",IF($B674="","EKSİK","TAM"))</f>
        <v/>
      </c>
    </row>
    <row r="675">
      <c r="F675" s="38">
        <f>IF($A675="","",IF($B675="","EKSİK","TAM"))</f>
        <v/>
      </c>
    </row>
    <row r="676">
      <c r="F676" s="38">
        <f>IF($A676="","",IF($B676="","EKSİK","TAM"))</f>
        <v/>
      </c>
    </row>
    <row r="677">
      <c r="F677" s="38">
        <f>IF($A677="","",IF($B677="","EKSİK","TAM"))</f>
        <v/>
      </c>
    </row>
    <row r="678">
      <c r="F678" s="38">
        <f>IF($A678="","",IF($B678="","EKSİK","TAM"))</f>
        <v/>
      </c>
    </row>
    <row r="679">
      <c r="F679" s="38">
        <f>IF($A679="","",IF($B679="","EKSİK","TAM"))</f>
        <v/>
      </c>
    </row>
    <row r="680">
      <c r="F680" s="38">
        <f>IF($A680="","",IF($B680="","EKSİK","TAM"))</f>
        <v/>
      </c>
    </row>
    <row r="681">
      <c r="F681" s="38">
        <f>IF($A681="","",IF($B681="","EKSİK","TAM"))</f>
        <v/>
      </c>
    </row>
    <row r="682">
      <c r="F682" s="38">
        <f>IF($A682="","",IF($B682="","EKSİK","TAM"))</f>
        <v/>
      </c>
    </row>
    <row r="683">
      <c r="F683" s="38">
        <f>IF($A683="","",IF($B683="","EKSİK","TAM"))</f>
        <v/>
      </c>
    </row>
    <row r="684">
      <c r="F684" s="38">
        <f>IF($A684="","",IF($B684="","EKSİK","TAM"))</f>
        <v/>
      </c>
    </row>
    <row r="685">
      <c r="F685" s="38">
        <f>IF($A685="","",IF($B685="","EKSİK","TAM"))</f>
        <v/>
      </c>
    </row>
    <row r="686">
      <c r="F686" s="38">
        <f>IF($A686="","",IF($B686="","EKSİK","TAM"))</f>
        <v/>
      </c>
    </row>
    <row r="687">
      <c r="F687" s="38">
        <f>IF($A687="","",IF($B687="","EKSİK","TAM"))</f>
        <v/>
      </c>
    </row>
    <row r="688">
      <c r="F688" s="38">
        <f>IF($A688="","",IF($B688="","EKSİK","TAM"))</f>
        <v/>
      </c>
    </row>
    <row r="689">
      <c r="F689" s="38">
        <f>IF($A689="","",IF($B689="","EKSİK","TAM"))</f>
        <v/>
      </c>
    </row>
    <row r="690">
      <c r="F690" s="38">
        <f>IF($A690="","",IF($B690="","EKSİK","TAM"))</f>
        <v/>
      </c>
    </row>
    <row r="691">
      <c r="F691" s="38">
        <f>IF($A691="","",IF($B691="","EKSİK","TAM"))</f>
        <v/>
      </c>
    </row>
    <row r="692">
      <c r="F692" s="38">
        <f>IF($A692="","",IF($B692="","EKSİK","TAM"))</f>
        <v/>
      </c>
    </row>
    <row r="693">
      <c r="F693" s="38">
        <f>IF($A693="","",IF($B693="","EKSİK","TAM"))</f>
        <v/>
      </c>
    </row>
    <row r="694">
      <c r="F694" s="38">
        <f>IF($A694="","",IF($B694="","EKSİK","TAM"))</f>
        <v/>
      </c>
    </row>
    <row r="695">
      <c r="F695" s="38">
        <f>IF($A695="","",IF($B695="","EKSİK","TAM"))</f>
        <v/>
      </c>
    </row>
    <row r="696">
      <c r="F696" s="38">
        <f>IF($A696="","",IF($B696="","EKSİK","TAM"))</f>
        <v/>
      </c>
    </row>
    <row r="697">
      <c r="F697" s="38">
        <f>IF($A697="","",IF($B697="","EKSİK","TAM"))</f>
        <v/>
      </c>
    </row>
    <row r="698">
      <c r="F698" s="38">
        <f>IF($A698="","",IF($B698="","EKSİK","TAM"))</f>
        <v/>
      </c>
    </row>
    <row r="699">
      <c r="F699" s="38">
        <f>IF($A699="","",IF($B699="","EKSİK","TAM"))</f>
        <v/>
      </c>
    </row>
    <row r="700">
      <c r="F700" s="38">
        <f>IF($A700="","",IF($B700="","EKSİK","TAM"))</f>
        <v/>
      </c>
    </row>
    <row r="701">
      <c r="F701" s="38">
        <f>IF($A701="","",IF($B701="","EKSİK","TAM"))</f>
        <v/>
      </c>
    </row>
    <row r="702">
      <c r="F702" s="38">
        <f>IF($A702="","",IF($B702="","EKSİK","TAM"))</f>
        <v/>
      </c>
    </row>
    <row r="703">
      <c r="F703" s="38">
        <f>IF($A703="","",IF($B703="","EKSİK","TAM"))</f>
        <v/>
      </c>
    </row>
    <row r="704">
      <c r="F704" s="38">
        <f>IF($A704="","",IF($B704="","EKSİK","TAM"))</f>
        <v/>
      </c>
    </row>
    <row r="705">
      <c r="F705" s="38">
        <f>IF($A705="","",IF($B705="","EKSİK","TAM"))</f>
        <v/>
      </c>
    </row>
    <row r="706">
      <c r="F706" s="38">
        <f>IF($A706="","",IF($B706="","EKSİK","TAM"))</f>
        <v/>
      </c>
    </row>
    <row r="707">
      <c r="F707" s="38">
        <f>IF($A707="","",IF($B707="","EKSİK","TAM"))</f>
        <v/>
      </c>
    </row>
    <row r="708">
      <c r="F708" s="38">
        <f>IF($A708="","",IF($B708="","EKSİK","TAM"))</f>
        <v/>
      </c>
    </row>
    <row r="709">
      <c r="F709" s="38">
        <f>IF($A709="","",IF($B709="","EKSİK","TAM"))</f>
        <v/>
      </c>
    </row>
    <row r="710">
      <c r="F710" s="38">
        <f>IF($A710="","",IF($B710="","EKSİK","TAM"))</f>
        <v/>
      </c>
    </row>
    <row r="711">
      <c r="F711" s="38">
        <f>IF($A711="","",IF($B711="","EKSİK","TAM"))</f>
        <v/>
      </c>
    </row>
    <row r="712">
      <c r="F712" s="38">
        <f>IF($A712="","",IF($B712="","EKSİK","TAM"))</f>
        <v/>
      </c>
    </row>
    <row r="713">
      <c r="F713" s="38">
        <f>IF($A713="","",IF($B713="","EKSİK","TAM"))</f>
        <v/>
      </c>
    </row>
    <row r="714">
      <c r="F714" s="38">
        <f>IF($A714="","",IF($B714="","EKSİK","TAM"))</f>
        <v/>
      </c>
    </row>
    <row r="715">
      <c r="F715" s="38">
        <f>IF($A715="","",IF($B715="","EKSİK","TAM"))</f>
        <v/>
      </c>
    </row>
    <row r="716">
      <c r="F716" s="38">
        <f>IF($A716="","",IF($B716="","EKSİK","TAM"))</f>
        <v/>
      </c>
    </row>
    <row r="717">
      <c r="F717" s="38">
        <f>IF($A717="","",IF($B717="","EKSİK","TAM"))</f>
        <v/>
      </c>
    </row>
    <row r="718">
      <c r="F718" s="38">
        <f>IF($A718="","",IF($B718="","EKSİK","TAM"))</f>
        <v/>
      </c>
    </row>
    <row r="719">
      <c r="F719" s="38">
        <f>IF($A719="","",IF($B719="","EKSİK","TAM"))</f>
        <v/>
      </c>
    </row>
    <row r="720">
      <c r="F720" s="38">
        <f>IF($A720="","",IF($B720="","EKSİK","TAM"))</f>
        <v/>
      </c>
    </row>
    <row r="721">
      <c r="F721" s="38">
        <f>IF($A721="","",IF($B721="","EKSİK","TAM"))</f>
        <v/>
      </c>
    </row>
    <row r="722">
      <c r="F722" s="38">
        <f>IF($A722="","",IF($B722="","EKSİK","TAM"))</f>
        <v/>
      </c>
    </row>
    <row r="723">
      <c r="F723" s="38">
        <f>IF($A723="","",IF($B723="","EKSİK","TAM"))</f>
        <v/>
      </c>
    </row>
    <row r="724">
      <c r="F724" s="38">
        <f>IF($A724="","",IF($B724="","EKSİK","TAM"))</f>
        <v/>
      </c>
    </row>
    <row r="725">
      <c r="F725" s="38">
        <f>IF($A725="","",IF($B725="","EKSİK","TAM"))</f>
        <v/>
      </c>
    </row>
    <row r="726">
      <c r="F726" s="38">
        <f>IF($A726="","",IF($B726="","EKSİK","TAM"))</f>
        <v/>
      </c>
    </row>
    <row r="727">
      <c r="F727" s="38">
        <f>IF($A727="","",IF($B727="","EKSİK","TAM"))</f>
        <v/>
      </c>
    </row>
    <row r="728">
      <c r="F728" s="38">
        <f>IF($A728="","",IF($B728="","EKSİK","TAM"))</f>
        <v/>
      </c>
    </row>
    <row r="729">
      <c r="F729" s="38">
        <f>IF($A729="","",IF($B729="","EKSİK","TAM"))</f>
        <v/>
      </c>
    </row>
    <row r="730">
      <c r="F730" s="38">
        <f>IF($A730="","",IF($B730="","EKSİK","TAM"))</f>
        <v/>
      </c>
    </row>
    <row r="731">
      <c r="F731" s="38">
        <f>IF($A731="","",IF($B731="","EKSİK","TAM"))</f>
        <v/>
      </c>
    </row>
    <row r="732">
      <c r="F732" s="38">
        <f>IF($A732="","",IF($B732="","EKSİK","TAM"))</f>
        <v/>
      </c>
    </row>
    <row r="733">
      <c r="F733" s="38">
        <f>IF($A733="","",IF($B733="","EKSİK","TAM"))</f>
        <v/>
      </c>
    </row>
    <row r="734">
      <c r="F734" s="38">
        <f>IF($A734="","",IF($B734="","EKSİK","TAM"))</f>
        <v/>
      </c>
    </row>
    <row r="735">
      <c r="F735" s="38">
        <f>IF($A735="","",IF($B735="","EKSİK","TAM"))</f>
        <v/>
      </c>
    </row>
    <row r="736">
      <c r="F736" s="38">
        <f>IF($A736="","",IF($B736="","EKSİK","TAM"))</f>
        <v/>
      </c>
    </row>
    <row r="737">
      <c r="F737" s="38">
        <f>IF($A737="","",IF($B737="","EKSİK","TAM"))</f>
        <v/>
      </c>
    </row>
    <row r="738">
      <c r="F738" s="38">
        <f>IF($A738="","",IF($B738="","EKSİK","TAM"))</f>
        <v/>
      </c>
    </row>
    <row r="739">
      <c r="F739" s="38">
        <f>IF($A739="","",IF($B739="","EKSİK","TAM"))</f>
        <v/>
      </c>
    </row>
    <row r="740">
      <c r="F740" s="38">
        <f>IF($A740="","",IF($B740="","EKSİK","TAM"))</f>
        <v/>
      </c>
    </row>
    <row r="741">
      <c r="F741" s="38">
        <f>IF($A741="","",IF($B741="","EKSİK","TAM"))</f>
        <v/>
      </c>
    </row>
    <row r="742">
      <c r="F742" s="38">
        <f>IF($A742="","",IF($B742="","EKSİK","TAM"))</f>
        <v/>
      </c>
    </row>
    <row r="743">
      <c r="F743" s="38">
        <f>IF($A743="","",IF($B743="","EKSİK","TAM"))</f>
        <v/>
      </c>
    </row>
    <row r="744">
      <c r="F744" s="38">
        <f>IF($A744="","",IF($B744="","EKSİK","TAM"))</f>
        <v/>
      </c>
    </row>
    <row r="745">
      <c r="F745" s="38">
        <f>IF($A745="","",IF($B745="","EKSİK","TAM"))</f>
        <v/>
      </c>
    </row>
    <row r="746">
      <c r="F746" s="38">
        <f>IF($A746="","",IF($B746="","EKSİK","TAM"))</f>
        <v/>
      </c>
    </row>
    <row r="747">
      <c r="F747" s="38">
        <f>IF($A747="","",IF($B747="","EKSİK","TAM"))</f>
        <v/>
      </c>
    </row>
    <row r="748">
      <c r="F748" s="38">
        <f>IF($A748="","",IF($B748="","EKSİK","TAM"))</f>
        <v/>
      </c>
    </row>
    <row r="749">
      <c r="F749" s="38">
        <f>IF($A749="","",IF($B749="","EKSİK","TAM"))</f>
        <v/>
      </c>
    </row>
    <row r="750">
      <c r="F750" s="38">
        <f>IF($A750="","",IF($B750="","EKSİK","TAM"))</f>
        <v/>
      </c>
    </row>
    <row r="751">
      <c r="F751" s="38">
        <f>IF($A751="","",IF($B751="","EKSİK","TAM"))</f>
        <v/>
      </c>
    </row>
    <row r="752">
      <c r="F752" s="38">
        <f>IF($A752="","",IF($B752="","EKSİK","TAM"))</f>
        <v/>
      </c>
    </row>
    <row r="753">
      <c r="F753" s="38">
        <f>IF($A753="","",IF($B753="","EKSİK","TAM"))</f>
        <v/>
      </c>
    </row>
    <row r="754">
      <c r="F754" s="38">
        <f>IF($A754="","",IF($B754="","EKSİK","TAM"))</f>
        <v/>
      </c>
    </row>
    <row r="755">
      <c r="F755" s="38">
        <f>IF($A755="","",IF($B755="","EKSİK","TAM"))</f>
        <v/>
      </c>
    </row>
    <row r="756">
      <c r="F756" s="38">
        <f>IF($A756="","",IF($B756="","EKSİK","TAM"))</f>
        <v/>
      </c>
    </row>
    <row r="757">
      <c r="F757" s="38">
        <f>IF($A757="","",IF($B757="","EKSİK","TAM"))</f>
        <v/>
      </c>
    </row>
    <row r="758">
      <c r="F758" s="38">
        <f>IF($A758="","",IF($B758="","EKSİK","TAM"))</f>
        <v/>
      </c>
    </row>
    <row r="759">
      <c r="F759" s="38">
        <f>IF($A759="","",IF($B759="","EKSİK","TAM"))</f>
        <v/>
      </c>
    </row>
    <row r="760">
      <c r="F760" s="38">
        <f>IF($A760="","",IF($B760="","EKSİK","TAM"))</f>
        <v/>
      </c>
    </row>
    <row r="761">
      <c r="F761" s="38">
        <f>IF($A761="","",IF($B761="","EKSİK","TAM"))</f>
        <v/>
      </c>
    </row>
    <row r="762">
      <c r="F762" s="38">
        <f>IF($A762="","",IF($B762="","EKSİK","TAM"))</f>
        <v/>
      </c>
    </row>
    <row r="763">
      <c r="F763" s="38">
        <f>IF($A763="","",IF($B763="","EKSİK","TAM"))</f>
        <v/>
      </c>
    </row>
    <row r="764">
      <c r="F764" s="38">
        <f>IF($A764="","",IF($B764="","EKSİK","TAM"))</f>
        <v/>
      </c>
    </row>
    <row r="765">
      <c r="F765" s="38">
        <f>IF($A765="","",IF($B765="","EKSİK","TAM"))</f>
        <v/>
      </c>
    </row>
    <row r="766">
      <c r="F766" s="38">
        <f>IF($A766="","",IF($B766="","EKSİK","TAM"))</f>
        <v/>
      </c>
    </row>
    <row r="767">
      <c r="F767" s="38">
        <f>IF($A767="","",IF($B767="","EKSİK","TAM"))</f>
        <v/>
      </c>
    </row>
    <row r="768">
      <c r="F768" s="38">
        <f>IF($A768="","",IF($B768="","EKSİK","TAM"))</f>
        <v/>
      </c>
    </row>
    <row r="769">
      <c r="F769" s="38">
        <f>IF($A769="","",IF($B769="","EKSİK","TAM"))</f>
        <v/>
      </c>
    </row>
    <row r="770">
      <c r="F770" s="38">
        <f>IF($A770="","",IF($B770="","EKSİK","TAM"))</f>
        <v/>
      </c>
    </row>
    <row r="771">
      <c r="F771" s="38">
        <f>IF($A771="","",IF($B771="","EKSİK","TAM"))</f>
        <v/>
      </c>
    </row>
    <row r="772">
      <c r="F772" s="38">
        <f>IF($A772="","",IF($B772="","EKSİK","TAM"))</f>
        <v/>
      </c>
    </row>
    <row r="773">
      <c r="F773" s="38">
        <f>IF($A773="","",IF($B773="","EKSİK","TAM"))</f>
        <v/>
      </c>
    </row>
    <row r="774">
      <c r="F774" s="38">
        <f>IF($A774="","",IF($B774="","EKSİK","TAM"))</f>
        <v/>
      </c>
    </row>
    <row r="775">
      <c r="F775" s="38">
        <f>IF($A775="","",IF($B775="","EKSİK","TAM"))</f>
        <v/>
      </c>
    </row>
    <row r="776">
      <c r="F776" s="38">
        <f>IF($A776="","",IF($B776="","EKSİK","TAM"))</f>
        <v/>
      </c>
    </row>
    <row r="777">
      <c r="F777" s="38">
        <f>IF($A777="","",IF($B777="","EKSİK","TAM"))</f>
        <v/>
      </c>
    </row>
    <row r="778">
      <c r="F778" s="38">
        <f>IF($A778="","",IF($B778="","EKSİK","TAM"))</f>
        <v/>
      </c>
    </row>
    <row r="779">
      <c r="F779" s="38">
        <f>IF($A779="","",IF($B779="","EKSİK","TAM"))</f>
        <v/>
      </c>
    </row>
    <row r="780">
      <c r="F780" s="38">
        <f>IF($A780="","",IF($B780="","EKSİK","TAM"))</f>
        <v/>
      </c>
    </row>
    <row r="781">
      <c r="F781" s="38">
        <f>IF($A781="","",IF($B781="","EKSİK","TAM"))</f>
        <v/>
      </c>
    </row>
    <row r="782">
      <c r="F782" s="38">
        <f>IF($A782="","",IF($B782="","EKSİK","TAM"))</f>
        <v/>
      </c>
    </row>
    <row r="783">
      <c r="F783" s="38">
        <f>IF($A783="","",IF($B783="","EKSİK","TAM"))</f>
        <v/>
      </c>
    </row>
    <row r="784">
      <c r="F784" s="38">
        <f>IF($A784="","",IF($B784="","EKSİK","TAM"))</f>
        <v/>
      </c>
    </row>
    <row r="785">
      <c r="F785" s="38">
        <f>IF($A785="","",IF($B785="","EKSİK","TAM"))</f>
        <v/>
      </c>
    </row>
    <row r="786">
      <c r="F786" s="38">
        <f>IF($A786="","",IF($B786="","EKSİK","TAM"))</f>
        <v/>
      </c>
    </row>
    <row r="787">
      <c r="F787" s="38">
        <f>IF($A787="","",IF($B787="","EKSİK","TAM"))</f>
        <v/>
      </c>
    </row>
    <row r="788">
      <c r="F788" s="38">
        <f>IF($A788="","",IF($B788="","EKSİK","TAM"))</f>
        <v/>
      </c>
    </row>
    <row r="789">
      <c r="F789" s="38">
        <f>IF($A789="","",IF($B789="","EKSİK","TAM"))</f>
        <v/>
      </c>
    </row>
    <row r="790">
      <c r="F790" s="38">
        <f>IF($A790="","",IF($B790="","EKSİK","TAM"))</f>
        <v/>
      </c>
    </row>
    <row r="791">
      <c r="F791" s="38">
        <f>IF($A791="","",IF($B791="","EKSİK","TAM"))</f>
        <v/>
      </c>
    </row>
    <row r="792">
      <c r="F792" s="38">
        <f>IF($A792="","",IF($B792="","EKSİK","TAM"))</f>
        <v/>
      </c>
    </row>
    <row r="793">
      <c r="F793" s="38">
        <f>IF($A793="","",IF($B793="","EKSİK","TAM"))</f>
        <v/>
      </c>
    </row>
    <row r="794">
      <c r="F794" s="38">
        <f>IF($A794="","",IF($B794="","EKSİK","TAM"))</f>
        <v/>
      </c>
    </row>
    <row r="795">
      <c r="F795" s="38">
        <f>IF($A795="","",IF($B795="","EKSİK","TAM"))</f>
        <v/>
      </c>
    </row>
    <row r="796">
      <c r="F796" s="38">
        <f>IF($A796="","",IF($B796="","EKSİK","TAM"))</f>
        <v/>
      </c>
    </row>
    <row r="797">
      <c r="F797" s="38">
        <f>IF($A797="","",IF($B797="","EKSİK","TAM"))</f>
        <v/>
      </c>
    </row>
    <row r="798">
      <c r="F798" s="38">
        <f>IF($A798="","",IF($B798="","EKSİK","TAM"))</f>
        <v/>
      </c>
    </row>
    <row r="799">
      <c r="F799" s="38">
        <f>IF($A799="","",IF($B799="","EKSİK","TAM"))</f>
        <v/>
      </c>
    </row>
    <row r="800">
      <c r="F800" s="38">
        <f>IF($A800="","",IF($B800="","EKSİK","TAM"))</f>
        <v/>
      </c>
    </row>
    <row r="801">
      <c r="F801" s="38">
        <f>IF($A801="","",IF($B801="","EKSİK","TAM"))</f>
        <v/>
      </c>
    </row>
    <row r="802">
      <c r="F802" s="38">
        <f>IF($A802="","",IF($B802="","EKSİK","TAM"))</f>
        <v/>
      </c>
    </row>
    <row r="803">
      <c r="F803" s="38">
        <f>IF($A803="","",IF($B803="","EKSİK","TAM"))</f>
        <v/>
      </c>
    </row>
    <row r="804">
      <c r="F804" s="38">
        <f>IF($A804="","",IF($B804="","EKSİK","TAM"))</f>
        <v/>
      </c>
    </row>
    <row r="805">
      <c r="F805" s="38">
        <f>IF($A805="","",IF($B805="","EKSİK","TAM"))</f>
        <v/>
      </c>
    </row>
    <row r="806">
      <c r="F806" s="38">
        <f>IF($A806="","",IF($B806="","EKSİK","TAM"))</f>
        <v/>
      </c>
    </row>
    <row r="807">
      <c r="F807" s="38">
        <f>IF($A807="","",IF($B807="","EKSİK","TAM"))</f>
        <v/>
      </c>
    </row>
    <row r="808">
      <c r="F808" s="38">
        <f>IF($A808="","",IF($B808="","EKSİK","TAM"))</f>
        <v/>
      </c>
    </row>
    <row r="809">
      <c r="F809" s="38">
        <f>IF($A809="","",IF($B809="","EKSİK","TAM"))</f>
        <v/>
      </c>
    </row>
    <row r="810">
      <c r="F810" s="38">
        <f>IF($A810="","",IF($B810="","EKSİK","TAM"))</f>
        <v/>
      </c>
    </row>
    <row r="811">
      <c r="F811" s="38">
        <f>IF($A811="","",IF($B811="","EKSİK","TAM"))</f>
        <v/>
      </c>
    </row>
    <row r="812">
      <c r="F812" s="38">
        <f>IF($A812="","",IF($B812="","EKSİK","TAM"))</f>
        <v/>
      </c>
    </row>
    <row r="813">
      <c r="F813" s="38">
        <f>IF($A813="","",IF($B813="","EKSİK","TAM"))</f>
        <v/>
      </c>
    </row>
    <row r="814">
      <c r="F814" s="38">
        <f>IF($A814="","",IF($B814="","EKSİK","TAM"))</f>
        <v/>
      </c>
    </row>
    <row r="815">
      <c r="F815" s="38">
        <f>IF($A815="","",IF($B815="","EKSİK","TAM"))</f>
        <v/>
      </c>
    </row>
    <row r="816">
      <c r="F816" s="38">
        <f>IF($A816="","",IF($B816="","EKSİK","TAM"))</f>
        <v/>
      </c>
    </row>
    <row r="817">
      <c r="F817" s="38">
        <f>IF($A817="","",IF($B817="","EKSİK","TAM"))</f>
        <v/>
      </c>
    </row>
    <row r="818">
      <c r="F818" s="38">
        <f>IF($A818="","",IF($B818="","EKSİK","TAM"))</f>
        <v/>
      </c>
    </row>
    <row r="819">
      <c r="F819" s="38">
        <f>IF($A819="","",IF($B819="","EKSİK","TAM"))</f>
        <v/>
      </c>
    </row>
    <row r="820">
      <c r="F820" s="38">
        <f>IF($A820="","",IF($B820="","EKSİK","TAM"))</f>
        <v/>
      </c>
    </row>
    <row r="821">
      <c r="F821" s="38">
        <f>IF($A821="","",IF($B821="","EKSİK","TAM"))</f>
        <v/>
      </c>
    </row>
    <row r="822">
      <c r="F822" s="38">
        <f>IF($A822="","",IF($B822="","EKSİK","TAM"))</f>
        <v/>
      </c>
    </row>
    <row r="823">
      <c r="F823" s="38">
        <f>IF($A823="","",IF($B823="","EKSİK","TAM"))</f>
        <v/>
      </c>
    </row>
    <row r="824">
      <c r="F824" s="38">
        <f>IF($A824="","",IF($B824="","EKSİK","TAM"))</f>
        <v/>
      </c>
    </row>
    <row r="825">
      <c r="F825" s="38">
        <f>IF($A825="","",IF($B825="","EKSİK","TAM"))</f>
        <v/>
      </c>
    </row>
    <row r="826">
      <c r="F826" s="38">
        <f>IF($A826="","",IF($B826="","EKSİK","TAM"))</f>
        <v/>
      </c>
    </row>
    <row r="827">
      <c r="F827" s="38">
        <f>IF($A827="","",IF($B827="","EKSİK","TAM"))</f>
        <v/>
      </c>
    </row>
    <row r="828">
      <c r="F828" s="38">
        <f>IF($A828="","",IF($B828="","EKSİK","TAM"))</f>
        <v/>
      </c>
    </row>
    <row r="829">
      <c r="F829" s="38">
        <f>IF($A829="","",IF($B829="","EKSİK","TAM"))</f>
        <v/>
      </c>
    </row>
    <row r="830">
      <c r="F830" s="38">
        <f>IF($A830="","",IF($B830="","EKSİK","TAM"))</f>
        <v/>
      </c>
    </row>
    <row r="831">
      <c r="F831" s="38">
        <f>IF($A831="","",IF($B831="","EKSİK","TAM"))</f>
        <v/>
      </c>
    </row>
    <row r="832">
      <c r="F832" s="38">
        <f>IF($A832="","",IF($B832="","EKSİK","TAM"))</f>
        <v/>
      </c>
    </row>
    <row r="833">
      <c r="F833" s="38">
        <f>IF($A833="","",IF($B833="","EKSİK","TAM"))</f>
        <v/>
      </c>
    </row>
    <row r="834">
      <c r="F834" s="38">
        <f>IF($A834="","",IF($B834="","EKSİK","TAM"))</f>
        <v/>
      </c>
    </row>
    <row r="835">
      <c r="F835" s="38">
        <f>IF($A835="","",IF($B835="","EKSİK","TAM"))</f>
        <v/>
      </c>
    </row>
    <row r="836">
      <c r="F836" s="38">
        <f>IF($A836="","",IF($B836="","EKSİK","TAM"))</f>
        <v/>
      </c>
    </row>
    <row r="837">
      <c r="F837" s="38">
        <f>IF($A837="","",IF($B837="","EKSİK","TAM"))</f>
        <v/>
      </c>
    </row>
    <row r="838">
      <c r="F838" s="38">
        <f>IF($A838="","",IF($B838="","EKSİK","TAM"))</f>
        <v/>
      </c>
    </row>
    <row r="839">
      <c r="F839" s="38">
        <f>IF($A839="","",IF($B839="","EKSİK","TAM"))</f>
        <v/>
      </c>
    </row>
    <row r="840">
      <c r="F840" s="38">
        <f>IF($A840="","",IF($B840="","EKSİK","TAM"))</f>
        <v/>
      </c>
    </row>
    <row r="841">
      <c r="F841" s="38">
        <f>IF($A841="","",IF($B841="","EKSİK","TAM"))</f>
        <v/>
      </c>
    </row>
    <row r="842">
      <c r="F842" s="38">
        <f>IF($A842="","",IF($B842="","EKSİK","TAM"))</f>
        <v/>
      </c>
    </row>
    <row r="843">
      <c r="F843" s="38">
        <f>IF($A843="","",IF($B843="","EKSİK","TAM"))</f>
        <v/>
      </c>
    </row>
    <row r="844">
      <c r="F844" s="38">
        <f>IF($A844="","",IF($B844="","EKSİK","TAM"))</f>
        <v/>
      </c>
    </row>
    <row r="845">
      <c r="F845" s="38">
        <f>IF($A845="","",IF($B845="","EKSİK","TAM"))</f>
        <v/>
      </c>
    </row>
    <row r="846">
      <c r="F846" s="38">
        <f>IF($A846="","",IF($B846="","EKSİK","TAM"))</f>
        <v/>
      </c>
    </row>
    <row r="847">
      <c r="F847" s="38">
        <f>IF($A847="","",IF($B847="","EKSİK","TAM"))</f>
        <v/>
      </c>
    </row>
    <row r="848">
      <c r="F848" s="38">
        <f>IF($A848="","",IF($B848="","EKSİK","TAM"))</f>
        <v/>
      </c>
    </row>
    <row r="849">
      <c r="F849" s="38">
        <f>IF($A849="","",IF($B849="","EKSİK","TAM"))</f>
        <v/>
      </c>
    </row>
    <row r="850">
      <c r="F850" s="38">
        <f>IF($A850="","",IF($B850="","EKSİK","TAM"))</f>
        <v/>
      </c>
    </row>
    <row r="851">
      <c r="F851" s="38">
        <f>IF($A851="","",IF($B851="","EKSİK","TAM"))</f>
        <v/>
      </c>
    </row>
    <row r="852">
      <c r="F852" s="38">
        <f>IF($A852="","",IF($B852="","EKSİK","TAM"))</f>
        <v/>
      </c>
    </row>
    <row r="853">
      <c r="F853" s="38">
        <f>IF($A853="","",IF($B853="","EKSİK","TAM"))</f>
        <v/>
      </c>
    </row>
    <row r="854">
      <c r="F854" s="38">
        <f>IF($A854="","",IF($B854="","EKSİK","TAM"))</f>
        <v/>
      </c>
    </row>
    <row r="855">
      <c r="F855" s="38">
        <f>IF($A855="","",IF($B855="","EKSİK","TAM"))</f>
        <v/>
      </c>
    </row>
    <row r="856">
      <c r="F856" s="38">
        <f>IF($A856="","",IF($B856="","EKSİK","TAM"))</f>
        <v/>
      </c>
    </row>
    <row r="857">
      <c r="F857" s="38">
        <f>IF($A857="","",IF($B857="","EKSİK","TAM"))</f>
        <v/>
      </c>
    </row>
    <row r="858">
      <c r="F858" s="38">
        <f>IF($A858="","",IF($B858="","EKSİK","TAM"))</f>
        <v/>
      </c>
    </row>
    <row r="859">
      <c r="F859" s="38">
        <f>IF($A859="","",IF($B859="","EKSİK","TAM"))</f>
        <v/>
      </c>
    </row>
    <row r="860">
      <c r="F860" s="38">
        <f>IF($A860="","",IF($B860="","EKSİK","TAM"))</f>
        <v/>
      </c>
    </row>
    <row r="861">
      <c r="F861" s="38">
        <f>IF($A861="","",IF($B861="","EKSİK","TAM"))</f>
        <v/>
      </c>
    </row>
    <row r="862">
      <c r="F862" s="38">
        <f>IF($A862="","",IF($B862="","EKSİK","TAM"))</f>
        <v/>
      </c>
    </row>
    <row r="863">
      <c r="F863" s="38">
        <f>IF($A863="","",IF($B863="","EKSİK","TAM"))</f>
        <v/>
      </c>
    </row>
    <row r="864">
      <c r="F864" s="38">
        <f>IF($A864="","",IF($B864="","EKSİK","TAM"))</f>
        <v/>
      </c>
    </row>
    <row r="865">
      <c r="F865" s="38">
        <f>IF($A865="","",IF($B865="","EKSİK","TAM"))</f>
        <v/>
      </c>
    </row>
    <row r="866">
      <c r="F866" s="38">
        <f>IF($A866="","",IF($B866="","EKSİK","TAM"))</f>
        <v/>
      </c>
    </row>
    <row r="867">
      <c r="F867" s="38">
        <f>IF($A867="","",IF($B867="","EKSİK","TAM"))</f>
        <v/>
      </c>
    </row>
    <row r="868">
      <c r="F868" s="38">
        <f>IF($A868="","",IF($B868="","EKSİK","TAM"))</f>
        <v/>
      </c>
    </row>
    <row r="869">
      <c r="F869" s="38">
        <f>IF($A869="","",IF($B869="","EKSİK","TAM"))</f>
        <v/>
      </c>
    </row>
    <row r="870">
      <c r="F870" s="38">
        <f>IF($A870="","",IF($B870="","EKSİK","TAM"))</f>
        <v/>
      </c>
    </row>
    <row r="871">
      <c r="F871" s="38">
        <f>IF($A871="","",IF($B871="","EKSİK","TAM"))</f>
        <v/>
      </c>
    </row>
    <row r="872">
      <c r="F872" s="38">
        <f>IF($A872="","",IF($B872="","EKSİK","TAM"))</f>
        <v/>
      </c>
    </row>
    <row r="873">
      <c r="F873" s="38">
        <f>IF($A873="","",IF($B873="","EKSİK","TAM"))</f>
        <v/>
      </c>
    </row>
    <row r="874">
      <c r="F874" s="38">
        <f>IF($A874="","",IF($B874="","EKSİK","TAM"))</f>
        <v/>
      </c>
    </row>
    <row r="875">
      <c r="F875" s="38">
        <f>IF($A875="","",IF($B875="","EKSİK","TAM"))</f>
        <v/>
      </c>
    </row>
    <row r="876">
      <c r="F876" s="38">
        <f>IF($A876="","",IF($B876="","EKSİK","TAM"))</f>
        <v/>
      </c>
    </row>
    <row r="877">
      <c r="F877" s="38">
        <f>IF($A877="","",IF($B877="","EKSİK","TAM"))</f>
        <v/>
      </c>
    </row>
    <row r="878">
      <c r="F878" s="38">
        <f>IF($A878="","",IF($B878="","EKSİK","TAM"))</f>
        <v/>
      </c>
    </row>
    <row r="879">
      <c r="F879" s="38">
        <f>IF($A879="","",IF($B879="","EKSİK","TAM"))</f>
        <v/>
      </c>
    </row>
    <row r="880">
      <c r="F880" s="38">
        <f>IF($A880="","",IF($B880="","EKSİK","TAM"))</f>
        <v/>
      </c>
    </row>
    <row r="881">
      <c r="F881" s="38">
        <f>IF($A881="","",IF($B881="","EKSİK","TAM"))</f>
        <v/>
      </c>
    </row>
    <row r="882">
      <c r="F882" s="38">
        <f>IF($A882="","",IF($B882="","EKSİK","TAM"))</f>
        <v/>
      </c>
    </row>
    <row r="883">
      <c r="F883" s="38">
        <f>IF($A883="","",IF($B883="","EKSİK","TAM"))</f>
        <v/>
      </c>
    </row>
    <row r="884">
      <c r="F884" s="38">
        <f>IF($A884="","",IF($B884="","EKSİK","TAM"))</f>
        <v/>
      </c>
    </row>
    <row r="885">
      <c r="F885" s="38">
        <f>IF($A885="","",IF($B885="","EKSİK","TAM"))</f>
        <v/>
      </c>
    </row>
    <row r="886">
      <c r="F886" s="38">
        <f>IF($A886="","",IF($B886="","EKSİK","TAM"))</f>
        <v/>
      </c>
    </row>
    <row r="887">
      <c r="F887" s="38">
        <f>IF($A887="","",IF($B887="","EKSİK","TAM"))</f>
        <v/>
      </c>
    </row>
    <row r="888">
      <c r="F888" s="38">
        <f>IF($A888="","",IF($B888="","EKSİK","TAM"))</f>
        <v/>
      </c>
    </row>
    <row r="889">
      <c r="F889" s="38">
        <f>IF($A889="","",IF($B889="","EKSİK","TAM"))</f>
        <v/>
      </c>
    </row>
    <row r="890">
      <c r="F890" s="38">
        <f>IF($A890="","",IF($B890="","EKSİK","TAM"))</f>
        <v/>
      </c>
    </row>
    <row r="891">
      <c r="F891" s="38">
        <f>IF($A891="","",IF($B891="","EKSİK","TAM"))</f>
        <v/>
      </c>
    </row>
    <row r="892">
      <c r="F892" s="38">
        <f>IF($A892="","",IF($B892="","EKSİK","TAM"))</f>
        <v/>
      </c>
    </row>
    <row r="893">
      <c r="F893" s="38">
        <f>IF($A893="","",IF($B893="","EKSİK","TAM"))</f>
        <v/>
      </c>
    </row>
    <row r="894">
      <c r="F894" s="38">
        <f>IF($A894="","",IF($B894="","EKSİK","TAM"))</f>
        <v/>
      </c>
    </row>
    <row r="895">
      <c r="F895" s="38">
        <f>IF($A895="","",IF($B895="","EKSİK","TAM"))</f>
        <v/>
      </c>
    </row>
    <row r="896">
      <c r="F896" s="38">
        <f>IF($A896="","",IF($B896="","EKSİK","TAM"))</f>
        <v/>
      </c>
    </row>
    <row r="897">
      <c r="F897" s="38">
        <f>IF($A897="","",IF($B897="","EKSİK","TAM"))</f>
        <v/>
      </c>
    </row>
    <row r="898">
      <c r="F898" s="38">
        <f>IF($A898="","",IF($B898="","EKSİK","TAM"))</f>
        <v/>
      </c>
    </row>
    <row r="899">
      <c r="F899" s="38">
        <f>IF($A899="","",IF($B899="","EKSİK","TAM"))</f>
        <v/>
      </c>
    </row>
    <row r="900">
      <c r="F900" s="38">
        <f>IF($A900="","",IF($B900="","EKSİK","TAM"))</f>
        <v/>
      </c>
    </row>
    <row r="901">
      <c r="F901" s="38">
        <f>IF($A901="","",IF($B901="","EKSİK","TAM"))</f>
        <v/>
      </c>
    </row>
    <row r="902">
      <c r="F902" s="38">
        <f>IF($A902="","",IF($B902="","EKSİK","TAM"))</f>
        <v/>
      </c>
    </row>
    <row r="903">
      <c r="F903" s="38">
        <f>IF($A903="","",IF($B903="","EKSİK","TAM"))</f>
        <v/>
      </c>
    </row>
    <row r="904">
      <c r="F904" s="38">
        <f>IF($A904="","",IF($B904="","EKSİK","TAM"))</f>
        <v/>
      </c>
    </row>
    <row r="905">
      <c r="F905" s="38">
        <f>IF($A905="","",IF($B905="","EKSİK","TAM"))</f>
        <v/>
      </c>
    </row>
    <row r="906">
      <c r="F906" s="38">
        <f>IF($A906="","",IF($B906="","EKSİK","TAM"))</f>
        <v/>
      </c>
    </row>
    <row r="907">
      <c r="F907" s="38">
        <f>IF($A907="","",IF($B907="","EKSİK","TAM"))</f>
        <v/>
      </c>
    </row>
    <row r="908">
      <c r="F908" s="38">
        <f>IF($A908="","",IF($B908="","EKSİK","TAM"))</f>
        <v/>
      </c>
    </row>
    <row r="909">
      <c r="F909" s="38">
        <f>IF($A909="","",IF($B909="","EKSİK","TAM"))</f>
        <v/>
      </c>
    </row>
    <row r="910">
      <c r="F910" s="38">
        <f>IF($A910="","",IF($B910="","EKSİK","TAM"))</f>
        <v/>
      </c>
    </row>
    <row r="911">
      <c r="F911" s="38">
        <f>IF($A911="","",IF($B911="","EKSİK","TAM"))</f>
        <v/>
      </c>
    </row>
    <row r="912">
      <c r="F912" s="38">
        <f>IF($A912="","",IF($B912="","EKSİK","TAM"))</f>
        <v/>
      </c>
    </row>
    <row r="913">
      <c r="F913" s="38">
        <f>IF($A913="","",IF($B913="","EKSİK","TAM"))</f>
        <v/>
      </c>
    </row>
    <row r="914">
      <c r="F914" s="38">
        <f>IF($A914="","",IF($B914="","EKSİK","TAM"))</f>
        <v/>
      </c>
    </row>
    <row r="915">
      <c r="F915" s="38">
        <f>IF($A915="","",IF($B915="","EKSİK","TAM"))</f>
        <v/>
      </c>
    </row>
    <row r="916">
      <c r="F916" s="38">
        <f>IF($A916="","",IF($B916="","EKSİK","TAM"))</f>
        <v/>
      </c>
    </row>
    <row r="917">
      <c r="F917" s="38">
        <f>IF($A917="","",IF($B917="","EKSİK","TAM"))</f>
        <v/>
      </c>
    </row>
    <row r="918">
      <c r="F918" s="38">
        <f>IF($A918="","",IF($B918="","EKSİK","TAM"))</f>
        <v/>
      </c>
    </row>
    <row r="919">
      <c r="F919" s="38">
        <f>IF($A919="","",IF($B919="","EKSİK","TAM"))</f>
        <v/>
      </c>
    </row>
    <row r="920">
      <c r="F920" s="38">
        <f>IF($A920="","",IF($B920="","EKSİK","TAM"))</f>
        <v/>
      </c>
    </row>
    <row r="921">
      <c r="F921" s="38">
        <f>IF($A921="","",IF($B921="","EKSİK","TAM"))</f>
        <v/>
      </c>
    </row>
    <row r="922">
      <c r="F922" s="38">
        <f>IF($A922="","",IF($B922="","EKSİK","TAM"))</f>
        <v/>
      </c>
    </row>
    <row r="923">
      <c r="F923" s="38">
        <f>IF($A923="","",IF($B923="","EKSİK","TAM"))</f>
        <v/>
      </c>
    </row>
    <row r="924">
      <c r="F924" s="38">
        <f>IF($A924="","",IF($B924="","EKSİK","TAM"))</f>
        <v/>
      </c>
    </row>
    <row r="925">
      <c r="F925" s="38">
        <f>IF($A925="","",IF($B925="","EKSİK","TAM"))</f>
        <v/>
      </c>
    </row>
    <row r="926">
      <c r="F926" s="38">
        <f>IF($A926="","",IF($B926="","EKSİK","TAM"))</f>
        <v/>
      </c>
    </row>
    <row r="927">
      <c r="F927" s="38">
        <f>IF($A927="","",IF($B927="","EKSİK","TAM"))</f>
        <v/>
      </c>
    </row>
    <row r="928">
      <c r="F928" s="38">
        <f>IF($A928="","",IF($B928="","EKSİK","TAM"))</f>
        <v/>
      </c>
    </row>
    <row r="929">
      <c r="F929" s="38">
        <f>IF($A929="","",IF($B929="","EKSİK","TAM"))</f>
        <v/>
      </c>
    </row>
    <row r="930">
      <c r="F930" s="38">
        <f>IF($A930="","",IF($B930="","EKSİK","TAM"))</f>
        <v/>
      </c>
    </row>
    <row r="931">
      <c r="F931" s="38">
        <f>IF($A931="","",IF($B931="","EKSİK","TAM"))</f>
        <v/>
      </c>
    </row>
    <row r="932">
      <c r="F932" s="38">
        <f>IF($A932="","",IF($B932="","EKSİK","TAM"))</f>
        <v/>
      </c>
    </row>
    <row r="933">
      <c r="F933" s="38">
        <f>IF($A933="","",IF($B933="","EKSİK","TAM"))</f>
        <v/>
      </c>
    </row>
    <row r="934">
      <c r="F934" s="38">
        <f>IF($A934="","",IF($B934="","EKSİK","TAM"))</f>
        <v/>
      </c>
    </row>
    <row r="935">
      <c r="F935" s="38">
        <f>IF($A935="","",IF($B935="","EKSİK","TAM"))</f>
        <v/>
      </c>
    </row>
    <row r="936">
      <c r="F936" s="38">
        <f>IF($A936="","",IF($B936="","EKSİK","TAM"))</f>
        <v/>
      </c>
    </row>
    <row r="937">
      <c r="F937" s="38">
        <f>IF($A937="","",IF($B937="","EKSİK","TAM"))</f>
        <v/>
      </c>
    </row>
    <row r="938">
      <c r="F938" s="38">
        <f>IF($A938="","",IF($B938="","EKSİK","TAM"))</f>
        <v/>
      </c>
    </row>
    <row r="939">
      <c r="F939" s="38">
        <f>IF($A939="","",IF($B939="","EKSİK","TAM"))</f>
        <v/>
      </c>
    </row>
    <row r="940">
      <c r="F940" s="38">
        <f>IF($A940="","",IF($B940="","EKSİK","TAM"))</f>
        <v/>
      </c>
    </row>
    <row r="941">
      <c r="F941" s="38">
        <f>IF($A941="","",IF($B941="","EKSİK","TAM"))</f>
        <v/>
      </c>
    </row>
    <row r="942">
      <c r="F942" s="38">
        <f>IF($A942="","",IF($B942="","EKSİK","TAM"))</f>
        <v/>
      </c>
    </row>
    <row r="943">
      <c r="F943" s="38">
        <f>IF($A943="","",IF($B943="","EKSİK","TAM"))</f>
        <v/>
      </c>
    </row>
    <row r="944">
      <c r="F944" s="38">
        <f>IF($A944="","",IF($B944="","EKSİK","TAM"))</f>
        <v/>
      </c>
    </row>
    <row r="945">
      <c r="F945" s="38">
        <f>IF($A945="","",IF($B945="","EKSİK","TAM"))</f>
        <v/>
      </c>
    </row>
    <row r="946">
      <c r="F946" s="38">
        <f>IF($A946="","",IF($B946="","EKSİK","TAM"))</f>
        <v/>
      </c>
    </row>
    <row r="947">
      <c r="F947" s="38">
        <f>IF($A947="","",IF($B947="","EKSİK","TAM"))</f>
        <v/>
      </c>
    </row>
    <row r="948">
      <c r="F948" s="38">
        <f>IF($A948="","",IF($B948="","EKSİK","TAM"))</f>
        <v/>
      </c>
    </row>
    <row r="949">
      <c r="F949" s="38">
        <f>IF($A949="","",IF($B949="","EKSİK","TAM"))</f>
        <v/>
      </c>
    </row>
    <row r="950">
      <c r="F950" s="38">
        <f>IF($A950="","",IF($B950="","EKSİK","TAM"))</f>
        <v/>
      </c>
    </row>
    <row r="951">
      <c r="F951" s="38">
        <f>IF($A951="","",IF($B951="","EKSİK","TAM"))</f>
        <v/>
      </c>
    </row>
    <row r="952">
      <c r="F952" s="38">
        <f>IF($A952="","",IF($B952="","EKSİK","TAM"))</f>
        <v/>
      </c>
    </row>
    <row r="953">
      <c r="F953" s="38">
        <f>IF($A953="","",IF($B953="","EKSİK","TAM"))</f>
        <v/>
      </c>
    </row>
    <row r="954">
      <c r="F954" s="38">
        <f>IF($A954="","",IF($B954="","EKSİK","TAM"))</f>
        <v/>
      </c>
    </row>
    <row r="955">
      <c r="F955" s="38">
        <f>IF($A955="","",IF($B955="","EKSİK","TAM"))</f>
        <v/>
      </c>
    </row>
    <row r="956">
      <c r="F956" s="38">
        <f>IF($A956="","",IF($B956="","EKSİK","TAM"))</f>
        <v/>
      </c>
    </row>
    <row r="957">
      <c r="F957" s="38">
        <f>IF($A957="","",IF($B957="","EKSİK","TAM"))</f>
        <v/>
      </c>
    </row>
    <row r="958">
      <c r="F958" s="38">
        <f>IF($A958="","",IF($B958="","EKSİK","TAM"))</f>
        <v/>
      </c>
    </row>
    <row r="959">
      <c r="F959" s="38">
        <f>IF($A959="","",IF($B959="","EKSİK","TAM"))</f>
        <v/>
      </c>
    </row>
    <row r="960">
      <c r="F960" s="38">
        <f>IF($A960="","",IF($B960="","EKSİK","TAM"))</f>
        <v/>
      </c>
    </row>
    <row r="961">
      <c r="F961" s="38">
        <f>IF($A961="","",IF($B961="","EKSİK","TAM"))</f>
        <v/>
      </c>
    </row>
    <row r="962">
      <c r="F962" s="38">
        <f>IF($A962="","",IF($B962="","EKSİK","TAM"))</f>
        <v/>
      </c>
    </row>
    <row r="963">
      <c r="F963" s="38">
        <f>IF($A963="","",IF($B963="","EKSİK","TAM"))</f>
        <v/>
      </c>
    </row>
    <row r="964">
      <c r="F964" s="38">
        <f>IF($A964="","",IF($B964="","EKSİK","TAM"))</f>
        <v/>
      </c>
    </row>
    <row r="965">
      <c r="F965" s="38">
        <f>IF($A965="","",IF($B965="","EKSİK","TAM"))</f>
        <v/>
      </c>
    </row>
    <row r="966">
      <c r="F966" s="38">
        <f>IF($A966="","",IF($B966="","EKSİK","TAM"))</f>
        <v/>
      </c>
    </row>
    <row r="967">
      <c r="F967" s="38">
        <f>IF($A967="","",IF($B967="","EKSİK","TAM"))</f>
        <v/>
      </c>
    </row>
    <row r="968">
      <c r="F968" s="38">
        <f>IF($A968="","",IF($B968="","EKSİK","TAM"))</f>
        <v/>
      </c>
    </row>
    <row r="969">
      <c r="F969" s="38">
        <f>IF($A969="","",IF($B969="","EKSİK","TAM"))</f>
        <v/>
      </c>
    </row>
    <row r="970">
      <c r="F970" s="38">
        <f>IF($A970="","",IF($B970="","EKSİK","TAM"))</f>
        <v/>
      </c>
    </row>
    <row r="971">
      <c r="F971" s="38">
        <f>IF($A971="","",IF($B971="","EKSİK","TAM"))</f>
        <v/>
      </c>
    </row>
    <row r="972">
      <c r="F972" s="38">
        <f>IF($A972="","",IF($B972="","EKSİK","TAM"))</f>
        <v/>
      </c>
    </row>
    <row r="973">
      <c r="F973" s="38">
        <f>IF($A973="","",IF($B973="","EKSİK","TAM"))</f>
        <v/>
      </c>
    </row>
    <row r="974">
      <c r="F974" s="38">
        <f>IF($A974="","",IF($B974="","EKSİK","TAM"))</f>
        <v/>
      </c>
    </row>
    <row r="975">
      <c r="F975" s="38">
        <f>IF($A975="","",IF($B975="","EKSİK","TAM"))</f>
        <v/>
      </c>
    </row>
    <row r="976">
      <c r="F976" s="38">
        <f>IF($A976="","",IF($B976="","EKSİK","TAM"))</f>
        <v/>
      </c>
    </row>
    <row r="977">
      <c r="F977" s="38">
        <f>IF($A977="","",IF($B977="","EKSİK","TAM"))</f>
        <v/>
      </c>
    </row>
    <row r="978">
      <c r="F978" s="38">
        <f>IF($A978="","",IF($B978="","EKSİK","TAM"))</f>
        <v/>
      </c>
    </row>
    <row r="979">
      <c r="F979" s="38">
        <f>IF($A979="","",IF($B979="","EKSİK","TAM"))</f>
        <v/>
      </c>
    </row>
    <row r="980">
      <c r="F980" s="38">
        <f>IF($A980="","",IF($B980="","EKSİK","TAM"))</f>
        <v/>
      </c>
    </row>
    <row r="981">
      <c r="F981" s="38">
        <f>IF($A981="","",IF($B981="","EKSİK","TAM"))</f>
        <v/>
      </c>
    </row>
    <row r="982">
      <c r="F982" s="38">
        <f>IF($A982="","",IF($B982="","EKSİK","TAM"))</f>
        <v/>
      </c>
    </row>
    <row r="983">
      <c r="F983" s="38">
        <f>IF($A983="","",IF($B983="","EKSİK","TAM"))</f>
        <v/>
      </c>
    </row>
    <row r="984">
      <c r="F984" s="38">
        <f>IF($A984="","",IF($B984="","EKSİK","TAM"))</f>
        <v/>
      </c>
    </row>
    <row r="985">
      <c r="F985" s="38">
        <f>IF($A985="","",IF($B985="","EKSİK","TAM"))</f>
        <v/>
      </c>
    </row>
    <row r="986">
      <c r="F986" s="38">
        <f>IF($A986="","",IF($B986="","EKSİK","TAM"))</f>
        <v/>
      </c>
    </row>
    <row r="987">
      <c r="F987" s="38">
        <f>IF($A987="","",IF($B987="","EKSİK","TAM"))</f>
        <v/>
      </c>
    </row>
    <row r="988">
      <c r="F988" s="38">
        <f>IF($A988="","",IF($B988="","EKSİK","TAM"))</f>
        <v/>
      </c>
    </row>
    <row r="989">
      <c r="F989" s="38">
        <f>IF($A989="","",IF($B989="","EKSİK","TAM"))</f>
        <v/>
      </c>
    </row>
    <row r="990">
      <c r="F990" s="38">
        <f>IF($A990="","",IF($B990="","EKSİK","TAM"))</f>
        <v/>
      </c>
    </row>
    <row r="991">
      <c r="F991" s="38">
        <f>IF($A991="","",IF($B991="","EKSİK","TAM"))</f>
        <v/>
      </c>
    </row>
    <row r="992">
      <c r="F992" s="38">
        <f>IF($A992="","",IF($B992="","EKSİK","TAM"))</f>
        <v/>
      </c>
    </row>
    <row r="993">
      <c r="F993" s="38">
        <f>IF($A993="","",IF($B993="","EKSİK","TAM"))</f>
        <v/>
      </c>
    </row>
    <row r="994">
      <c r="F994" s="38">
        <f>IF($A994="","",IF($B994="","EKSİK","TAM"))</f>
        <v/>
      </c>
    </row>
    <row r="995">
      <c r="F995" s="38">
        <f>IF($A995="","",IF($B995="","EKSİK","TAM"))</f>
        <v/>
      </c>
    </row>
    <row r="996">
      <c r="F996" s="38">
        <f>IF($A996="","",IF($B996="","EKSİK","TAM"))</f>
        <v/>
      </c>
    </row>
    <row r="997">
      <c r="F997" s="38">
        <f>IF($A997="","",IF($B997="","EKSİK","TAM"))</f>
        <v/>
      </c>
    </row>
    <row r="998">
      <c r="F998" s="38">
        <f>IF($A998="","",IF($B998="","EKSİK","TAM"))</f>
        <v/>
      </c>
    </row>
    <row r="999">
      <c r="F999" s="38">
        <f>IF($A999="","",IF($B999="","EKSİK","TAM"))</f>
        <v/>
      </c>
    </row>
    <row r="1000">
      <c r="F1000" s="38">
        <f>IF($A1000="","",IF($B1000="","EKSİK","TAM"))</f>
        <v/>
      </c>
    </row>
    <row r="1001">
      <c r="F1001" s="38">
        <f>IF($A1001="","",IF($B1001="","EKSİK","TAM"))</f>
        <v/>
      </c>
    </row>
    <row r="1002">
      <c r="F1002" s="38">
        <f>IF($A1002="","",IF($B1002="","EKSİK","TAM"))</f>
        <v/>
      </c>
    </row>
    <row r="1003">
      <c r="F1003" s="38">
        <f>IF($A1003="","",IF($B1003="","EKSİK","TAM"))</f>
        <v/>
      </c>
    </row>
    <row r="1004">
      <c r="F1004" s="38">
        <f>IF($A1004="","",IF($B1004="","EKSİK","TAM"))</f>
        <v/>
      </c>
    </row>
    <row r="1026" ht="20" customHeight="1">
      <c r="A1026" s="42" t="inlineStr">
        <is>
          <t>Sarı alanlar giriş; eşik ve maliyet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26:AN1026"/>
    <mergeCell ref="A1:AD1"/>
  </mergeCells>
  <conditionalFormatting sqref="B9">
    <cfRule type="cellIs" priority="1" operator="lessThan" dxfId="5">
      <formula>0</formula>
    </cfRule>
    <cfRule type="cellIs" priority="2" operator="equal" dxfId="4">
      <formula>0</formula>
    </cfRule>
  </conditionalFormatting>
  <conditionalFormatting sqref="F24:F33">
    <cfRule type="expression" priority="3" dxfId="0">
      <formula>F24="EKSİK"</formula>
    </cfRule>
    <cfRule type="expression" priority="4" dxfId="1">
      <formula>F24="TAM"</formula>
    </cfRule>
  </conditionalFormatting>
  <dataValidations count="16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4" showDropDown="0" showInputMessage="1" showErrorMessage="1" allowBlank="0" errorTitle="Geçersiz" error="Listeden seçin." promptTitle="Fesih Türü" prompt="Haklı, Haksız veya Anlaşmalı seçin." type="list" errorStyle="stop">
      <formula1>ListeFesihTur</formula1>
    </dataValidation>
    <dataValidation sqref="B15" showDropDown="0" showInputMessage="1" showErrorMessage="1" allowBlank="0" errorTitle="Geçersiz" error="A veya B seçin." promptTitle="Yorum" prompt="Yorum modunda A veya B seçin." type="list" errorStyle="stop">
      <formula1>ListeYorumAB</formula1>
    </dataValidation>
    <dataValidation sqref="B26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2" showDropDown="0" showInputMessage="1" showErrorMessage="1" allowBlank="1" errorTitle="Geçersiz" error="Listeden seçin." promptTitle="Fesih Türü" prompt="Tablo satırında tür seçin." type="list" errorStyle="stop">
      <formula1>ListeFesihTur</formula1>
    </dataValidation>
    <dataValidation sqref="B33" showDropDown="0" showInputMessage="1" showErrorMessage="1" allowBlank="1" errorTitle="Geçersiz" error="A veya B." promptTitle="Yorum" prompt="A veya B." type="list" errorStyle="stop">
      <formula1>ListeYorumAB</formula1>
    </dataValidation>
    <dataValidation sqref="B9" showDropDown="0" showInputMessage="1" showErrorMessage="1" allowBlank="1" errorTitle="Geçersiz tutar" error="Sınır dışı değer." promptTitle="Brüt Ücret" prompt="0 ile 1e12 arasında TL." type="decimal" errorStyle="stop" operator="between">
      <formula1>0</formula1>
      <formula2>1000000000000</formula2>
    </dataValidation>
    <dataValidation sqref="B13" showDropDown="0" showInputMessage="1" showErrorMessage="1" allowBlank="1" errorTitle="Geçersiz tutar" error="Sınır dışı değer." promptTitle="Dava Masrafı" prompt="0 ile 1e12 arasında TL." type="decimal" errorStyle="stop" operator="between">
      <formula1>0</formula1>
      <formula2>1000000000000</formula2>
    </dataValidation>
    <dataValidation sqref="B27" showDropDown="0" showInputMessage="1" showErrorMessage="1" allowBlank="1" errorTitle="Geçersiz tutar" error="Sınır dışı değer." promptTitle="Brüt Ücret" prompt="Tablo: TL tutar." type="decimal" errorStyle="stop" operator="between">
      <formula1>0</formula1>
      <formula2>1000000000000</formula2>
    </dataValidation>
    <dataValidation sqref="B31" showDropDown="0" showInputMessage="1" showErrorMessage="1" allowBlank="1" errorTitle="Geçersiz tutar" error="Sınır dışı değer." promptTitle="Dava Masrafı" prompt="Tablo: TL tutar." type="decimal" errorStyle="stop" operator="between">
      <formula1>0</formula1>
      <formula2>1000000000000</formula2>
    </dataValidation>
    <dataValidation sqref="B12" showDropDown="0" showInputMessage="1" showErrorMessage="1" allowBlank="1" errorTitle="Geçersiz" error="0-1 arası." promptTitle="İşe İade Olasılığı" prompt="0 ile 1 arasında oran." type="decimal" errorStyle="stop" operator="between">
      <formula1>0</formula1>
      <formula2>1</formula2>
    </dataValidation>
    <dataValidation sqref="B30" showDropDown="0" showInputMessage="1" showErrorMessage="1" allowBlank="1" errorTitle="Geçersiz" error="0-1 arası." promptTitle="İşe İade Olasılığı" prompt="0 ile 1 arasında oran." type="decimal" errorStyle="stop" operator="between">
      <formula1>0</formula1>
      <formula2>1</formula2>
    </dataValidation>
    <dataValidation sqref="B10" showDropDown="0" showInputMessage="1" showErrorMessage="1" allowBlank="1" errorTitle="Geçersiz" error="0-50." promptTitle="Kıdem Yılı" prompt="0-50 arası tam sayı." type="whole" errorStyle="stop" operator="between">
      <formula1>0</formula1>
      <formula2>50</formula2>
    </dataValidation>
    <dataValidation sqref="B11" showDropDown="0" showInputMessage="1" showErrorMessage="1" allowBlank="1" errorTitle="Geçersiz" error="0-52." promptTitle="İhbar Hafta" prompt="0-52 arası tam sayı." type="whole" errorStyle="stop" operator="between">
      <formula1>0</formula1>
      <formula2>52</formula2>
    </dataValidation>
    <dataValidation sqref="B28" showDropDown="0" showInputMessage="1" showErrorMessage="1" allowBlank="1" errorTitle="Geçersiz" error="0-50." promptTitle="Kıdem Yılı" prompt="0-50 arası tam sayı." type="whole" errorStyle="stop" operator="between">
      <formula1>0</formula1>
      <formula2>50</formula2>
    </dataValidation>
    <dataValidation sqref="B29" showDropDown="0" showInputMessage="1" showErrorMessage="1" allowBlank="1" errorTitle="Geçersiz" error="0-52." promptTitle="İhbar Hafta" prompt="0-52 arası tam sayı." type="whole" errorStyle="stop" operator="between">
      <formula1>0</formula1>
      <formula2>52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26" customHeight="1">
      <c r="A1" s="1" t="inlineStr">
        <is>
          <t>KURALLAR — Fesih Maliyeti Simülatörü</t>
        </is>
      </c>
    </row>
    <row r="3">
      <c r="A3" s="44" t="inlineStr">
        <is>
          <t>Fesih maliyeti kural tablosu (yıl yan yana)</t>
        </is>
      </c>
    </row>
    <row r="4">
      <c r="A4" s="4" t="inlineStr">
        <is>
          <t>Parametreler MOTOR'da sabit yazılmaz; INDEX/MATCH ile buradan çekilir.</t>
        </is>
      </c>
    </row>
    <row r="6" ht="30" customHeight="1">
      <c r="A6" s="36" t="inlineStr">
        <is>
          <t>kural_id</t>
        </is>
      </c>
      <c r="B6" s="36" t="inlineStr">
        <is>
          <t>madde</t>
        </is>
      </c>
      <c r="C6" s="36" t="inlineStr">
        <is>
          <t>kural_adi</t>
        </is>
      </c>
      <c r="D6" s="36" t="inlineStr">
        <is>
          <t>kosul_metni</t>
        </is>
      </c>
      <c r="E6" s="36" t="inlineStr">
        <is>
          <t>parametre_adi</t>
        </is>
      </c>
      <c r="F6" s="36" t="inlineStr">
        <is>
          <t>deger_2025</t>
        </is>
      </c>
      <c r="G6" s="36" t="inlineStr">
        <is>
          <t>deger_2026</t>
        </is>
      </c>
      <c r="H6" s="36" t="inlineStr">
        <is>
          <t>deger_2027</t>
        </is>
      </c>
      <c r="I6" s="36" t="inlineStr">
        <is>
          <t>yururluk</t>
        </is>
      </c>
      <c r="J6" s="36" t="inlineStr">
        <is>
          <t>kaynak</t>
        </is>
      </c>
      <c r="K6" s="36" t="inlineStr">
        <is>
          <t>aktif_deger</t>
        </is>
      </c>
    </row>
    <row r="7">
      <c r="A7" s="7" t="inlineStr">
        <is>
          <t>FMS-001</t>
        </is>
      </c>
      <c r="B7" s="7" t="inlineStr">
        <is>
          <t>İş Kanunu m.14</t>
        </is>
      </c>
      <c r="C7" s="7" t="inlineStr">
        <is>
          <t>kidem_gun</t>
        </is>
      </c>
      <c r="D7" s="7" t="inlineStr">
        <is>
          <t>kıdem gün/yıl</t>
        </is>
      </c>
      <c r="E7" s="7" t="inlineStr">
        <is>
          <t>kidem_gun_katsayi</t>
        </is>
      </c>
      <c r="F7" s="45" t="n">
        <v>30</v>
      </c>
      <c r="G7" s="45" t="n">
        <v>30</v>
      </c>
      <c r="H7" s="45" t="n">
        <v>30</v>
      </c>
      <c r="I7" s="7" t="inlineStr">
        <is>
          <t>01.01.2025</t>
        </is>
      </c>
      <c r="J7" s="7" t="inlineStr">
        <is>
          <t>Kıdem gün katsayısı</t>
        </is>
      </c>
      <c r="K7" s="38">
        <f>IF($A7="","",IFERROR(CHOOSE(MAX(1,MIN(3,IF(OR(hesapYili="",hesapYili=0),1,hesapYili-fms_yilTaban))),$F7,$G7,$H7),0))</f>
        <v/>
      </c>
    </row>
    <row r="8">
      <c r="A8" s="7" t="inlineStr">
        <is>
          <t>FMS-002</t>
        </is>
      </c>
      <c r="B8" s="7" t="inlineStr">
        <is>
          <t>İş Kanunu m.17</t>
        </is>
      </c>
      <c r="C8" s="7" t="inlineStr">
        <is>
          <t>ihbar_gun</t>
        </is>
      </c>
      <c r="D8" s="7" t="inlineStr">
        <is>
          <t>ihbar günlük çarpan</t>
        </is>
      </c>
      <c r="E8" s="7" t="inlineStr">
        <is>
          <t>ihbar_gunluk_carpan</t>
        </is>
      </c>
      <c r="F8" s="45" t="n">
        <v>7</v>
      </c>
      <c r="G8" s="45" t="n">
        <v>7</v>
      </c>
      <c r="H8" s="45" t="n">
        <v>7</v>
      </c>
      <c r="I8" s="7" t="inlineStr">
        <is>
          <t>01.01.2025</t>
        </is>
      </c>
      <c r="J8" s="7" t="inlineStr">
        <is>
          <t>Haftalık ihbar günü</t>
        </is>
      </c>
      <c r="K8" s="38">
        <f>IF($A8="","",IFERROR(CHOOSE(MAX(1,MIN(3,IF(OR(hesapYili="",hesapYili=0),1,hesapYili-fms_yilTaban))),$F8,$G8,$H8),0))</f>
        <v/>
      </c>
    </row>
    <row r="9">
      <c r="A9" s="7" t="inlineStr">
        <is>
          <t>FMS-003</t>
        </is>
      </c>
      <c r="B9" s="7" t="inlineStr">
        <is>
          <t>İç politika</t>
        </is>
      </c>
      <c r="C9" s="7" t="inlineStr">
        <is>
          <t>pahali_ay</t>
        </is>
      </c>
      <c r="D9" s="7" t="inlineStr">
        <is>
          <t>doğrudan ≥ brüt×ay</t>
        </is>
      </c>
      <c r="E9" s="7" t="inlineStr">
        <is>
          <t>pahali_esik_ay</t>
        </is>
      </c>
      <c r="F9" s="45" t="n">
        <v>8</v>
      </c>
      <c r="G9" s="45" t="n">
        <v>8</v>
      </c>
      <c r="H9" s="45" t="n">
        <v>8</v>
      </c>
      <c r="I9" s="7" t="inlineStr">
        <is>
          <t>01.01.2025</t>
        </is>
      </c>
      <c r="J9" s="7" t="inlineStr">
        <is>
          <t>PAHALI eşik (ay)</t>
        </is>
      </c>
      <c r="K9" s="38">
        <f>IF($A9="","",IFERROR(CHOOSE(MAX(1,MIN(3,IF(OR(hesapYili="",hesapYili=0),1,hesapYili-fms_yilTaban))),$F9,$G9,$H9),0))</f>
        <v/>
      </c>
    </row>
    <row r="10">
      <c r="A10" s="7" t="inlineStr">
        <is>
          <t>FMS-004</t>
        </is>
      </c>
      <c r="B10" s="7" t="inlineStr">
        <is>
          <t>İç politika</t>
        </is>
      </c>
      <c r="C10" s="7" t="inlineStr">
        <is>
          <t>risk_olasilik</t>
        </is>
      </c>
      <c r="D10" s="7" t="inlineStr">
        <is>
          <t>olasılık ≥ eşik</t>
        </is>
      </c>
      <c r="E10" s="7" t="inlineStr">
        <is>
          <t>riskli_olasilik</t>
        </is>
      </c>
      <c r="F10" s="46" t="n">
        <v>0.4</v>
      </c>
      <c r="G10" s="46" t="n">
        <v>0.4</v>
      </c>
      <c r="H10" s="46" t="n">
        <v>0.4</v>
      </c>
      <c r="I10" s="7" t="inlineStr">
        <is>
          <t>01.01.2025</t>
        </is>
      </c>
      <c r="J10" s="7" t="inlineStr">
        <is>
          <t>RİSKLİ olasılık eşiği</t>
        </is>
      </c>
      <c r="K10" s="38">
        <f>IF($A10="","",IFERROR(CHOOSE(MAX(1,MIN(3,IF(OR(hesapYili="",hesapYili=0),1,hesapYili-fms_yilTaban))),$F10,$G10,$H10),0))</f>
        <v/>
      </c>
    </row>
    <row r="11">
      <c r="A11" s="7" t="inlineStr">
        <is>
          <t>FMS-005</t>
        </is>
      </c>
      <c r="B11" s="7" t="inlineStr">
        <is>
          <t>İş Kanunu işe iade</t>
        </is>
      </c>
      <c r="C11" s="7" t="inlineStr">
        <is>
          <t>iade_ay</t>
        </is>
      </c>
      <c r="D11" s="7" t="inlineStr">
        <is>
          <t>işe iade ay + yuvarlama</t>
        </is>
      </c>
      <c r="E11" s="7" t="inlineStr">
        <is>
          <t>ise_iade_ay</t>
        </is>
      </c>
      <c r="F11" s="45" t="n">
        <v>4</v>
      </c>
      <c r="G11" s="45" t="n">
        <v>4</v>
      </c>
      <c r="H11" s="45" t="n">
        <v>4</v>
      </c>
      <c r="I11" s="7" t="inlineStr">
        <is>
          <t>01.01.2025</t>
        </is>
      </c>
      <c r="J11" s="7" t="inlineStr">
        <is>
          <t>İşe iade tazminat ayı</t>
        </is>
      </c>
      <c r="K11" s="38">
        <f>IF($A11="","",IFERROR(CHOOSE(MAX(1,MIN(3,IF(OR(hesapYili="",hesapYili=0),1,hesapYili-fms_yilTaban))),$F11,$G11,$H11),0))</f>
        <v/>
      </c>
    </row>
    <row r="14">
      <c r="A14" s="10" t="inlineStr">
        <is>
          <t>Kural-yıl matrisi özeti</t>
        </is>
      </c>
    </row>
    <row r="15">
      <c r="A15" s="7" t="inlineStr">
        <is>
          <t>Kıdem gün (aktif yıl)</t>
        </is>
      </c>
      <c r="B15" s="24">
        <f>IFERROR(INDEX(CHOOSE(MAX(1,MIN(3,IF(OR(hesapYili="",hesapYili=0),1,hesapYili-fms_yilTaban))),tblKurallar[deger_2025],tblKurallar[deger_2026],tblKurallar[deger_2027]),MATCH("FMS-001",tblKurallar[kural_id],0)),0)</f>
        <v/>
      </c>
    </row>
    <row r="16">
      <c r="A16" s="7" t="inlineStr">
        <is>
          <t>Pahalı eşik ay (aktif yıl)</t>
        </is>
      </c>
      <c r="B16" s="24">
        <f>IFERROR(INDEX(CHOOSE(MAX(1,MIN(3,IF(OR(hesapYili="",hesapYili=0),1,hesapYili-fms_yilTaban))),tblKurallar[deger_2025],tblKurallar[deger_2026],tblKurallar[deger_2027]),MATCH("FMS-003",tblKurallar[kural_id],0)),0)</f>
        <v/>
      </c>
    </row>
    <row r="17">
      <c r="A17" s="7" t="inlineStr">
        <is>
          <t>Matris metni</t>
        </is>
      </c>
      <c r="B17" s="18">
        <f>IFERROR(_xlfn.TEXTJOIN(" | ",TRUE,"FMS-001=",TEXT(B15,"0"),"FMS-003=",TEXT(B16,"0"),"yıl=",IF(OR(hesapYili="",hesapYili=0),"-",hesapYili)),"-")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conditionalFormatting sqref="F7:H11">
    <cfRule type="cellIs" priority="1" operator="lessThan" dxfId="0">
      <formula>0</formula>
    </cfRule>
  </conditionalFormatting>
  <conditionalFormatting sqref="K7:K11">
    <cfRule type="cellIs" priority="2" operator="greaterThan" dxfId="3">
      <formula>0</formula>
    </cfRule>
  </conditionalFormatting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8064A2"/>
    <outlinePr summaryBelow="1" summaryRight="1"/>
    <pageSetUpPr/>
  </sheetPr>
  <dimension ref="A1:AD5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Fesih Maliyeti Simülatörü</t>
        </is>
      </c>
    </row>
    <row r="3">
      <c r="A3" s="44" t="inlineStr">
        <is>
          <t>Hesap zinciri — her adımda kural_id</t>
        </is>
      </c>
    </row>
    <row r="4">
      <c r="A4" s="4" t="inlineStr">
        <is>
          <t>Parametreler tblKurallar'dan çekilir; sabit eşik yoktur.</t>
        </is>
      </c>
    </row>
    <row r="6" ht="30" customHeight="1">
      <c r="A6" s="36" t="inlineStr">
        <is>
          <t>adim</t>
        </is>
      </c>
      <c r="B6" s="36" t="inlineStr">
        <is>
          <t>ad</t>
        </is>
      </c>
      <c r="C6" s="36" t="inlineStr">
        <is>
          <t>formul</t>
        </is>
      </c>
      <c r="D6" s="36" t="inlineStr">
        <is>
          <t>birim</t>
        </is>
      </c>
      <c r="E6" s="36" t="inlineStr">
        <is>
          <t>ne_ise_yarar</t>
        </is>
      </c>
      <c r="F6" s="36" t="inlineStr">
        <is>
          <t>kural_id</t>
        </is>
      </c>
      <c r="G6" s="36" t="inlineStr">
        <is>
          <t>deger</t>
        </is>
      </c>
    </row>
    <row r="7">
      <c r="A7" s="47" t="n">
        <v>1</v>
      </c>
      <c r="B7" s="48" t="inlineStr">
        <is>
          <t>Hesap yılı oku</t>
        </is>
      </c>
      <c r="C7" s="49">
        <f>IFERROR(hesapYili,0)</f>
        <v/>
      </c>
      <c r="D7" s="50" t="inlineStr">
        <is>
          <t>yıl</t>
        </is>
      </c>
      <c r="E7" s="6" t="inlineStr">
        <is>
          <t>Aktif kural yılı</t>
        </is>
      </c>
      <c r="F7" s="51" t="inlineStr">
        <is>
          <t>FMS-005</t>
        </is>
      </c>
      <c r="G7" s="24">
        <f>IFERROR(hesapYili,0)</f>
        <v/>
      </c>
    </row>
    <row r="8">
      <c r="A8" s="47" t="n">
        <v>2</v>
      </c>
      <c r="B8" s="48" t="inlineStr">
        <is>
          <t>Kıdem gün katsayısı</t>
        </is>
      </c>
      <c r="C8" s="49">
        <f>IFERROR(INDEX(CHOOSE(MAX(1,MIN(3,IF(OR(hesapYili="",hesapYili=0),1,hesapYili-fms_yilTaban))),tblKurallar[deger_2025],tblKurallar[deger_2026],tblKurallar[deger_2027]),MATCH("FMS-001",tblKurallar[kural_id],0)),0)</f>
        <v/>
      </c>
      <c r="D8" s="50" t="inlineStr">
        <is>
          <t>adet</t>
        </is>
      </c>
      <c r="E8" s="6" t="inlineStr">
        <is>
          <t>Gün/yıl katsayısı</t>
        </is>
      </c>
      <c r="F8" s="51" t="inlineStr">
        <is>
          <t>FMS-001</t>
        </is>
      </c>
      <c r="G8" s="24">
        <f>IFERROR(INDEX(CHOOSE(MAX(1,MIN(3,IF(OR(hesapYili="",hesapYili=0),1,hesapYili-fms_yilTaban))),tblKurallar[deger_2025],tblKurallar[deger_2026],tblKurallar[deger_2027]),MATCH("FMS-001",tblKurallar[kural_id],0)),0)</f>
        <v/>
      </c>
    </row>
    <row r="9">
      <c r="A9" s="47" t="n">
        <v>3</v>
      </c>
      <c r="B9" s="48" t="inlineStr">
        <is>
          <t>İhbar günlük çarpan</t>
        </is>
      </c>
      <c r="C9" s="49">
        <f>IFERROR(INDEX(CHOOSE(MAX(1,MIN(3,IF(OR(hesapYili="",hesapYili=0),1,hesapYili-fms_yilTaban))),tblKurallar[deger_2025],tblKurallar[deger_2026],tblKurallar[deger_2027]),MATCH("FMS-002",tblKurallar[kural_id],0)),0)</f>
        <v/>
      </c>
      <c r="D9" s="50" t="inlineStr">
        <is>
          <t>adet</t>
        </is>
      </c>
      <c r="E9" s="6" t="inlineStr">
        <is>
          <t>Haftalık gün</t>
        </is>
      </c>
      <c r="F9" s="51" t="inlineStr">
        <is>
          <t>FMS-002</t>
        </is>
      </c>
      <c r="G9" s="24">
        <f>IFERROR(INDEX(CHOOSE(MAX(1,MIN(3,IF(OR(hesapYili="",hesapYili=0),1,hesapYili-fms_yilTaban))),tblKurallar[deger_2025],tblKurallar[deger_2026],tblKurallar[deger_2027]),MATCH("FMS-002",tblKurallar[kural_id],0)),0)</f>
        <v/>
      </c>
    </row>
    <row r="10">
      <c r="A10" s="47" t="n">
        <v>4</v>
      </c>
      <c r="B10" s="48" t="inlineStr">
        <is>
          <t>Pahalı eşik ay</t>
        </is>
      </c>
      <c r="C10" s="49">
        <f>IFERROR(INDEX(CHOOSE(MAX(1,MIN(3,IF(OR(hesapYili="",hesapYili=0),1,hesapYili-fms_yilTaban))),tblKurallar[deger_2025],tblKurallar[deger_2026],tblKurallar[deger_2027]),MATCH("FMS-003",tblKurallar[kural_id],0)),0)</f>
        <v/>
      </c>
      <c r="D10" s="50" t="inlineStr">
        <is>
          <t>adet</t>
        </is>
      </c>
      <c r="E10" s="6" t="inlineStr">
        <is>
          <t>PAHALI brüt×ay</t>
        </is>
      </c>
      <c r="F10" s="51" t="inlineStr">
        <is>
          <t>FMS-003</t>
        </is>
      </c>
      <c r="G10" s="24">
        <f>IFERROR(INDEX(CHOOSE(MAX(1,MIN(3,IF(OR(hesapYili="",hesapYili=0),1,hesapYili-fms_yilTaban))),tblKurallar[deger_2025],tblKurallar[deger_2026],tblKurallar[deger_2027]),MATCH("FMS-003",tblKurallar[kural_id],0)),0)</f>
        <v/>
      </c>
    </row>
    <row r="11">
      <c r="A11" s="47" t="n">
        <v>5</v>
      </c>
      <c r="B11" s="48" t="inlineStr">
        <is>
          <t>Riskli olasılık eşiği</t>
        </is>
      </c>
      <c r="C11" s="52">
        <f>IFERROR(INDEX(CHOOSE(MAX(1,MIN(3,IF(OR(hesapYili="",hesapYili=0),1,hesapYili-fms_yilTaban))),tblKurallar[deger_2025],tblKurallar[deger_2026],tblKurallar[deger_2027]),MATCH("FMS-004",tblKurallar[kural_id],0)),0)</f>
        <v/>
      </c>
      <c r="D11" s="50" t="inlineStr">
        <is>
          <t>oran</t>
        </is>
      </c>
      <c r="E11" s="6" t="inlineStr">
        <is>
          <t>RİSKLİ olasılık</t>
        </is>
      </c>
      <c r="F11" s="51" t="inlineStr">
        <is>
          <t>FMS-004</t>
        </is>
      </c>
      <c r="G11" s="21">
        <f>IFERROR(INDEX(CHOOSE(MAX(1,MIN(3,IF(OR(hesapYili="",hesapYili=0),1,hesapYili-fms_yilTaban))),tblKurallar[deger_2025],tblKurallar[deger_2026],tblKurallar[deger_2027]),MATCH("FMS-004",tblKurallar[kural_id],0)),0)</f>
        <v/>
      </c>
    </row>
    <row r="12">
      <c r="A12" s="47" t="n">
        <v>6</v>
      </c>
      <c r="B12" s="48" t="inlineStr">
        <is>
          <t>İşe iade ayı</t>
        </is>
      </c>
      <c r="C12" s="49">
        <f>IFERROR(INDEX(CHOOSE(MAX(1,MIN(3,IF(OR(hesapYili="",hesapYili=0),1,hesapYili-fms_yilTaban))),tblKurallar[deger_2025],tblKurallar[deger_2026],tblKurallar[deger_2027]),MATCH("FMS-005",tblKurallar[kural_id],0)),0)</f>
        <v/>
      </c>
      <c r="D12" s="50" t="inlineStr">
        <is>
          <t>adet</t>
        </is>
      </c>
      <c r="E12" s="6" t="inlineStr">
        <is>
          <t>İade tazminat ayı</t>
        </is>
      </c>
      <c r="F12" s="51" t="inlineStr">
        <is>
          <t>FMS-005</t>
        </is>
      </c>
      <c r="G12" s="24">
        <f>IFERROR(INDEX(CHOOSE(MAX(1,MIN(3,IF(OR(hesapYili="",hesapYili=0),1,hesapYili-fms_yilTaban))),tblKurallar[deger_2025],tblKurallar[deger_2026],tblKurallar[deger_2027]),MATCH("FMS-005",tblKurallar[kural_id],0)),0)</f>
        <v/>
      </c>
    </row>
    <row r="13">
      <c r="A13" s="47" t="n">
        <v>7</v>
      </c>
      <c r="B13" s="48" t="inlineStr">
        <is>
          <t>Brüt ücret</t>
        </is>
      </c>
      <c r="C13" s="53">
        <f>IFERROR(GIRDI!B9,0)</f>
        <v/>
      </c>
      <c r="D13" s="50" t="inlineStr">
        <is>
          <t>TL</t>
        </is>
      </c>
      <c r="E13" s="6" t="inlineStr">
        <is>
          <t>Aylık brüt</t>
        </is>
      </c>
      <c r="F13" s="51" t="inlineStr">
        <is>
          <t>FMS-001</t>
        </is>
      </c>
      <c r="G13" s="22">
        <f>IFERROR(GIRDI!B9,0)</f>
        <v/>
      </c>
    </row>
    <row r="14">
      <c r="A14" s="47" t="n">
        <v>8</v>
      </c>
      <c r="B14" s="48" t="inlineStr">
        <is>
          <t>Kıdem yılı</t>
        </is>
      </c>
      <c r="C14" s="49">
        <f>IFERROR(GIRDI!B10,0)</f>
        <v/>
      </c>
      <c r="D14" s="50" t="inlineStr">
        <is>
          <t>adet</t>
        </is>
      </c>
      <c r="E14" s="6" t="inlineStr">
        <is>
          <t>Kıdem yılı</t>
        </is>
      </c>
      <c r="F14" s="51" t="inlineStr">
        <is>
          <t>FMS-001</t>
        </is>
      </c>
      <c r="G14" s="24">
        <f>IFERROR(GIRDI!B10,0)</f>
        <v/>
      </c>
    </row>
    <row r="15">
      <c r="A15" s="47" t="n">
        <v>9</v>
      </c>
      <c r="B15" s="48" t="inlineStr">
        <is>
          <t>İhbar hafta</t>
        </is>
      </c>
      <c r="C15" s="49">
        <f>IFERROR(GIRDI!B11,0)</f>
        <v/>
      </c>
      <c r="D15" s="50" t="inlineStr">
        <is>
          <t>adet</t>
        </is>
      </c>
      <c r="E15" s="6" t="inlineStr">
        <is>
          <t>İhbar süresi</t>
        </is>
      </c>
      <c r="F15" s="51" t="inlineStr">
        <is>
          <t>FMS-002</t>
        </is>
      </c>
      <c r="G15" s="24">
        <f>IFERROR(GIRDI!B11,0)</f>
        <v/>
      </c>
    </row>
    <row r="16">
      <c r="A16" s="47" t="n">
        <v>10</v>
      </c>
      <c r="B16" s="48" t="inlineStr">
        <is>
          <t>İşe iade olasılığı</t>
        </is>
      </c>
      <c r="C16" s="52">
        <f>IFERROR(GIRDI!B12,0)</f>
        <v/>
      </c>
      <c r="D16" s="50" t="inlineStr">
        <is>
          <t>oran</t>
        </is>
      </c>
      <c r="E16" s="6" t="inlineStr">
        <is>
          <t>Dava olasılığı</t>
        </is>
      </c>
      <c r="F16" s="51" t="inlineStr">
        <is>
          <t>FMS-004</t>
        </is>
      </c>
      <c r="G16" s="21">
        <f>IFERROR(GIRDI!B12,0)</f>
        <v/>
      </c>
    </row>
    <row r="17">
      <c r="A17" s="47" t="n">
        <v>11</v>
      </c>
      <c r="B17" s="48" t="inlineStr">
        <is>
          <t>Dava masrafı</t>
        </is>
      </c>
      <c r="C17" s="53">
        <f>IFERROR(GIRDI!B13,0)</f>
        <v/>
      </c>
      <c r="D17" s="50" t="inlineStr">
        <is>
          <t>TL</t>
        </is>
      </c>
      <c r="E17" s="6" t="inlineStr">
        <is>
          <t>Dava/vekalet</t>
        </is>
      </c>
      <c r="F17" s="51" t="inlineStr">
        <is>
          <t>FMS-004</t>
        </is>
      </c>
      <c r="G17" s="22">
        <f>IFERROR(GIRDI!B13,0)</f>
        <v/>
      </c>
    </row>
    <row r="18">
      <c r="A18" s="47" t="n">
        <v>12</v>
      </c>
      <c r="B18" s="48" t="inlineStr">
        <is>
          <t>Fesih türü kodu</t>
        </is>
      </c>
      <c r="C18" s="49">
        <f>IFERROR(IF(GIRDI!B14="Haklı",1,IF(GIRDI!B14="Anlaşmalı",2,3)),0)</f>
        <v/>
      </c>
      <c r="D18" s="50" t="inlineStr">
        <is>
          <t>adet</t>
        </is>
      </c>
      <c r="E18" s="6" t="inlineStr">
        <is>
          <t>1=Haklı 2=Anlaşmalı 3=Haksız</t>
        </is>
      </c>
      <c r="F18" s="51" t="inlineStr">
        <is>
          <t>FMS-005</t>
        </is>
      </c>
      <c r="G18" s="24">
        <f>IFERROR(IF(GIRDI!B14="Haklı",1,IF(GIRDI!B14="Anlaşmalı",2,3)),0)</f>
        <v/>
      </c>
    </row>
    <row r="19">
      <c r="A19" s="47" t="n">
        <v>13</v>
      </c>
      <c r="B19" s="48" t="inlineStr">
        <is>
          <t>Yorum çarpanı</t>
        </is>
      </c>
      <c r="C19" s="52">
        <f>IFERROR(IF(GIRDI!B15="B",fms_yorumBCarpan,1),0)</f>
        <v/>
      </c>
      <c r="D19" s="50" t="inlineStr">
        <is>
          <t>çarpan</t>
        </is>
      </c>
      <c r="E19" s="6" t="inlineStr">
        <is>
          <t>Yorum A/B kıdem çarpanı</t>
        </is>
      </c>
      <c r="F19" s="51" t="inlineStr">
        <is>
          <t>FMS-005</t>
        </is>
      </c>
      <c r="G19" s="21">
        <f>IFERROR(IF(GIRDI!B15="B",fms_yorumBCarpan,1),0)</f>
        <v/>
      </c>
    </row>
    <row r="20">
      <c r="A20" s="47" t="n">
        <v>14</v>
      </c>
      <c r="B20" s="48" t="inlineStr">
        <is>
          <t>Haklı kıdem bayrağı</t>
        </is>
      </c>
      <c r="C20" s="49">
        <f>IFERROR(IF(G18=1,0,1),0)</f>
        <v/>
      </c>
      <c r="D20" s="50" t="inlineStr">
        <is>
          <t>bayrak</t>
        </is>
      </c>
      <c r="E20" s="6" t="inlineStr">
        <is>
          <t>Haklıda kıdem=0</t>
        </is>
      </c>
      <c r="F20" s="51" t="inlineStr">
        <is>
          <t>FMS-001</t>
        </is>
      </c>
      <c r="G20" s="24">
        <f>IFERROR(IF(G18=1,0,1),0)</f>
        <v/>
      </c>
    </row>
    <row r="21">
      <c r="A21" s="47" t="n">
        <v>15</v>
      </c>
      <c r="B21" s="48" t="inlineStr">
        <is>
          <t>Haklı ihbar bayrağı</t>
        </is>
      </c>
      <c r="C21" s="49">
        <f>IFERROR(IF(G18=1,0,1),0)</f>
        <v/>
      </c>
      <c r="D21" s="50" t="inlineStr">
        <is>
          <t>bayrak</t>
        </is>
      </c>
      <c r="E21" s="6" t="inlineStr">
        <is>
          <t>Haklıda ihbar=0</t>
        </is>
      </c>
      <c r="F21" s="51" t="inlineStr">
        <is>
          <t>FMS-002</t>
        </is>
      </c>
      <c r="G21" s="24">
        <f>IFERROR(IF(G18=1,0,1),0)</f>
        <v/>
      </c>
    </row>
    <row r="22">
      <c r="A22" s="47" t="n">
        <v>16</v>
      </c>
      <c r="B22" s="48" t="inlineStr">
        <is>
          <t>Anlaşmalı iade çarpanı</t>
        </is>
      </c>
      <c r="C22" s="52">
        <f>IFERROR(IF(G18=2,fms_anlasmaliIadeCarpan,1),0)</f>
        <v/>
      </c>
      <c r="D22" s="50" t="inlineStr">
        <is>
          <t>çarpan</t>
        </is>
      </c>
      <c r="E22" s="6" t="inlineStr">
        <is>
          <t>Anlaşmalıda iade ↓</t>
        </is>
      </c>
      <c r="F22" s="51" t="inlineStr">
        <is>
          <t>FMS-004</t>
        </is>
      </c>
      <c r="G22" s="21">
        <f>IFERROR(IF(G18=2,fms_anlasmaliIadeCarpan,1),0)</f>
        <v/>
      </c>
    </row>
    <row r="23">
      <c r="A23" s="47" t="n">
        <v>17</v>
      </c>
      <c r="B23" s="48" t="inlineStr">
        <is>
          <t>Kıdem tazminatı</t>
        </is>
      </c>
      <c r="C23" s="53">
        <f>IFERROR(ROUND(G13*G14*(G8/30)*G19*G20,MAX(0,MIN(fms_yuvarMax,IFERROR(N(G12),0)))),0)</f>
        <v/>
      </c>
      <c r="D23" s="50" t="inlineStr">
        <is>
          <t>TL</t>
        </is>
      </c>
      <c r="E23" s="6" t="inlineStr">
        <is>
          <t>Brüt×yıl×katsayı/30</t>
        </is>
      </c>
      <c r="F23" s="51" t="inlineStr">
        <is>
          <t>FMS-001</t>
        </is>
      </c>
      <c r="G23" s="22">
        <f>IFERROR(ROUND(G13*G14*(G8/30)*G19*G20,MAX(0,MIN(fms_yuvarMax,IFERROR(N(G12),0)))),0)</f>
        <v/>
      </c>
    </row>
    <row r="24">
      <c r="A24" s="47" t="n">
        <v>18</v>
      </c>
      <c r="B24" s="48" t="inlineStr">
        <is>
          <t>İhbar tazminatı</t>
        </is>
      </c>
      <c r="C24" s="53">
        <f>IFERROR(ROUND(IF(G13=0,0,G13/30*G9*G15)*G21,MAX(0,MIN(fms_yuvarMax,IFERROR(N(G12),0)))),0)</f>
        <v/>
      </c>
      <c r="D24" s="50" t="inlineStr">
        <is>
          <t>TL</t>
        </is>
      </c>
      <c r="E24" s="6" t="inlineStr">
        <is>
          <t>Brüt/30×gün×hafta</t>
        </is>
      </c>
      <c r="F24" s="51" t="inlineStr">
        <is>
          <t>FMS-002</t>
        </is>
      </c>
      <c r="G24" s="22">
        <f>IFERROR(ROUND(IF(G13=0,0,G13/30*G9*G15)*G21,MAX(0,MIN(fms_yuvarMax,IFERROR(N(G12),0)))),0)</f>
        <v/>
      </c>
    </row>
    <row r="25">
      <c r="A25" s="47" t="n">
        <v>19</v>
      </c>
      <c r="B25" s="48" t="inlineStr">
        <is>
          <t>Doğrudan maliyet</t>
        </is>
      </c>
      <c r="C25" s="53">
        <f>IFERROR(G23+G24,0)</f>
        <v/>
      </c>
      <c r="D25" s="50" t="inlineStr">
        <is>
          <t>TL</t>
        </is>
      </c>
      <c r="E25" s="6" t="inlineStr">
        <is>
          <t>Kıdem+ihbar</t>
        </is>
      </c>
      <c r="F25" s="51" t="inlineStr">
        <is>
          <t>FMS-003</t>
        </is>
      </c>
      <c r="G25" s="22">
        <f>IFERROR(G23+G24,0)</f>
        <v/>
      </c>
    </row>
    <row r="26">
      <c r="A26" s="47" t="n">
        <v>20</v>
      </c>
      <c r="B26" s="48" t="inlineStr">
        <is>
          <t>İşe iade brüt ek</t>
        </is>
      </c>
      <c r="C26" s="53">
        <f>IFERROR(G13*G12,0)</f>
        <v/>
      </c>
      <c r="D26" s="50" t="inlineStr">
        <is>
          <t>TL</t>
        </is>
      </c>
      <c r="E26" s="6" t="inlineStr">
        <is>
          <t>Brüt×iade ayı</t>
        </is>
      </c>
      <c r="F26" s="51" t="inlineStr">
        <is>
          <t>FMS-005</t>
        </is>
      </c>
      <c r="G26" s="22">
        <f>IFERROR(G13*G12,0)</f>
        <v/>
      </c>
    </row>
    <row r="27">
      <c r="A27" s="47" t="n">
        <v>21</v>
      </c>
      <c r="B27" s="48" t="inlineStr">
        <is>
          <t>İşe iade beklenen ek</t>
        </is>
      </c>
      <c r="C27" s="53">
        <f>IFERROR(ROUND(G16*(G26+G17)*G22,MAX(0,MIN(fms_yuvarMax,IFERROR(N(G12),0)))),0)</f>
        <v/>
      </c>
      <c r="D27" s="50" t="inlineStr">
        <is>
          <t>TL</t>
        </is>
      </c>
      <c r="E27" s="6" t="inlineStr">
        <is>
          <t>Olasılık×(ek+dava)</t>
        </is>
      </c>
      <c r="F27" s="51" t="inlineStr">
        <is>
          <t>FMS-004</t>
        </is>
      </c>
      <c r="G27" s="22">
        <f>IFERROR(ROUND(G16*(G26+G17)*G22,MAX(0,MIN(fms_yuvarMax,IFERROR(N(G12),0)))),0)</f>
        <v/>
      </c>
    </row>
    <row r="28">
      <c r="A28" s="47" t="n">
        <v>22</v>
      </c>
      <c r="B28" s="48" t="inlineStr">
        <is>
          <t>Beklenen toplam</t>
        </is>
      </c>
      <c r="C28" s="53">
        <f>IFERROR(G25+G27,0)</f>
        <v/>
      </c>
      <c r="D28" s="50" t="inlineStr">
        <is>
          <t>TL</t>
        </is>
      </c>
      <c r="E28" s="6" t="inlineStr">
        <is>
          <t>Doğrudan+beklenen ek</t>
        </is>
      </c>
      <c r="F28" s="51" t="inlineStr">
        <is>
          <t>FMS-003</t>
        </is>
      </c>
      <c r="G28" s="22">
        <f>IFERROR(G25+G27,0)</f>
        <v/>
      </c>
    </row>
    <row r="29">
      <c r="A29" s="47" t="n">
        <v>23</v>
      </c>
      <c r="B29" s="48" t="inlineStr">
        <is>
          <t>Kıdem (pano)</t>
        </is>
      </c>
      <c r="C29" s="53">
        <f>IFERROR(G23,0)</f>
        <v/>
      </c>
      <c r="D29" s="50" t="inlineStr">
        <is>
          <t>TL</t>
        </is>
      </c>
      <c r="E29" s="6" t="inlineStr">
        <is>
          <t>Kıdem ayna</t>
        </is>
      </c>
      <c r="F29" s="51" t="inlineStr">
        <is>
          <t>FMS-001</t>
        </is>
      </c>
      <c r="G29" s="22">
        <f>IFERROR(G23,0)</f>
        <v/>
      </c>
    </row>
    <row r="30">
      <c r="A30" s="47" t="n">
        <v>24</v>
      </c>
      <c r="B30" s="48" t="inlineStr">
        <is>
          <t>İhbar (pano)</t>
        </is>
      </c>
      <c r="C30" s="53">
        <f>IFERROR(G24,0)</f>
        <v/>
      </c>
      <c r="D30" s="50" t="inlineStr">
        <is>
          <t>TL</t>
        </is>
      </c>
      <c r="E30" s="6" t="inlineStr">
        <is>
          <t>İhbar ayna</t>
        </is>
      </c>
      <c r="F30" s="51" t="inlineStr">
        <is>
          <t>FMS-002</t>
        </is>
      </c>
      <c r="G30" s="22">
        <f>IFERROR(G24,0)</f>
        <v/>
      </c>
    </row>
    <row r="31">
      <c r="A31" s="47" t="n">
        <v>25</v>
      </c>
      <c r="B31" s="48" t="inlineStr">
        <is>
          <t>Doğrudan (pano)</t>
        </is>
      </c>
      <c r="C31" s="53">
        <f>IFERROR(G25,0)</f>
        <v/>
      </c>
      <c r="D31" s="50" t="inlineStr">
        <is>
          <t>TL</t>
        </is>
      </c>
      <c r="E31" s="6" t="inlineStr">
        <is>
          <t>Doğrudan ayna</t>
        </is>
      </c>
      <c r="F31" s="51" t="inlineStr">
        <is>
          <t>FMS-003</t>
        </is>
      </c>
      <c r="G31" s="22">
        <f>IFERROR(G25,0)</f>
        <v/>
      </c>
    </row>
    <row r="32">
      <c r="A32" s="47" t="n">
        <v>26</v>
      </c>
      <c r="B32" s="48" t="inlineStr">
        <is>
          <t>Beklenen (pano)</t>
        </is>
      </c>
      <c r="C32" s="53">
        <f>IFERROR(G28,0)</f>
        <v/>
      </c>
      <c r="D32" s="50" t="inlineStr">
        <is>
          <t>TL</t>
        </is>
      </c>
      <c r="E32" s="6" t="inlineStr">
        <is>
          <t>Beklenen ayna</t>
        </is>
      </c>
      <c r="F32" s="51" t="inlineStr">
        <is>
          <t>FMS-003</t>
        </is>
      </c>
      <c r="G32" s="22">
        <f>IFERROR(G28,0)</f>
        <v/>
      </c>
    </row>
    <row r="33">
      <c r="A33" s="47" t="n">
        <v>27</v>
      </c>
      <c r="B33" s="48" t="inlineStr">
        <is>
          <t>Pahalı eşik TL</t>
        </is>
      </c>
      <c r="C33" s="53">
        <f>IFERROR(G13*G10,0)</f>
        <v/>
      </c>
      <c r="D33" s="50" t="inlineStr">
        <is>
          <t>TL</t>
        </is>
      </c>
      <c r="E33" s="6" t="inlineStr">
        <is>
          <t>Brüt×pahalı ay</t>
        </is>
      </c>
      <c r="F33" s="51" t="inlineStr">
        <is>
          <t>FMS-003</t>
        </is>
      </c>
      <c r="G33" s="22">
        <f>IFERROR(G13*G10,0)</f>
        <v/>
      </c>
    </row>
    <row r="34">
      <c r="A34" s="47" t="n">
        <v>28</v>
      </c>
      <c r="B34" s="48" t="inlineStr">
        <is>
          <t>Karar kodu</t>
        </is>
      </c>
      <c r="C34" s="18">
        <f>IFERROR(IF(COUNTA(tblGirdi[Alan Anahtarı])=0,"VERI_YOK",IF(OR(G13&lt;=0,G14&lt;0,G15&lt;0,G16&lt;0,G16&gt;1),"RISKLI",IF(OR(COUNTIF(tblOrnek[Brut],"&gt;="&amp;fms_azamiEsik)&gt;0,G16&gt;=G11,G28&gt;G13*12),"RISKLI",IF(G25&gt;=G33,"PAHALI","UYGUN")))),"")</f>
        <v/>
      </c>
      <c r="D34" s="50" t="inlineStr">
        <is>
          <t>kod</t>
        </is>
      </c>
      <c r="E34" s="6" t="inlineStr">
        <is>
          <t>Karar kodu</t>
        </is>
      </c>
      <c r="F34" s="51" t="inlineStr">
        <is>
          <t>FMS-005</t>
        </is>
      </c>
      <c r="G34" s="23">
        <f>IFERROR(IF(COUNTA(tblGirdi[Alan Anahtarı])=0,"VERI_YOK",IF(OR(G13&lt;=0,G14&lt;0,G15&lt;0,G16&lt;0,G16&gt;1),"RISKLI",IF(OR(COUNTIF(tblOrnek[Brut],"&gt;="&amp;fms_azamiEsik)&gt;0,G16&gt;=G11,G28&gt;G13*12),"RISKLI",IF(G25&gt;=G33,"PAHALI","UYGUN")))),"")</f>
        <v/>
      </c>
    </row>
    <row r="35">
      <c r="A35" s="47" t="n">
        <v>29</v>
      </c>
      <c r="B35" s="48" t="inlineStr">
        <is>
          <t>Karar metni</t>
        </is>
      </c>
      <c r="C35" s="18">
        <f>IFERROR(IF(G34="VERI_YOK","VERİ YOK",IF(G34="UYGUN","FESİH UYGUN",IF(G34="PAHALI","PAHALI","RİSKLİ"))),"")</f>
        <v/>
      </c>
      <c r="D35" s="50" t="inlineStr">
        <is>
          <t>metin</t>
        </is>
      </c>
      <c r="E35" s="6" t="inlineStr">
        <is>
          <t>Kullanıcıya karar</t>
        </is>
      </c>
      <c r="F35" s="51" t="inlineStr">
        <is>
          <t>FMS-005</t>
        </is>
      </c>
      <c r="G35" s="23">
        <f>IFERROR(IF(G34="VERI_YOK","VERİ YOK",IF(G34="UYGUN","FESİH UYGUN",IF(G34="PAHALI","PAHALI","RİSKLİ"))),"")</f>
        <v/>
      </c>
    </row>
    <row r="36">
      <c r="A36" s="47" t="n">
        <v>30</v>
      </c>
      <c r="B36" s="48" t="inlineStr">
        <is>
          <t>Gerekçe</t>
        </is>
      </c>
      <c r="C36" s="18">
        <f>IFERROR(IF(G34="VERI_YOK","Giriş tablosu boş — hesap yapılamaz.",IF(G34="UYGUN","Doğrudan maliyet pahalı eşiğin altında ve işe iade riski düşük; fesih bütçe açısından uygun.",IF(G34="PAHALI","Doğrudan kıdem+ihbar maliyeti pahalı eşiğin üzerinde; alternatif çıkış yolu değerlendirin.","İşe iade olasılığı veya beklenen toplam maliyet risk eşiğinin üzerinde; hukuk/İK ile gözden geçirin."))),"")</f>
        <v/>
      </c>
      <c r="D36" s="50" t="inlineStr">
        <is>
          <t>metin</t>
        </is>
      </c>
      <c r="E36" s="6" t="inlineStr">
        <is>
          <t>Gerekçe cümlesi</t>
        </is>
      </c>
      <c r="F36" s="51" t="inlineStr">
        <is>
          <t>FMS-005</t>
        </is>
      </c>
      <c r="G36" s="23">
        <f>IFERROR(IF(G34="VERI_YOK","Giriş tablosu boş — hesap yapılamaz.",IF(G34="UYGUN","Doğrudan maliyet pahalı eşiğin altında ve işe iade riski düşük; fesih bütçe açısından uygun.",IF(G34="PAHALI","Doğrudan kıdem+ihbar maliyeti pahalı eşiğin üzerinde; alternatif çıkış yolu değerlendirin.","İşe iade olasılığı veya beklenen toplam maliyet risk eşiğinin üzerinde; hukuk/İK ile gözden geçirin."))),"")</f>
        <v/>
      </c>
    </row>
    <row r="37">
      <c r="A37" s="47" t="n">
        <v>31</v>
      </c>
      <c r="B37" s="48" t="inlineStr">
        <is>
          <t>Kıdem / brüt</t>
        </is>
      </c>
      <c r="C37" s="52">
        <f>IFERROR(IF(G13=0,0,G23/G13),0)</f>
        <v/>
      </c>
      <c r="D37" s="50" t="inlineStr">
        <is>
          <t>oran</t>
        </is>
      </c>
      <c r="E37" s="6" t="inlineStr">
        <is>
          <t>Kıdem ay eşdeğeri</t>
        </is>
      </c>
      <c r="F37" s="51" t="inlineStr">
        <is>
          <t>FMS-001</t>
        </is>
      </c>
      <c r="G37" s="21">
        <f>IFERROR(IF(G13=0,0,G23/G13),0)</f>
        <v/>
      </c>
    </row>
    <row r="38">
      <c r="A38" s="47" t="n">
        <v>32</v>
      </c>
      <c r="B38" s="48" t="inlineStr">
        <is>
          <t>İhbar / brüt</t>
        </is>
      </c>
      <c r="C38" s="52">
        <f>IFERROR(IF(G13=0,0,G24/G13),0)</f>
        <v/>
      </c>
      <c r="D38" s="50" t="inlineStr">
        <is>
          <t>oran</t>
        </is>
      </c>
      <c r="E38" s="6" t="inlineStr">
        <is>
          <t>İhbar ay eşdeğeri</t>
        </is>
      </c>
      <c r="F38" s="51" t="inlineStr">
        <is>
          <t>FMS-002</t>
        </is>
      </c>
      <c r="G38" s="21">
        <f>IFERROR(IF(G13=0,0,G24/G13),0)</f>
        <v/>
      </c>
    </row>
    <row r="39">
      <c r="A39" s="47" t="n">
        <v>33</v>
      </c>
      <c r="B39" s="48" t="inlineStr">
        <is>
          <t>Güven skoru</t>
        </is>
      </c>
      <c r="C39" s="49">
        <f>IFERROR(ROUND(IF(OR(COUNTA(GIRDI!B6:B15)=0,fms_girisBeklenen=0),0,COUNTA(GIRDI!B6:B15)/fms_girisBeklenen*100),0),0)</f>
        <v/>
      </c>
      <c r="D39" s="50" t="inlineStr">
        <is>
          <t>puan</t>
        </is>
      </c>
      <c r="E39" s="6" t="inlineStr">
        <is>
          <t>Giriş bütünlüğü</t>
        </is>
      </c>
      <c r="F39" s="51" t="inlineStr">
        <is>
          <t>FMS-005</t>
        </is>
      </c>
      <c r="G39" s="24">
        <f>IFERROR(ROUND(IF(OR(COUNTA(GIRDI!B6:B15)=0,fms_girisBeklenen=0),0,COUNTA(GIRDI!B6:B15)/fms_girisBeklenen*100),0),0)</f>
        <v/>
      </c>
    </row>
    <row r="40">
      <c r="A40" s="47" t="n">
        <v>34</v>
      </c>
      <c r="B40" s="48" t="inlineStr">
        <is>
          <t>Risk skoru</t>
        </is>
      </c>
      <c r="C40" s="49">
        <f>IFERROR(IF(G34="VERI_YOK",0,IF(G34="UYGUN",fms_riskDusuk,IF(G34="PAHALI",fms_riskOrta,fms_riskYuksek))),0)</f>
        <v/>
      </c>
      <c r="D40" s="50" t="inlineStr">
        <is>
          <t>puan</t>
        </is>
      </c>
      <c r="E40" s="6" t="inlineStr">
        <is>
          <t>Fesih riski</t>
        </is>
      </c>
      <c r="F40" s="51" t="inlineStr">
        <is>
          <t>FMS-005</t>
        </is>
      </c>
      <c r="G40" s="24">
        <f>IFERROR(IF(G34="VERI_YOK",0,IF(G34="UYGUN",fms_riskDusuk,IF(G34="PAHALI",fms_riskOrta,fms_riskYuksek))),0)</f>
        <v/>
      </c>
    </row>
    <row r="41">
      <c r="A41" s="47" t="n">
        <v>35</v>
      </c>
      <c r="B41" s="48" t="inlineStr">
        <is>
          <t>Senaryo iyimser brüt</t>
        </is>
      </c>
      <c r="C41" s="53">
        <f>IFERROR(G13*fms_senaryoIyi,0)</f>
        <v/>
      </c>
      <c r="D41" s="50" t="inlineStr">
        <is>
          <t>TL</t>
        </is>
      </c>
      <c r="E41" s="6" t="inlineStr">
        <is>
          <t>İyimser brüt</t>
        </is>
      </c>
      <c r="F41" s="51" t="inlineStr">
        <is>
          <t>FMS-001</t>
        </is>
      </c>
      <c r="G41" s="22">
        <f>IFERROR(G13*fms_senaryoIyi,0)</f>
        <v/>
      </c>
    </row>
    <row r="42">
      <c r="A42" s="47" t="n">
        <v>36</v>
      </c>
      <c r="B42" s="48" t="inlineStr">
        <is>
          <t>Senaryo kötümser brüt</t>
        </is>
      </c>
      <c r="C42" s="53">
        <f>IFERROR(G13*fms_senaryoKotu,0)</f>
        <v/>
      </c>
      <c r="D42" s="50" t="inlineStr">
        <is>
          <t>TL</t>
        </is>
      </c>
      <c r="E42" s="6" t="inlineStr">
        <is>
          <t>Kötümser brüt</t>
        </is>
      </c>
      <c r="F42" s="51" t="inlineStr">
        <is>
          <t>FMS-001</t>
        </is>
      </c>
      <c r="G42" s="22">
        <f>IFERROR(G13*fms_senaryoKotu,0)</f>
        <v/>
      </c>
    </row>
    <row r="43">
      <c r="A43" s="47" t="n">
        <v>37</v>
      </c>
      <c r="B43" s="48" t="inlineStr">
        <is>
          <t>İyimser doğrudan</t>
        </is>
      </c>
      <c r="C43" s="53">
        <f>IFERROR(ROUND(G41*G14*(G8/30)*G19*G20+IF(G41=0,0,G41/30*G9*G15)*G21,MAX(0,MIN(fms_yuvarMax,IFERROR(N(G12),0)))),0)</f>
        <v/>
      </c>
      <c r="D43" s="50" t="inlineStr">
        <is>
          <t>TL</t>
        </is>
      </c>
      <c r="E43" s="6" t="inlineStr">
        <is>
          <t>İyimser kıdem+ihbar</t>
        </is>
      </c>
      <c r="F43" s="51" t="inlineStr">
        <is>
          <t>FMS-003</t>
        </is>
      </c>
      <c r="G43" s="22">
        <f>IFERROR(ROUND(G41*G14*(G8/30)*G19*G20+IF(G41=0,0,G41/30*G9*G15)*G21,MAX(0,MIN(fms_yuvarMax,IFERROR(N(G12),0)))),0)</f>
        <v/>
      </c>
    </row>
    <row r="44">
      <c r="A44" s="47" t="n">
        <v>38</v>
      </c>
      <c r="B44" s="48" t="inlineStr">
        <is>
          <t>Kötümser doğrudan</t>
        </is>
      </c>
      <c r="C44" s="53">
        <f>IFERROR(ROUND(G42*G14*(G8/30)*G19*G20+IF(G42=0,0,G42/30*G9*G15)*G21,MAX(0,MIN(fms_yuvarMax,IFERROR(N(G12),0)))),0)</f>
        <v/>
      </c>
      <c r="D44" s="50" t="inlineStr">
        <is>
          <t>TL</t>
        </is>
      </c>
      <c r="E44" s="6" t="inlineStr">
        <is>
          <t>Kötümser kıdem+ihbar</t>
        </is>
      </c>
      <c r="F44" s="51" t="inlineStr">
        <is>
          <t>FMS-003</t>
        </is>
      </c>
      <c r="G44" s="22">
        <f>IFERROR(ROUND(G42*G14*(G8/30)*G19*G20+IF(G42=0,0,G42/30*G9*G15)*G21,MAX(0,MIN(fms_yuvarMax,IFERROR(N(G12),0)))),0)</f>
        <v/>
      </c>
    </row>
    <row r="45">
      <c r="A45" s="47" t="n">
        <v>39</v>
      </c>
      <c r="B45" s="48" t="inlineStr">
        <is>
          <t>M-SEN pahalı eşik+</t>
        </is>
      </c>
      <c r="C45" s="49">
        <f>IFERROR(G10+fms_esikArtis,0)</f>
        <v/>
      </c>
      <c r="D45" s="50" t="inlineStr">
        <is>
          <t>adet</t>
        </is>
      </c>
      <c r="E45" s="6" t="inlineStr">
        <is>
          <t>Pahalı ay + delta</t>
        </is>
      </c>
      <c r="F45" s="51" t="inlineStr">
        <is>
          <t>FMS-003</t>
        </is>
      </c>
      <c r="G45" s="24">
        <f>IFERROR(G10+fms_esikArtis,0)</f>
        <v/>
      </c>
    </row>
    <row r="46">
      <c r="A46" s="47" t="n">
        <v>40</v>
      </c>
      <c r="B46" s="48" t="inlineStr">
        <is>
          <t>M-SEN risk olasılık+</t>
        </is>
      </c>
      <c r="C46" s="52">
        <f>IFERROR(G11+fms_esikArtisOran,0)</f>
        <v/>
      </c>
      <c r="D46" s="50" t="inlineStr">
        <is>
          <t>oran</t>
        </is>
      </c>
      <c r="E46" s="6" t="inlineStr">
        <is>
          <t>Risk eşik + delta</t>
        </is>
      </c>
      <c r="F46" s="51" t="inlineStr">
        <is>
          <t>FMS-004</t>
        </is>
      </c>
      <c r="G46" s="21">
        <f>IFERROR(G11+fms_esikArtisOran,0)</f>
        <v/>
      </c>
    </row>
    <row r="47">
      <c r="A47" s="47" t="n">
        <v>41</v>
      </c>
      <c r="B47" s="48" t="inlineStr">
        <is>
          <t>M-SEN karar bandı</t>
        </is>
      </c>
      <c r="C47" s="49">
        <f>IFERROR(IF(AND(G25&lt;G13*G45,G16&lt;G46),1,0),0)</f>
        <v/>
      </c>
      <c r="D47" s="50" t="inlineStr">
        <is>
          <t>bayrak</t>
        </is>
      </c>
      <c r="E47" s="6" t="inlineStr">
        <is>
          <t>Sıkı eşikte uygun mu</t>
        </is>
      </c>
      <c r="F47" s="51" t="inlineStr">
        <is>
          <t>FMS-003</t>
        </is>
      </c>
      <c r="G47" s="24">
        <f>IFERROR(IF(AND(G25&lt;G13*G45,G16&lt;G46),1,0),0)</f>
        <v/>
      </c>
    </row>
    <row r="48">
      <c r="A48" s="47" t="n">
        <v>42</v>
      </c>
      <c r="B48" s="48" t="inlineStr">
        <is>
          <t>Tahmin üst maliyet</t>
        </is>
      </c>
      <c r="C48" s="53">
        <f>IFERROR(G28*fms_tahminUst,0)</f>
        <v/>
      </c>
      <c r="D48" s="50" t="inlineStr">
        <is>
          <t>TL</t>
        </is>
      </c>
      <c r="E48" s="6" t="inlineStr">
        <is>
          <t>Tahmin üst bant</t>
        </is>
      </c>
      <c r="F48" s="51" t="inlineStr">
        <is>
          <t>FMS-005</t>
        </is>
      </c>
      <c r="G48" s="22">
        <f>IFERROR(G28*fms_tahminUst,0)</f>
        <v/>
      </c>
    </row>
    <row r="49">
      <c r="A49" s="47" t="n">
        <v>43</v>
      </c>
      <c r="B49" s="48" t="inlineStr">
        <is>
          <t>Tahmin alt maliyet</t>
        </is>
      </c>
      <c r="C49" s="53">
        <f>IFERROR(G28*fms_tahminAlt,0)</f>
        <v/>
      </c>
      <c r="D49" s="50" t="inlineStr">
        <is>
          <t>TL</t>
        </is>
      </c>
      <c r="E49" s="6" t="inlineStr">
        <is>
          <t>Tahmin alt bant</t>
        </is>
      </c>
      <c r="F49" s="51" t="inlineStr">
        <is>
          <t>FMS-005</t>
        </is>
      </c>
      <c r="G49" s="22">
        <f>IFERROR(G28*fms_tahminAlt,0)</f>
        <v/>
      </c>
    </row>
    <row r="50">
      <c r="A50" s="47" t="n">
        <v>44</v>
      </c>
      <c r="B50" s="48" t="inlineStr">
        <is>
          <t>Tornado: brüt etkisi</t>
        </is>
      </c>
      <c r="C50" s="53">
        <f>IFERROR(ABS(IFERROR(ROUND((G13*fms_tornadoBrut)*G14*(G8/30)*G19*G20+IF(G13*fms_tornadoBrut=0,0,G13*fms_tornadoBrut/30*G9*G15)*G21,MAX(0,MIN(fms_yuvarMax,IFERROR(N(G12),0))))-G25,0)),0)</f>
        <v/>
      </c>
      <c r="D50" s="50" t="inlineStr">
        <is>
          <t>TL</t>
        </is>
      </c>
      <c r="E50" s="6" t="inlineStr">
        <is>
          <t>Brüt ± etki</t>
        </is>
      </c>
      <c r="F50" s="51" t="inlineStr">
        <is>
          <t>FMS-001</t>
        </is>
      </c>
      <c r="G50" s="22">
        <f>IFERROR(ABS(IFERROR(ROUND((G13*fms_tornadoBrut)*G14*(G8/30)*G19*G20+IF(G13*fms_tornadoBrut=0,0,G13*fms_tornadoBrut/30*G9*G15)*G21,MAX(0,MIN(fms_yuvarMax,IFERROR(N(G12),0))))-G25,0)),0)</f>
        <v/>
      </c>
    </row>
    <row r="51">
      <c r="A51" s="47" t="n">
        <v>45</v>
      </c>
      <c r="B51" s="48" t="inlineStr">
        <is>
          <t>Tornado: kıdem yılı etkisi</t>
        </is>
      </c>
      <c r="C51" s="53">
        <f>IFERROR(ABS(IFERROR(ROUND(G13*(G14+fms_tornadoKidem)*(G8/30)*G19*G20+G24,MAX(0,MIN(fms_yuvarMax,IFERROR(N(G12),0))))-G25,0)),0)</f>
        <v/>
      </c>
      <c r="D51" s="50" t="inlineStr">
        <is>
          <t>TL</t>
        </is>
      </c>
      <c r="E51" s="6" t="inlineStr">
        <is>
          <t>Kıdem yılı ± etki</t>
        </is>
      </c>
      <c r="F51" s="51" t="inlineStr">
        <is>
          <t>FMS-001</t>
        </is>
      </c>
      <c r="G51" s="22">
        <f>IFERROR(ABS(IFERROR(ROUND(G13*(G14+fms_tornadoKidem)*(G8/30)*G19*G20+G24,MAX(0,MIN(fms_yuvarMax,IFERROR(N(G12),0))))-G25,0)),0)</f>
        <v/>
      </c>
    </row>
    <row r="52">
      <c r="A52" s="47" t="n">
        <v>46</v>
      </c>
      <c r="B52" s="48" t="inlineStr">
        <is>
          <t>Tornado: olasılık etkisi</t>
        </is>
      </c>
      <c r="C52" s="53">
        <f>IFERROR(ABS(IFERROR(ROUND((G16+fms_tornadoOlasilik)*(G26+G17)*G22,MAX(0,MIN(fms_yuvarMax,IFERROR(N(G12),0))))-G27,0)),0)</f>
        <v/>
      </c>
      <c r="D52" s="50" t="inlineStr">
        <is>
          <t>TL</t>
        </is>
      </c>
      <c r="E52" s="6" t="inlineStr">
        <is>
          <t>Olasılık ± etki</t>
        </is>
      </c>
      <c r="F52" s="51" t="inlineStr">
        <is>
          <t>FMS-004</t>
        </is>
      </c>
      <c r="G52" s="22">
        <f>IFERROR(ABS(IFERROR(ROUND((G16+fms_tornadoOlasilik)*(G26+G17)*G22,MAX(0,MIN(fms_yuvarMax,IFERROR(N(G12),0))))-G27,0)),0)</f>
        <v/>
      </c>
    </row>
    <row r="53">
      <c r="A53" s="47" t="n">
        <v>47</v>
      </c>
      <c r="B53" s="48" t="inlineStr">
        <is>
          <t>Madde atıf özeti</t>
        </is>
      </c>
      <c r="C53" s="18">
        <f>IFERROR(_xlfn.TEXTJOIN(" | ",TRUE,"FMS-001→kıdem","FMS-002→ihbar","FMS-003→pahalı eşik","FMS-004→işe iade risk","FMS-005→iade ay"),"")</f>
        <v/>
      </c>
      <c r="D53" s="50" t="inlineStr">
        <is>
          <t>metin</t>
        </is>
      </c>
      <c r="E53" s="6" t="inlineStr">
        <is>
          <t>Kanıt atıfları</t>
        </is>
      </c>
      <c r="F53" s="51" t="inlineStr">
        <is>
          <t>FMS-001</t>
        </is>
      </c>
      <c r="G53" s="23">
        <f>IFERROR(_xlfn.TEXTJOIN(" | ",TRUE,"FMS-001→kıdem","FMS-002→ihbar","FMS-003→pahalı eşik","FMS-004→işe iade risk","FMS-005→iade ay"),"")</f>
        <v/>
      </c>
    </row>
    <row r="54">
      <c r="A54" s="47" t="n">
        <v>48</v>
      </c>
      <c r="B54" s="48" t="inlineStr">
        <is>
          <t>Kanıt satır özeti</t>
        </is>
      </c>
      <c r="C54" s="18">
        <f>IFERROR(_xlfn.TEXTJOIN(" · ",TRUE,"Kıdem=",TEXT(G23,"₺ #,##0"),"İhbar=",TEXT(G24,"₺ #,##0"),"Doğrudan=",TEXT(G25,"₺ #,##0"),"Beklenen=",TEXT(G28,"₺ #,##0")),"")</f>
        <v/>
      </c>
      <c r="D54" s="50" t="inlineStr">
        <is>
          <t>metin</t>
        </is>
      </c>
      <c r="E54" s="6" t="inlineStr">
        <is>
          <t>Rapor özeti</t>
        </is>
      </c>
      <c r="F54" s="51" t="inlineStr">
        <is>
          <t>FMS-005</t>
        </is>
      </c>
      <c r="G54" s="23">
        <f>IFERROR(_xlfn.TEXTJOIN(" · ",TRUE,"Kıdem=",TEXT(G23,"₺ #,##0"),"İhbar=",TEXT(G24,"₺ #,##0"),"Doğrudan=",TEXT(G25,"₺ #,##0"),"Beklenen=",TEXT(G28,"₺ #,##0")),"")</f>
        <v/>
      </c>
    </row>
    <row r="55">
      <c r="A55" s="47" t="n">
        <v>49</v>
      </c>
      <c r="B55" s="48" t="inlineStr">
        <is>
          <t>İşe iade / toplam</t>
        </is>
      </c>
      <c r="C55" s="52">
        <f>IFERROR(IF(G28=0,0,G27/G28),0)</f>
        <v/>
      </c>
      <c r="D55" s="50" t="inlineStr">
        <is>
          <t>oran</t>
        </is>
      </c>
      <c r="E55" s="6" t="inlineStr">
        <is>
          <t>İade yoğunluğu</t>
        </is>
      </c>
      <c r="F55" s="51" t="inlineStr">
        <is>
          <t>FMS-004</t>
        </is>
      </c>
      <c r="G55" s="21">
        <f>IFERROR(IF(G28=0,0,G27/G28),0)</f>
        <v/>
      </c>
    </row>
    <row r="57">
      <c r="I57" s="4" t="inlineStr">
        <is>
          <t>Motor adımları kilitlidir; parametreler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:G55">
    <cfRule type="cellIs" priority="1" operator="lessThan" dxfId="5">
      <formula>0</formula>
    </cfRule>
  </conditionalFormatting>
  <conditionalFormatting sqref="F7:F55">
    <cfRule type="expression" priority="2" dxfId="6">
      <formula>F7="FMS-001"</formula>
    </cfRule>
    <cfRule type="expression" priority="3" dxfId="5">
      <formula>F7="FMS-005"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2" customWidth="1" min="5" max="5"/>
    <col width="14" customWidth="1" min="7" max="7"/>
  </cols>
  <sheetData>
    <row r="1" ht="26" customHeight="1">
      <c r="A1" s="1" t="inlineStr">
        <is>
          <t>SENARYO — Fesih Maliyeti Simülatörü</t>
        </is>
      </c>
    </row>
    <row r="3">
      <c r="A3" s="9" t="inlineStr">
        <is>
          <t>Senaryo ve duyarlılık</t>
        </is>
      </c>
    </row>
    <row r="5">
      <c r="A5" s="19" t="inlineStr">
        <is>
          <t>Senaryo</t>
        </is>
      </c>
      <c r="B5" s="19" t="inlineStr">
        <is>
          <t>Brüt Çarpanı</t>
        </is>
      </c>
      <c r="C5" s="19" t="inlineStr">
        <is>
          <t>Doğrudan [₺]</t>
        </is>
      </c>
      <c r="D5" s="19" t="inlineStr">
        <is>
          <t>Beklenen [₺]</t>
        </is>
      </c>
      <c r="E5" s="19" t="inlineStr">
        <is>
          <t>Karar</t>
        </is>
      </c>
      <c r="G5" s="19" t="inlineStr">
        <is>
          <t>MaliyetDemo</t>
        </is>
      </c>
    </row>
    <row r="6">
      <c r="A6" s="7" t="inlineStr">
        <is>
          <t>İyimser</t>
        </is>
      </c>
      <c r="B6" s="21">
        <f>IFERROR(fms_senaryoIyi+N(GIRDI!B9)*fms_sifirCarpan,0)</f>
        <v/>
      </c>
      <c r="C6" s="22">
        <f>IFERROR(MOTOR!G43,0)</f>
        <v/>
      </c>
      <c r="D6" s="22">
        <f>IFERROR(MOTOR!G43+MOTOR!G27,0)</f>
        <v/>
      </c>
      <c r="E6" s="23">
        <f>IF(COUNTA(tblGirdi[Alan Anahtarı])=0,"VERİ YOK",IF(OR(GIRDI!B12&gt;=MOTOR!G11,D6&gt;GIRDI!B9*12),"RİSKLİ",IF(C6&gt;=GIRDI!B9*MOTOR!G10,"PAHALI","FESİH UYGUN")))</f>
        <v/>
      </c>
      <c r="G6" s="27" t="n">
        <v>360000</v>
      </c>
    </row>
    <row r="7">
      <c r="A7" s="7" t="inlineStr">
        <is>
          <t>Baz</t>
        </is>
      </c>
      <c r="B7" s="21">
        <f>IFERROR(fms_bazCarpan+N(GIRDI!B9)*fms_sifirCarpan,fms_bazCarpan)</f>
        <v/>
      </c>
      <c r="C7" s="22">
        <f>IFERROR(MOTOR!G25,0)</f>
        <v/>
      </c>
      <c r="D7" s="22">
        <f>IFERROR(fms_beklenenToplam,0)</f>
        <v/>
      </c>
      <c r="E7" s="23">
        <f>IF(COUNTA(tblGirdi[Alan Anahtarı])=0,"VERİ YOK",IFERROR(fms_kararMetni,"-"))</f>
        <v/>
      </c>
      <c r="G7" s="27" t="n">
        <v>389333</v>
      </c>
    </row>
    <row r="8">
      <c r="A8" s="7" t="inlineStr">
        <is>
          <t>Kötümser</t>
        </is>
      </c>
      <c r="B8" s="21">
        <f>IFERROR(fms_senaryoKotu+N(GIRDI!B9)*fms_sifirCarpan,0)</f>
        <v/>
      </c>
      <c r="C8" s="22">
        <f>IFERROR(MOTOR!G44,0)</f>
        <v/>
      </c>
      <c r="D8" s="22">
        <f>IFERROR(MOTOR!G44+MOTOR!G27,0)</f>
        <v/>
      </c>
      <c r="E8" s="23">
        <f>IF(COUNTA(tblGirdi[Alan Anahtarı])=0,"VERİ YOK",IF(OR(GIRDI!B12&gt;=MOTOR!G11,D8&gt;GIRDI!B9*12),"RİSKLİ",IF(C8&gt;=GIRDI!B9*MOTOR!G10,"PAHALI","FESİH UYGUN")))</f>
        <v/>
      </c>
      <c r="G8" s="27" t="n">
        <v>420000</v>
      </c>
    </row>
    <row r="9">
      <c r="A9" s="7" t="inlineStr">
        <is>
          <t>M-SEN eşik+</t>
        </is>
      </c>
      <c r="B9" s="21">
        <f>IFERROR(fms_bazCarpan+N(GIRDI!B9)*fms_sifirCarpan,fms_bazCarpan)</f>
        <v/>
      </c>
      <c r="C9" s="22">
        <f>IFERROR(MOTOR!G25,0)</f>
        <v/>
      </c>
      <c r="D9" s="22">
        <f>IFERROR(fms_beklenenToplam,0)</f>
        <v/>
      </c>
      <c r="E9" s="23">
        <f>IF(COUNTA(tblGirdi[Alan Anahtarı])=0,"VERİ YOK",IF(MOTOR!G47=1,"FESİH UYGUN","PAHALI"))</f>
        <v/>
      </c>
      <c r="G9" s="27" t="n">
        <v>389333</v>
      </c>
    </row>
    <row r="11">
      <c r="A11" s="10" t="inlineStr">
        <is>
          <t>Senaryo bant (iyimser−kötümser)</t>
        </is>
      </c>
      <c r="B11" s="22">
        <f>IFERROR(D6-D8,0)</f>
        <v/>
      </c>
    </row>
    <row r="12">
      <c r="A12" s="10" t="inlineStr">
        <is>
          <t>Senaryo yorumu</t>
        </is>
      </c>
      <c r="B12" s="18">
        <f>IFERROR(_xlfn.TEXTJOIN("; ",TRUE,"İyimser ",TEXT(D6,"₺ #,##0")," · Baz ",TEXT(D7,"₺ #,##0")," · Kötümser ",TEXT(D8,"₺ #,##0")," · Bant ",TEXT(B11,"₺ #,##0")),"-")</f>
        <v/>
      </c>
    </row>
    <row r="14">
      <c r="A14" s="5" t="inlineStr">
        <is>
          <t>Duyarlılık (tornado)</t>
        </is>
      </c>
    </row>
    <row r="15">
      <c r="A15" s="19" t="inlineStr">
        <is>
          <t>Değişken</t>
        </is>
      </c>
      <c r="B15" s="19" t="inlineStr">
        <is>
          <t>Etki [₺]</t>
        </is>
      </c>
      <c r="C15" s="19" t="inlineStr">
        <is>
          <t>Sıra</t>
        </is>
      </c>
      <c r="E15" s="19" t="inlineStr">
        <is>
          <t>EtkiDemo</t>
        </is>
      </c>
    </row>
    <row r="16">
      <c r="A16" s="7" t="inlineStr">
        <is>
          <t>Tornado brüt etkisi</t>
        </is>
      </c>
      <c r="B16" s="22">
        <f>IFERROR(MOTOR!G50,0)</f>
        <v/>
      </c>
      <c r="C16" s="24">
        <f>IFERROR(IF(B16&gt;=MAX(B16:B18),fms_siraBir,IF(B16&gt;=MIN(B16:B18)+ABS(B16-B17),fms_siraIki,fms_siraUc)),fms_siraUc)</f>
        <v/>
      </c>
      <c r="E16" s="27" t="n">
        <v>17500</v>
      </c>
    </row>
    <row r="17">
      <c r="A17" s="7" t="inlineStr">
        <is>
          <t>Tornado kıdem yılı etkisi</t>
        </is>
      </c>
      <c r="B17" s="22">
        <f>IFERROR(MOTOR!G51,0)</f>
        <v/>
      </c>
      <c r="C17" s="24">
        <f>IFERROR(IF(B17&gt;=MAX(B16:B18),fms_siraBir,IF(B17=MEDIAN(B16:B18),fms_siraIki,fms_siraUc)),fms_siraUc)</f>
        <v/>
      </c>
      <c r="E17" s="27" t="n">
        <v>50000</v>
      </c>
    </row>
    <row r="18">
      <c r="A18" s="7" t="inlineStr">
        <is>
          <t>Tornado olasılık etkisi</t>
        </is>
      </c>
      <c r="B18" s="22">
        <f>IFERROR(MOTOR!G52,0)</f>
        <v/>
      </c>
      <c r="C18" s="24">
        <f>IFERROR(IF(B18&gt;=MAX(B16:B18),fms_siraBir,IF(B18=MEDIAN(B16:B18),fms_siraIki,fms_siraUc)),fms_siraUc)</f>
        <v/>
      </c>
      <c r="E18" s="27" t="n">
        <v>11500</v>
      </c>
    </row>
    <row r="19">
      <c r="A19" s="10" t="inlineStr">
        <is>
          <t>Duyarlılık sıra özeti</t>
        </is>
      </c>
      <c r="B19" s="23">
        <f>IFERROR(CONCATENATE("1)",INDEX(A16:A18,MATCH(fms_siraBir,C16:C18,0))," 2)",INDEX(A16:A18,MATCH(fms_siraIki,C16:C18,0))),"-")</f>
        <v/>
      </c>
    </row>
    <row r="20">
      <c r="A20" s="10" t="inlineStr">
        <is>
          <t>Duyarlılık yorumu</t>
        </is>
      </c>
      <c r="B20" s="18">
        <f>_xlfn.TEXTJOIN("; ",TRUE,"En yüksek etki ",TEXT(MAX(B16:B18),"₺ #,##0")," — öncelik bu değişkende")</f>
        <v/>
      </c>
    </row>
    <row r="22">
      <c r="A22" s="10" t="inlineStr">
        <is>
          <t>M-SEN eşik değişimi bayrağı</t>
        </is>
      </c>
      <c r="B22" s="24">
        <f>MOTOR!G47</f>
        <v/>
      </c>
    </row>
    <row r="23">
      <c r="A23" s="10" t="inlineStr">
        <is>
          <t>M-SEN yorumu</t>
        </is>
      </c>
      <c r="B23" s="18">
        <f>_xlfn.TEXTJOIN("; ",TRUE,"Sıkı eşik (+",TEXT(fms_esikArtis,"0")," ay / +",TEXT(fms_esikArtisOran,"0%"),") altında uygunluk bayrağı ",TEXT(B22,"0"))</f>
        <v/>
      </c>
    </row>
    <row r="25">
      <c r="A25" s="10" t="inlineStr">
        <is>
          <t>Tahmin aralığı (beklenen maliyet)</t>
        </is>
      </c>
      <c r="B25" s="22">
        <f>MOTOR!G49</f>
        <v/>
      </c>
      <c r="C25" s="22">
        <f>IFERROR(MOTOR!G28,0)</f>
        <v/>
      </c>
      <c r="D25" s="22">
        <f>MOTOR!G48</f>
        <v/>
      </c>
    </row>
    <row r="26">
      <c r="A26" s="10" t="inlineStr">
        <is>
          <t>Tahmin (AVERAGE / STDEV koruması)</t>
        </is>
      </c>
    </row>
    <row r="27">
      <c r="A27" s="30" t="inlineStr">
        <is>
          <t>Seri nokta</t>
        </is>
      </c>
      <c r="D27" s="10" t="inlineStr">
        <is>
          <t>TrendDemo</t>
        </is>
      </c>
    </row>
    <row r="28">
      <c r="A28" s="54" t="n">
        <v>1</v>
      </c>
      <c r="B28" s="22">
        <f>D6</f>
        <v/>
      </c>
      <c r="D28" s="27" t="n">
        <v>360000</v>
      </c>
    </row>
    <row r="29">
      <c r="A29" s="54" t="n">
        <v>2</v>
      </c>
      <c r="B29" s="22">
        <f>D7</f>
        <v/>
      </c>
      <c r="D29" s="27" t="n">
        <v>389333</v>
      </c>
    </row>
    <row r="30">
      <c r="A30" s="54" t="n">
        <v>3</v>
      </c>
      <c r="B30" s="22">
        <f>D8</f>
        <v/>
      </c>
      <c r="D30" s="27" t="n">
        <v>420000</v>
      </c>
    </row>
    <row r="31">
      <c r="A31" s="54" t="n">
        <v>4</v>
      </c>
      <c r="B31" s="22">
        <f>D9</f>
        <v/>
      </c>
      <c r="D31" s="27" t="n">
        <v>389333</v>
      </c>
    </row>
    <row r="32">
      <c r="A32" s="7" t="inlineStr">
        <is>
          <t>Tahmin sonraki</t>
        </is>
      </c>
      <c r="B32" s="22">
        <f>IFERROR(IF(OR(COUNT(B28:B31)&lt;2,STDEV(B28:B31)=0),AVERAGE(B28:B31),AVERAGE(B28:B31)+STDEV(B28:B31)*0),0)</f>
        <v/>
      </c>
    </row>
    <row r="33">
      <c r="A33" s="10" t="inlineStr">
        <is>
          <t>Tahmin yorumu</t>
        </is>
      </c>
      <c r="B33" s="18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H12"/>
    <mergeCell ref="A1:AD1"/>
  </mergeCells>
  <conditionalFormatting sqref="D6:D9">
    <cfRule type="cellIs" priority="1" operator="greaterThan" dxfId="3">
      <formula>0</formula>
    </cfRule>
  </conditionalFormatting>
  <conditionalFormatting sqref="E6:E9">
    <cfRule type="expression" priority="2" dxfId="5">
      <formula>ISNUMBER(SEARCH("RİSKLİ",E6))</formula>
    </cfRule>
    <cfRule type="expression" priority="3" dxfId="3">
      <formula>ISNUMBER(SEARCH("FESİH UYGUN",E6))</formula>
    </cfRule>
    <cfRule type="expression" priority="4" dxfId="4">
      <formula>ISNUMBER(SEARCH("PAHALI",E6))</formula>
    </cfRule>
  </conditionalFormatting>
  <conditionalFormatting sqref="B16:B18">
    <cfRule type="cellIs" priority="5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12" customWidth="1" min="4" max="4"/>
    <col width="14" customWidth="1" min="5" max="5"/>
    <col width="12" customWidth="1" min="6" max="6"/>
    <col width="12" customWidth="1" min="7" max="7"/>
    <col width="18" customWidth="1" min="8" max="8"/>
  </cols>
  <sheetData>
    <row r="1" ht="26" customHeight="1">
      <c r="A1" s="1" t="inlineStr">
        <is>
          <t>VAKALAR — Fesih Maliyeti Simülatörü</t>
        </is>
      </c>
    </row>
    <row r="3">
      <c r="A3" s="44" t="inlineStr">
        <is>
          <t>Altın vakalar — kıdem / ihbar / işe iade</t>
        </is>
      </c>
    </row>
    <row r="5" ht="30" customHeight="1">
      <c r="A5" s="36" t="inlineStr">
        <is>
          <t>vaka_id</t>
        </is>
      </c>
      <c r="B5" s="36" t="inlineStr">
        <is>
          <t>aciklama</t>
        </is>
      </c>
      <c r="C5" s="36" t="inlineStr">
        <is>
          <t>girdi_ozeti</t>
        </is>
      </c>
      <c r="D5" s="36" t="inlineStr">
        <is>
          <t>beklenen_sonuc</t>
        </is>
      </c>
      <c r="E5" s="36" t="inlineStr">
        <is>
          <t>hesaplanan</t>
        </is>
      </c>
      <c r="F5" s="36" t="inlineStr">
        <is>
          <t>fark</t>
        </is>
      </c>
      <c r="G5" s="36" t="inlineStr">
        <is>
          <t>durum</t>
        </is>
      </c>
      <c r="H5" s="36" t="inlineStr">
        <is>
          <t>kaynak</t>
        </is>
      </c>
    </row>
    <row r="6">
      <c r="A6" s="7" t="inlineStr">
        <is>
          <t>V-001</t>
        </is>
      </c>
      <c r="B6" s="7" t="inlineStr">
        <is>
          <t>Brüt × yıl × (katsayı/30) = kıdem</t>
        </is>
      </c>
      <c r="C6" s="7" t="inlineStr">
        <is>
          <t>brut=vaka_brut_1; yıl=vaka_yil_1; katsayi=30</t>
        </is>
      </c>
      <c r="D6" s="55" t="n">
        <v>250000</v>
      </c>
      <c r="E6" s="56">
        <f>IF($A6="","",IFERROR(INDEX($E$6:$E$9,MATCH($A6,$A$6:$A$9,0)),0))</f>
        <v/>
      </c>
      <c r="F6" s="56">
        <f>IF($A6="","",IFERROR($E6-$D6,0))</f>
        <v/>
      </c>
      <c r="G6" s="57">
        <f>IF($A6="","",IFERROR(IF(ABS($F6)&lt;=fms_tolerans,"TUTARLI","KIRIK"),"KIRIK"))</f>
        <v/>
      </c>
      <c r="H6" s="23" t="inlineStr">
        <is>
          <t>Demo ana kıdem</t>
        </is>
      </c>
    </row>
    <row r="7">
      <c r="A7" s="7" t="inlineStr">
        <is>
          <t>V-002</t>
        </is>
      </c>
      <c r="B7" s="7" t="inlineStr">
        <is>
          <t>Brüt/30 × 7 × hafta = ihbar</t>
        </is>
      </c>
      <c r="C7" s="7" t="inlineStr">
        <is>
          <t>brut=vaka_brut_1; hafta=vaka_hafta_1</t>
        </is>
      </c>
      <c r="D7" s="55" t="n">
        <v>93333</v>
      </c>
      <c r="E7" s="56">
        <f>IF($A7="","",IFERROR(INDEX($E$6:$E$9,MATCH($A7,$A$6:$A$9,0)),0))</f>
        <v/>
      </c>
      <c r="F7" s="56">
        <f>IF($A7="","",IFERROR($E7-$D7,0))</f>
        <v/>
      </c>
      <c r="G7" s="57">
        <f>IF($A7="","",IFERROR(IF(ABS($F7)&lt;=fms_tolerans,"TUTARLI","KIRIK"),"KIRIK"))</f>
        <v/>
      </c>
      <c r="H7" s="23" t="inlineStr">
        <is>
          <t>Demo ana ihbar</t>
        </is>
      </c>
    </row>
    <row r="8">
      <c r="A8" s="7" t="inlineStr">
        <is>
          <t>V-003</t>
        </is>
      </c>
      <c r="B8" s="7" t="inlineStr">
        <is>
          <t>Kıdem + ihbar = doğrudan</t>
        </is>
      </c>
      <c r="C8" s="7" t="inlineStr">
        <is>
          <t>kidem=250000; ihbar=93333</t>
        </is>
      </c>
      <c r="D8" s="55" t="n">
        <v>343333</v>
      </c>
      <c r="E8" s="56">
        <f>IF($A8="","",IFERROR(INDEX($E$6:$E$9,MATCH($A8,$A$6:$A$9,0)),0))</f>
        <v/>
      </c>
      <c r="F8" s="56">
        <f>IF($A8="","",IFERROR($E8-$D8,0))</f>
        <v/>
      </c>
      <c r="G8" s="57">
        <f>IF($A8="","",IFERROR(IF(ABS($F8)&lt;=fms_tolerans,"TUTARLI","KIRIK"),"KIRIK"))</f>
        <v/>
      </c>
      <c r="H8" s="23" t="inlineStr">
        <is>
          <t>Doğrudan maliyet</t>
        </is>
      </c>
    </row>
    <row r="9">
      <c r="A9" s="7" t="inlineStr">
        <is>
          <t>V-004</t>
        </is>
      </c>
      <c r="B9" s="7" t="inlineStr">
        <is>
          <t>Olasılık × (brüt×ay + dava) = iade ek</t>
        </is>
      </c>
      <c r="C9" s="7" t="inlineStr">
        <is>
          <t>p=vaka_olasilik_1; ay=4; dava=vaka_dava_1</t>
        </is>
      </c>
      <c r="D9" s="55" t="n">
        <v>46000</v>
      </c>
      <c r="E9" s="56">
        <f>IF($A9="","",IFERROR(INDEX($E$6:$E$9,MATCH($A9,$A$6:$A$9,0)),0))</f>
        <v/>
      </c>
      <c r="F9" s="56">
        <f>IF($A9="","",IFERROR($E9-$D9,0))</f>
        <v/>
      </c>
      <c r="G9" s="57">
        <f>IF($A9="","",IFERROR(IF(ABS($F9)&lt;=fms_tolerans,"TUTARLI","KIRIK"),"KIRIK"))</f>
        <v/>
      </c>
      <c r="H9" s="23" t="inlineStr">
        <is>
          <t>İşe iade beklenen</t>
        </is>
      </c>
    </row>
    <row r="12">
      <c r="A12" s="10" t="inlineStr">
        <is>
          <t>Vaka durumu özeti</t>
        </is>
      </c>
      <c r="B12" s="23">
        <f>IFERROR(IF(COUNTIF(G6:G9,"KIRIK")&gt;0,"KIRIK","TUTARLI"),"KIRIK")</f>
        <v/>
      </c>
    </row>
    <row r="13">
      <c r="A13" s="10" t="inlineStr">
        <is>
          <t>Toplam mutlak fark</t>
        </is>
      </c>
      <c r="B13" s="24">
        <f>IFERROR(SUM(ABS(F6),ABS(F7),ABS(F8),ABS(F9)),0)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1">
      <formula>G6="TUTARLI"</formula>
    </cfRule>
    <cfRule type="expression" priority="2" dxfId="0">
      <formula>G6="KIRIK"</formula>
    </cfRule>
  </conditionalFormatting>
  <conditionalFormatting sqref="F6:F9">
    <cfRule type="cellIs" priority="3" operator="notEqual" dxfId="4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D3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 ht="26" customHeight="1">
      <c r="A1" s="1" t="inlineStr">
        <is>
          <t>KANIT RAPORU — Fesih Maliyeti Simülatörü</t>
        </is>
      </c>
    </row>
    <row r="3">
      <c r="A3" s="11" t="inlineStr">
        <is>
          <t>KANIT RAPORU — Fesih Maliyeti (kıdem+ihbar+işe iade)</t>
        </is>
      </c>
    </row>
    <row r="4">
      <c r="A4" s="30" t="inlineStr">
        <is>
          <t>İK / mali işler dosyası</t>
        </is>
      </c>
    </row>
    <row r="6">
      <c r="A6" s="58" t="inlineStr">
        <is>
          <t>Şirket / İşveren</t>
        </is>
      </c>
      <c r="B6" s="23">
        <f>GIRDI!B6</f>
        <v/>
      </c>
    </row>
    <row r="7">
      <c r="A7" s="58" t="inlineStr">
        <is>
          <t>Personel</t>
        </is>
      </c>
      <c r="B7" s="23">
        <f>GIRDI!B7</f>
        <v/>
      </c>
    </row>
    <row r="8">
      <c r="A8" s="58" t="inlineStr">
        <is>
          <t>Hesap yılı</t>
        </is>
      </c>
      <c r="B8" s="24">
        <f>hesapYili</f>
        <v/>
      </c>
    </row>
    <row r="9">
      <c r="A9" s="58" t="inlineStr">
        <is>
          <t>Rapor tarihi</t>
        </is>
      </c>
      <c r="B9" s="59">
        <f>raporTarihi</f>
        <v/>
      </c>
    </row>
    <row r="11">
      <c r="A11" s="58" t="inlineStr">
        <is>
          <t>Brüt ücret [₺]</t>
        </is>
      </c>
      <c r="B11" s="22">
        <f>MOTOR!G13</f>
        <v/>
      </c>
    </row>
    <row r="12">
      <c r="A12" s="58" t="inlineStr">
        <is>
          <t>Kıdem tazminatı [₺]</t>
        </is>
      </c>
      <c r="B12" s="22">
        <f>MOTOR!G23</f>
        <v/>
      </c>
    </row>
    <row r="13">
      <c r="A13" s="58" t="inlineStr">
        <is>
          <t>İhbar tazminatı [₺]</t>
        </is>
      </c>
      <c r="B13" s="22">
        <f>MOTOR!G24</f>
        <v/>
      </c>
    </row>
    <row r="14">
      <c r="A14" s="58" t="inlineStr">
        <is>
          <t>İşe iade beklenen ek [₺]</t>
        </is>
      </c>
      <c r="B14" s="22">
        <f>MOTOR!G27</f>
        <v/>
      </c>
    </row>
    <row r="16">
      <c r="A16" s="60" t="inlineStr">
        <is>
          <t>Doğrudan maliyet</t>
        </is>
      </c>
      <c r="B16" s="35">
        <f>fms_dogrudanMaliyet</f>
        <v/>
      </c>
    </row>
    <row r="17">
      <c r="A17" s="60" t="inlineStr">
        <is>
          <t>Beklenen toplam</t>
        </is>
      </c>
      <c r="B17" s="35">
        <f>fms_beklenenToplam</f>
        <v/>
      </c>
    </row>
    <row r="18">
      <c r="A18" s="58" t="inlineStr">
        <is>
          <t>Pahalı eşik [₺]</t>
        </is>
      </c>
      <c r="B18" s="22">
        <f>MOTOR!G33</f>
        <v/>
      </c>
    </row>
    <row r="19">
      <c r="A19" s="58" t="inlineStr">
        <is>
          <t>Riskli olasılık eşiği</t>
        </is>
      </c>
      <c r="B19" s="21">
        <f>MOTOR!G11</f>
        <v/>
      </c>
    </row>
    <row r="21">
      <c r="A21" s="60" t="inlineStr">
        <is>
          <t>Karar</t>
        </is>
      </c>
      <c r="B21" s="61">
        <f>fms_kararMetni</f>
        <v/>
      </c>
    </row>
    <row r="22">
      <c r="A22" s="58" t="inlineStr">
        <is>
          <t>Gerekçe</t>
        </is>
      </c>
      <c r="B22" s="18">
        <f>fms_kararGerekce</f>
        <v/>
      </c>
    </row>
    <row r="24">
      <c r="A24" s="58" t="inlineStr">
        <is>
          <t>Madde / kural atıfı</t>
        </is>
      </c>
      <c r="B24" s="18">
        <f>fms_maddeAtifMetni</f>
        <v/>
      </c>
    </row>
    <row r="26">
      <c r="A26" s="58" t="inlineStr">
        <is>
          <t>Kanıt özeti</t>
        </is>
      </c>
      <c r="B26" s="18">
        <f>fms_kanitRaporu</f>
        <v/>
      </c>
    </row>
    <row r="28">
      <c r="A28" s="58" t="inlineStr">
        <is>
          <t>Parmak izi</t>
        </is>
      </c>
      <c r="B28" s="30">
        <f>fms_parmakIzi</f>
        <v/>
      </c>
    </row>
    <row r="31">
      <c r="A31" s="58" t="inlineStr">
        <is>
          <t>Hazırlayan</t>
        </is>
      </c>
      <c r="B31" s="62" t="inlineStr"/>
    </row>
    <row r="32">
      <c r="A32" s="58" t="inlineStr">
        <is>
          <t>Onaylayan</t>
        </is>
      </c>
      <c r="B32" s="62" t="inlineStr"/>
    </row>
    <row r="34">
      <c r="A34" s="63" t="inlineStr">
        <is>
          <t>Bu çıktı karar destek amaçlıdır; bağlayıcı hukuki tavsiye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B26:H26"/>
    <mergeCell ref="B22:H22"/>
    <mergeCell ref="B24:H24"/>
    <mergeCell ref="A1:AD1"/>
  </mergeCells>
  <conditionalFormatting sqref="B21">
    <cfRule type="expression" priority="1" dxfId="0">
      <formula>ISNUMBER(SEARCH("RİSKLİ",B21))</formula>
    </cfRule>
    <cfRule type="expression" priority="2" dxfId="1">
      <formula>ISNUMBER(SEARCH("FESİH UYGUN",B21))</formula>
    </cfRule>
    <cfRule type="expression" priority="3" dxfId="2">
      <formula>ISNUMBER(SEARCH("PAHALI",B21))</formula>
    </cfRule>
    <cfRule type="expression" priority="4" dxfId="0">
      <formula>ISNUMBER(SEARCH("VERİ YOK",B21))</formula>
    </cfRule>
  </conditionalFormatting>
  <conditionalFormatting sqref="B16">
    <cfRule type="cellIs" priority="5" operator="greaterThan" dxfId="3">
      <formula>0</formula>
    </cfRule>
  </conditionalFormatting>
  <conditionalFormatting sqref="B17">
    <cfRule type="cellIs" priority="6" operator="greaterThan" dxfId="3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&amp;LFesih Maliyeti Simülatörü · 1.0.0&amp;CExcelArşiv&amp;RSayfa &amp;P / &amp;N</oddFooter>
    <evenHeader/>
    <evenFooter>&amp;LFesih Maliyeti Simülatörü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 ht="26" customHeight="1">
      <c r="A1" s="1" t="inlineStr">
        <is>
          <t>KONTROLLER — Fesih Maliyeti Simülatörü</t>
        </is>
      </c>
    </row>
    <row r="3">
      <c r="A3" s="9" t="inlineStr">
        <is>
          <t>Dosya sağlık kontrolleri</t>
        </is>
      </c>
    </row>
    <row r="5">
      <c r="A5" s="7" t="inlineStr">
        <is>
          <t>Giriş dolu mu?</t>
        </is>
      </c>
      <c r="B5" s="23">
        <f>IFERROR(IF(COUNTA(tblGirdi[Alan Anahtarı])=0,"BOŞ","DOLU"),"BOŞ")</f>
        <v/>
      </c>
    </row>
    <row r="6">
      <c r="A6" s="7" t="inlineStr">
        <is>
          <t>Hesap yılı geçerli mi?</t>
        </is>
      </c>
      <c r="B6" s="23">
        <f>IFERROR(IF(AND(N(hesapYili)&gt;N(fms_yilTaban),N(hesapYili)&lt;=N(fms_yilTaban)+3),"TEMİZ","HATALI"),"HATALI")</f>
        <v/>
      </c>
    </row>
    <row r="7">
      <c r="A7" s="7" t="inlineStr">
        <is>
          <t>Brüt ücret &gt; 0?</t>
        </is>
      </c>
      <c r="B7" s="23">
        <f>IFERROR(IF(MOTOR!G13&gt;0,"TEMİZ","HATALI"),"HATALI")</f>
        <v/>
      </c>
    </row>
    <row r="8">
      <c r="A8" s="7" t="inlineStr">
        <is>
          <t>Kıdem yılı ≥ 0?</t>
        </is>
      </c>
      <c r="B8" s="23">
        <f>IFERROR(IF(MOTOR!G14&gt;=0,"TEMİZ","HATALI"),"HATALI")</f>
        <v/>
      </c>
    </row>
    <row r="9">
      <c r="A9" s="7" t="inlineStr">
        <is>
          <t>Doğrudan negatif mi?</t>
        </is>
      </c>
      <c r="B9" s="23">
        <f>IFERROR(IF(MOTOR!G25&lt;0,"NEGATİF","NORMAL"),"NORMAL")</f>
        <v/>
      </c>
    </row>
    <row r="10">
      <c r="A10" s="7" t="inlineStr">
        <is>
          <t>Vaka durumu</t>
        </is>
      </c>
      <c r="B10" s="23">
        <f>IFERROR(fms_vakaDurum,"KIRIK")</f>
        <v/>
      </c>
    </row>
    <row r="11">
      <c r="A11" s="7" t="inlineStr">
        <is>
          <t>Pahalı eşik aşıldı mı?</t>
        </is>
      </c>
      <c r="B11" s="23">
        <f>IF(IFERROR(MOTOR!G25,0)&gt;=MOTOR!G33+N(GIRDI!B9)*fms_sifirCarpan,"AŞIYOR","NORMAL")</f>
        <v/>
      </c>
    </row>
    <row r="12">
      <c r="A12" s="10" t="inlineStr">
        <is>
          <t>Sağlık skoru</t>
        </is>
      </c>
      <c r="B12" s="24">
        <f>IFERROR(ROUND((COUNTIF(B5:B11,"TEMİZ")+COUNTIF(B5:B11,"DOLU")+COUNTIF(B5:B11,"NORMAL")+COUNTIF(B5:B11,"TUTARLI"))/7*100,0),0)</f>
        <v/>
      </c>
    </row>
    <row r="14">
      <c r="A14" s="58" t="inlineStr">
        <is>
          <t>Beklenen giriş</t>
        </is>
      </c>
      <c r="B14" s="24">
        <f>IFERROR(fms_girisBeklenen+COUNTA(GIRDI!B6:B15)*0,0)</f>
        <v/>
      </c>
    </row>
    <row r="15">
      <c r="A15" s="58" t="inlineStr">
        <is>
          <t>Kıdem</t>
        </is>
      </c>
      <c r="B15" s="22">
        <f>IFERROR(fms_kidem,0)</f>
        <v/>
      </c>
    </row>
    <row r="16">
      <c r="A16" s="58" t="inlineStr">
        <is>
          <t>İhbar</t>
        </is>
      </c>
      <c r="B16" s="22">
        <f>IFERROR(fms_ihbar,0)</f>
        <v/>
      </c>
    </row>
    <row r="17">
      <c r="A17" s="58" t="inlineStr">
        <is>
          <t>Doğrudan</t>
        </is>
      </c>
      <c r="B17" s="22">
        <f>IFERROR(fms_dogrudanMaliyet,0)</f>
        <v/>
      </c>
    </row>
    <row r="18">
      <c r="A18" s="58" t="inlineStr">
        <is>
          <t>Beklenen toplam</t>
        </is>
      </c>
      <c r="B18" s="22">
        <f>IFERROR(fms_beklenenToplam,0)</f>
        <v/>
      </c>
    </row>
    <row r="19">
      <c r="A19" s="58" t="inlineStr">
        <is>
          <t>Karar</t>
        </is>
      </c>
      <c r="B19" s="23">
        <f>IFERROR(fms_kararMetni,"-")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1">
    <cfRule type="expression" priority="1" dxfId="0">
      <formula>OR(B5="KIRIK",B5="HATALI",B5="NEGATİF",B5="BOŞ",B5="EKSİK",B5="AŞIYOR")</formula>
    </cfRule>
    <cfRule type="expression" priority="2" dxfId="1">
      <formula>OR(B5="TEMİZ",B5="DOLU",B5="NORMAL",B5="TUTARLI")</formula>
    </cfRule>
  </conditionalFormatting>
  <conditionalFormatting sqref="B12">
    <cfRule type="cellIs" priority="3" operator="greaterThanOrEqual" dxfId="3">
      <formula>80</formula>
    </cfRule>
    <cfRule type="cellIs" priority="4" operator="lessThan" dxfId="5">
      <formula>50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48235"/>
    <outlinePr summaryBelow="1" summaryRight="1"/>
    <pageSetUpPr/>
  </sheetPr>
  <dimension ref="A1:AD100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ORNEK VERI — Fesih Maliyeti Simülatörü</t>
        </is>
      </c>
    </row>
    <row r="3">
      <c r="A3" s="44" t="inlineStr">
        <is>
          <t>Örnek senaryo verileri</t>
        </is>
      </c>
    </row>
    <row r="5" ht="30" customHeight="1">
      <c r="A5" s="36" t="inlineStr">
        <is>
          <t>Senaryo</t>
        </is>
      </c>
      <c r="B5" s="36" t="inlineStr">
        <is>
          <t>Brut</t>
        </is>
      </c>
      <c r="C5" s="36" t="inlineStr">
        <is>
          <t>KidemYil</t>
        </is>
      </c>
      <c r="D5" s="36" t="inlineStr">
        <is>
          <t>IhbarHafta</t>
        </is>
      </c>
      <c r="E5" s="36" t="inlineStr">
        <is>
          <t>IadeOlasilik</t>
        </is>
      </c>
      <c r="F5" s="36" t="inlineStr">
        <is>
          <t>Dava</t>
        </is>
      </c>
      <c r="G5" s="36" t="inlineStr">
        <is>
          <t>FesihTur</t>
        </is>
      </c>
      <c r="H5" s="36" t="inlineStr">
        <is>
          <t>Yil</t>
        </is>
      </c>
      <c r="I5" s="36" t="inlineStr">
        <is>
          <t>Not</t>
        </is>
      </c>
      <c r="J5" s="36" t="inlineStr">
        <is>
          <t>DogruOrnek</t>
        </is>
      </c>
      <c r="K5" s="36" t="inlineStr">
        <is>
          <t>BeklenenOrnek</t>
        </is>
      </c>
      <c r="L5" s="36" t="inlineStr">
        <is>
          <t>Kontrol</t>
        </is>
      </c>
    </row>
    <row r="6">
      <c r="A6" s="64" t="inlineStr">
        <is>
          <t>Demo ana</t>
        </is>
      </c>
      <c r="B6" s="65" t="n">
        <v>50000</v>
      </c>
      <c r="C6" s="45" t="n">
        <v>5</v>
      </c>
      <c r="D6" s="45" t="n">
        <v>8</v>
      </c>
      <c r="E6" s="46" t="n">
        <v>0.2</v>
      </c>
      <c r="F6" s="65" t="n">
        <v>30000</v>
      </c>
      <c r="G6" s="64" t="inlineStr">
        <is>
          <t>Haksız</t>
        </is>
      </c>
      <c r="H6" s="45" t="n">
        <v>2026</v>
      </c>
      <c r="I6" s="64" t="inlineStr">
        <is>
          <t>FESİH UYGUN</t>
        </is>
      </c>
      <c r="J6" s="38">
        <f>IF($A6="","",IFERROR($B6*$C6+$B6/30*7*$D6,0))</f>
        <v/>
      </c>
      <c r="K6" s="38">
        <f>IF($A6="","",IFERROR($J6+$E6*($B6*4+$F6),0))</f>
        <v/>
      </c>
      <c r="L6" s="38">
        <f>IF($A6="","",IF($B6="","EKSİK","TAM"))</f>
        <v/>
      </c>
    </row>
    <row r="7">
      <c r="A7" s="64" t="inlineStr">
        <is>
          <t>Yüksek kıdem</t>
        </is>
      </c>
      <c r="B7" s="65" t="n">
        <v>80000</v>
      </c>
      <c r="C7" s="45" t="n">
        <v>12</v>
      </c>
      <c r="D7" s="45" t="n">
        <v>8</v>
      </c>
      <c r="E7" s="46" t="n">
        <v>0.15</v>
      </c>
      <c r="F7" s="65" t="n">
        <v>40000</v>
      </c>
      <c r="G7" s="64" t="inlineStr">
        <is>
          <t>Haksız</t>
        </is>
      </c>
      <c r="H7" s="45" t="n">
        <v>2026</v>
      </c>
      <c r="I7" s="64" t="inlineStr">
        <is>
          <t>PAHALI</t>
        </is>
      </c>
      <c r="J7" s="38">
        <f>IF($A7="","",IFERROR($B7*$C7+$B7/30*7*$D7,0))</f>
        <v/>
      </c>
      <c r="K7" s="38">
        <f>IF($A7="","",IFERROR($J7+$E7*($B7*4+$F7),0))</f>
        <v/>
      </c>
      <c r="L7" s="38">
        <f>IF($A7="","",IF($B7="","EKSİK","TAM"))</f>
        <v/>
      </c>
    </row>
    <row r="8">
      <c r="A8" s="64" t="inlineStr">
        <is>
          <t>Riskli iade</t>
        </is>
      </c>
      <c r="B8" s="65" t="n">
        <v>45000</v>
      </c>
      <c r="C8" s="45" t="n">
        <v>4</v>
      </c>
      <c r="D8" s="45" t="n">
        <v>6</v>
      </c>
      <c r="E8" s="46" t="n">
        <v>0.55</v>
      </c>
      <c r="F8" s="65" t="n">
        <v>35000</v>
      </c>
      <c r="G8" s="64" t="inlineStr">
        <is>
          <t>Haksız</t>
        </is>
      </c>
      <c r="H8" s="45" t="n">
        <v>2026</v>
      </c>
      <c r="I8" s="64" t="inlineStr">
        <is>
          <t>RİSKLİ</t>
        </is>
      </c>
      <c r="J8" s="38">
        <f>IF($A8="","",IFERROR($B8*$C8+$B8/30*7*$D8,0))</f>
        <v/>
      </c>
      <c r="K8" s="38">
        <f>IF($A8="","",IFERROR($J8+$E8*($B8*4+$F8),0))</f>
        <v/>
      </c>
      <c r="L8" s="38">
        <f>IF($A8="","",IF($B8="","EKSİK","TAM"))</f>
        <v/>
      </c>
    </row>
    <row r="9">
      <c r="A9" s="64" t="inlineStr">
        <is>
          <t>2025 geçiş</t>
        </is>
      </c>
      <c r="B9" s="65" t="n">
        <v>50000</v>
      </c>
      <c r="C9" s="45" t="n">
        <v>5</v>
      </c>
      <c r="D9" s="45" t="n">
        <v>8</v>
      </c>
      <c r="E9" s="46" t="n">
        <v>0.2</v>
      </c>
      <c r="F9" s="65" t="n">
        <v>30000</v>
      </c>
      <c r="G9" s="64" t="inlineStr">
        <is>
          <t>Haksız</t>
        </is>
      </c>
      <c r="H9" s="45" t="n">
        <v>2025</v>
      </c>
      <c r="I9" s="64" t="inlineStr">
        <is>
          <t>FESİH UYGUN</t>
        </is>
      </c>
      <c r="J9" s="38">
        <f>IF($A9="","",IFERROR($B9*$C9+$B9/30*7*$D9,0))</f>
        <v/>
      </c>
      <c r="K9" s="38">
        <f>IF($A9="","",IFERROR($J9+$E9*($B9*4+$F9),0))</f>
        <v/>
      </c>
      <c r="L9" s="38">
        <f>IF($A9="","",IF($B9="","EKSİK","TAM"))</f>
        <v/>
      </c>
    </row>
    <row r="10">
      <c r="J10" s="38">
        <f>IF($A10="","",IFERROR($B10*$C10+$B10/30*7*$D10,0))</f>
        <v/>
      </c>
      <c r="K10" s="38">
        <f>IF($A10="","",IFERROR($J10+$E10*($B10*4+$F10),0))</f>
        <v/>
      </c>
      <c r="L10" s="38">
        <f>IF($A10="","",IF($B10="","EKSİK","TAM"))</f>
        <v/>
      </c>
    </row>
    <row r="11">
      <c r="J11" s="38">
        <f>IF($A11="","",IFERROR($B11*$C11+$B11/30*7*$D11,0))</f>
        <v/>
      </c>
      <c r="K11" s="38">
        <f>IF($A11="","",IFERROR($J11+$E11*($B11*4+$F11),0))</f>
        <v/>
      </c>
      <c r="L11" s="38">
        <f>IF($A11="","",IF($B11="","EKSİK","TAM"))</f>
        <v/>
      </c>
    </row>
    <row r="12">
      <c r="J12" s="38">
        <f>IF($A12="","",IFERROR($B12*$C12+$B12/30*7*$D12,0))</f>
        <v/>
      </c>
      <c r="K12" s="38">
        <f>IF($A12="","",IFERROR($J12+$E12*($B12*4+$F12),0))</f>
        <v/>
      </c>
      <c r="L12" s="38">
        <f>IF($A12="","",IF($B12="","EKSİK","TAM"))</f>
        <v/>
      </c>
    </row>
    <row r="13">
      <c r="J13" s="38">
        <f>IF($A13="","",IFERROR($B13*$C13+$B13/30*7*$D13,0))</f>
        <v/>
      </c>
      <c r="K13" s="38">
        <f>IF($A13="","",IFERROR($J13+$E13*($B13*4+$F13),0))</f>
        <v/>
      </c>
      <c r="L13" s="38">
        <f>IF($A13="","",IF($B13="","EKSİK","TAM"))</f>
        <v/>
      </c>
    </row>
    <row r="14">
      <c r="J14" s="38">
        <f>IF($A14="","",IFERROR($B14*$C14+$B14/30*7*$D14,0))</f>
        <v/>
      </c>
      <c r="K14" s="38">
        <f>IF($A14="","",IFERROR($J14+$E14*($B14*4+$F14),0))</f>
        <v/>
      </c>
      <c r="L14" s="38">
        <f>IF($A14="","",IF($B14="","EKSİK","TAM"))</f>
        <v/>
      </c>
    </row>
    <row r="15">
      <c r="J15" s="38">
        <f>IF($A15="","",IFERROR($B15*$C15+$B15/30*7*$D15,0))</f>
        <v/>
      </c>
      <c r="K15" s="38">
        <f>IF($A15="","",IFERROR($J15+$E15*($B15*4+$F15),0))</f>
        <v/>
      </c>
      <c r="L15" s="38">
        <f>IF($A15="","",IF($B15="","EKSİK","TAM"))</f>
        <v/>
      </c>
    </row>
    <row r="16">
      <c r="J16" s="38">
        <f>IF($A16="","",IFERROR($B16*$C16+$B16/30*7*$D16,0))</f>
        <v/>
      </c>
      <c r="K16" s="38">
        <f>IF($A16="","",IFERROR($J16+$E16*($B16*4+$F16),0))</f>
        <v/>
      </c>
      <c r="L16" s="38">
        <f>IF($A16="","",IF($B16="","EKSİK","TAM"))</f>
        <v/>
      </c>
    </row>
    <row r="17">
      <c r="J17" s="38">
        <f>IF($A17="","",IFERROR($B17*$C17+$B17/30*7*$D17,0))</f>
        <v/>
      </c>
      <c r="K17" s="38">
        <f>IF($A17="","",IFERROR($J17+$E17*($B17*4+$F17),0))</f>
        <v/>
      </c>
      <c r="L17" s="38">
        <f>IF($A17="","",IF($B17="","EKSİK","TAM"))</f>
        <v/>
      </c>
    </row>
    <row r="18">
      <c r="J18" s="38">
        <f>IF($A18="","",IFERROR($B18*$C18+$B18/30*7*$D18,0))</f>
        <v/>
      </c>
      <c r="K18" s="38">
        <f>IF($A18="","",IFERROR($J18+$E18*($B18*4+$F18),0))</f>
        <v/>
      </c>
      <c r="L18" s="38">
        <f>IF($A18="","",IF($B18="","EKSİK","TAM"))</f>
        <v/>
      </c>
    </row>
    <row r="19">
      <c r="J19" s="38">
        <f>IF($A19="","",IFERROR($B19*$C19+$B19/30*7*$D19,0))</f>
        <v/>
      </c>
      <c r="K19" s="38">
        <f>IF($A19="","",IFERROR($J19+$E19*($B19*4+$F19),0))</f>
        <v/>
      </c>
      <c r="L19" s="38">
        <f>IF($A19="","",IF($B19="","EKSİK","TAM"))</f>
        <v/>
      </c>
    </row>
    <row r="20">
      <c r="J20" s="38">
        <f>IF($A20="","",IFERROR($B20*$C20+$B20/30*7*$D20,0))</f>
        <v/>
      </c>
      <c r="K20" s="38">
        <f>IF($A20="","",IFERROR($J20+$E20*($B20*4+$F20),0))</f>
        <v/>
      </c>
      <c r="L20" s="38">
        <f>IF($A20="","",IF($B20="","EKSİK","TAM"))</f>
        <v/>
      </c>
    </row>
    <row r="21">
      <c r="J21" s="38">
        <f>IF($A21="","",IFERROR($B21*$C21+$B21/30*7*$D21,0))</f>
        <v/>
      </c>
      <c r="K21" s="38">
        <f>IF($A21="","",IFERROR($J21+$E21*($B21*4+$F21),0))</f>
        <v/>
      </c>
      <c r="L21" s="38">
        <f>IF($A21="","",IF($B21="","EKSİK","TAM"))</f>
        <v/>
      </c>
    </row>
    <row r="22">
      <c r="A22" s="25" t="inlineStr">
        <is>
          <t>OrnekMaliyetDemo</t>
        </is>
      </c>
      <c r="J22" s="38">
        <f>IF($A22="","",IFERROR($B22*$C22+$B22/30*7*$D22,0))</f>
        <v/>
      </c>
      <c r="K22" s="38">
        <f>IF($A22="","",IFERROR($J22+$E22*($B22*4+$F22),0))</f>
        <v/>
      </c>
      <c r="L22" s="38">
        <f>IF($A22="","",IF($B22="","EKSİK","TAM"))</f>
        <v/>
      </c>
    </row>
    <row r="23">
      <c r="A23" s="26" t="inlineStr">
        <is>
          <t>Demo ana</t>
        </is>
      </c>
      <c r="B23" s="27" t="n">
        <v>389333</v>
      </c>
      <c r="J23" s="38">
        <f>IF($A23="","",IFERROR($B23*$C23+$B23/30*7*$D23,0))</f>
        <v/>
      </c>
      <c r="K23" s="38">
        <f>IF($A23="","",IFERROR($J23+$E23*($B23*4+$F23),0))</f>
        <v/>
      </c>
      <c r="L23" s="38">
        <f>IF($A23="","",IF($B23="","EKSİK","TAM"))</f>
        <v/>
      </c>
    </row>
    <row r="24">
      <c r="A24" s="26" t="inlineStr">
        <is>
          <t>Yüksek kıdem</t>
        </is>
      </c>
      <c r="B24" s="27" t="n">
        <v>1125333</v>
      </c>
      <c r="J24" s="38">
        <f>IF($A24="","",IFERROR($B24*$C24+$B24/30*7*$D24,0))</f>
        <v/>
      </c>
      <c r="K24" s="38">
        <f>IF($A24="","",IFERROR($J24+$E24*($B24*4+$F24),0))</f>
        <v/>
      </c>
      <c r="L24" s="38">
        <f>IF($A24="","",IF($B24="","EKSİK","TAM"))</f>
        <v/>
      </c>
    </row>
    <row r="25">
      <c r="A25" s="26" t="inlineStr">
        <is>
          <t>Riskli iade</t>
        </is>
      </c>
      <c r="B25" s="27" t="n">
        <v>314500</v>
      </c>
      <c r="J25" s="38">
        <f>IF($A25="","",IFERROR($B25*$C25+$B25/30*7*$D25,0))</f>
        <v/>
      </c>
      <c r="K25" s="38">
        <f>IF($A25="","",IFERROR($J25+$E25*($B25*4+$F25),0))</f>
        <v/>
      </c>
      <c r="L25" s="38">
        <f>IF($A25="","",IF($B25="","EKSİK","TAM"))</f>
        <v/>
      </c>
    </row>
    <row r="26">
      <c r="A26" s="26" t="inlineStr">
        <is>
          <t>2025 geçiş</t>
        </is>
      </c>
      <c r="B26" s="27" t="n">
        <v>389333</v>
      </c>
      <c r="J26" s="38">
        <f>IF($A26="","",IFERROR($B26*$C26+$B26/30*7*$D26,0))</f>
        <v/>
      </c>
      <c r="K26" s="38">
        <f>IF($A26="","",IFERROR($J26+$E26*($B26*4+$F26),0))</f>
        <v/>
      </c>
      <c r="L26" s="38">
        <f>IF($A26="","",IF($B26="","EKSİK","TAM"))</f>
        <v/>
      </c>
    </row>
    <row r="27">
      <c r="J27" s="38">
        <f>IF($A27="","",IFERROR($B27*$C27+$B27/30*7*$D27,0))</f>
        <v/>
      </c>
      <c r="K27" s="38">
        <f>IF($A27="","",IFERROR($J27+$E27*($B27*4+$F27),0))</f>
        <v/>
      </c>
      <c r="L27" s="38">
        <f>IF($A27="","",IF($B27="","EKSİK","TAM"))</f>
        <v/>
      </c>
    </row>
    <row r="28">
      <c r="J28" s="38">
        <f>IF($A28="","",IFERROR($B28*$C28+$B28/30*7*$D28,0))</f>
        <v/>
      </c>
      <c r="K28" s="38">
        <f>IF($A28="","",IFERROR($J28+$E28*($B28*4+$F28),0))</f>
        <v/>
      </c>
      <c r="L28" s="38">
        <f>IF($A28="","",IF($B28="","EKSİK","TAM"))</f>
        <v/>
      </c>
    </row>
    <row r="29">
      <c r="J29" s="38">
        <f>IF($A29="","",IFERROR($B29*$C29+$B29/30*7*$D29,0))</f>
        <v/>
      </c>
      <c r="K29" s="38">
        <f>IF($A29="","",IFERROR($J29+$E29*($B29*4+$F29),0))</f>
        <v/>
      </c>
      <c r="L29" s="38">
        <f>IF($A29="","",IF($B29="","EKSİK","TAM"))</f>
        <v/>
      </c>
    </row>
    <row r="30">
      <c r="J30" s="38">
        <f>IF($A30="","",IFERROR($B30*$C30+$B30/30*7*$D30,0))</f>
        <v/>
      </c>
      <c r="K30" s="38">
        <f>IF($A30="","",IFERROR($J30+$E30*($B30*4+$F30),0))</f>
        <v/>
      </c>
      <c r="L30" s="38">
        <f>IF($A30="","",IF($B30="","EKSİK","TAM"))</f>
        <v/>
      </c>
    </row>
    <row r="31">
      <c r="J31" s="38">
        <f>IF($A31="","",IFERROR($B31*$C31+$B31/30*7*$D31,0))</f>
        <v/>
      </c>
      <c r="K31" s="38">
        <f>IF($A31="","",IFERROR($J31+$E31*($B31*4+$F31),0))</f>
        <v/>
      </c>
      <c r="L31" s="38">
        <f>IF($A31="","",IF($B31="","EKSİK","TAM"))</f>
        <v/>
      </c>
    </row>
    <row r="32">
      <c r="J32" s="38">
        <f>IF($A32="","",IFERROR($B32*$C32+$B32/30*7*$D32,0))</f>
        <v/>
      </c>
      <c r="K32" s="38">
        <f>IF($A32="","",IFERROR($J32+$E32*($B32*4+$F32),0))</f>
        <v/>
      </c>
      <c r="L32" s="38">
        <f>IF($A32="","",IF($B32="","EKSİK","TAM"))</f>
        <v/>
      </c>
    </row>
    <row r="33">
      <c r="J33" s="38">
        <f>IF($A33="","",IFERROR($B33*$C33+$B33/30*7*$D33,0))</f>
        <v/>
      </c>
      <c r="K33" s="38">
        <f>IF($A33="","",IFERROR($J33+$E33*($B33*4+$F33),0))</f>
        <v/>
      </c>
      <c r="L33" s="38">
        <f>IF($A33="","",IF($B33="","EKSİK","TAM"))</f>
        <v/>
      </c>
    </row>
    <row r="34">
      <c r="J34" s="38">
        <f>IF($A34="","",IFERROR($B34*$C34+$B34/30*7*$D34,0))</f>
        <v/>
      </c>
      <c r="K34" s="38">
        <f>IF($A34="","",IFERROR($J34+$E34*($B34*4+$F34),0))</f>
        <v/>
      </c>
      <c r="L34" s="38">
        <f>IF($A34="","",IF($B34="","EKSİK","TAM"))</f>
        <v/>
      </c>
    </row>
    <row r="35">
      <c r="J35" s="38">
        <f>IF($A35="","",IFERROR($B35*$C35+$B35/30*7*$D35,0))</f>
        <v/>
      </c>
      <c r="K35" s="38">
        <f>IF($A35="","",IFERROR($J35+$E35*($B35*4+$F35),0))</f>
        <v/>
      </c>
      <c r="L35" s="38">
        <f>IF($A35="","",IF($B35="","EKSİK","TAM"))</f>
        <v/>
      </c>
    </row>
    <row r="36">
      <c r="J36" s="38">
        <f>IF($A36="","",IFERROR($B36*$C36+$B36/30*7*$D36,0))</f>
        <v/>
      </c>
      <c r="K36" s="38">
        <f>IF($A36="","",IFERROR($J36+$E36*($B36*4+$F36),0))</f>
        <v/>
      </c>
      <c r="L36" s="38">
        <f>IF($A36="","",IF($B36="","EKSİK","TAM"))</f>
        <v/>
      </c>
    </row>
    <row r="37">
      <c r="J37" s="38">
        <f>IF($A37="","",IFERROR($B37*$C37+$B37/30*7*$D37,0))</f>
        <v/>
      </c>
      <c r="K37" s="38">
        <f>IF($A37="","",IFERROR($J37+$E37*($B37*4+$F37),0))</f>
        <v/>
      </c>
      <c r="L37" s="38">
        <f>IF($A37="","",IF($B37="","EKSİK","TAM"))</f>
        <v/>
      </c>
    </row>
    <row r="38">
      <c r="J38" s="38">
        <f>IF($A38="","",IFERROR($B38*$C38+$B38/30*7*$D38,0))</f>
        <v/>
      </c>
      <c r="K38" s="38">
        <f>IF($A38="","",IFERROR($J38+$E38*($B38*4+$F38),0))</f>
        <v/>
      </c>
      <c r="L38" s="38">
        <f>IF($A38="","",IF($B38="","EKSİK","TAM"))</f>
        <v/>
      </c>
    </row>
    <row r="39">
      <c r="J39" s="38">
        <f>IF($A39="","",IFERROR($B39*$C39+$B39/30*7*$D39,0))</f>
        <v/>
      </c>
      <c r="K39" s="38">
        <f>IF($A39="","",IFERROR($J39+$E39*($B39*4+$F39),0))</f>
        <v/>
      </c>
      <c r="L39" s="38">
        <f>IF($A39="","",IF($B39="","EKSİK","TAM"))</f>
        <v/>
      </c>
    </row>
    <row r="40">
      <c r="J40" s="38">
        <f>IF($A40="","",IFERROR($B40*$C40+$B40/30*7*$D40,0))</f>
        <v/>
      </c>
      <c r="K40" s="38">
        <f>IF($A40="","",IFERROR($J40+$E40*($B40*4+$F40),0))</f>
        <v/>
      </c>
      <c r="L40" s="38">
        <f>IF($A40="","",IF($B40="","EKSİK","TAM"))</f>
        <v/>
      </c>
    </row>
    <row r="41">
      <c r="J41" s="38">
        <f>IF($A41="","",IFERROR($B41*$C41+$B41/30*7*$D41,0))</f>
        <v/>
      </c>
      <c r="K41" s="38">
        <f>IF($A41="","",IFERROR($J41+$E41*($B41*4+$F41),0))</f>
        <v/>
      </c>
      <c r="L41" s="38">
        <f>IF($A41="","",IF($B41="","EKSİK","TAM"))</f>
        <v/>
      </c>
    </row>
    <row r="42">
      <c r="J42" s="38">
        <f>IF($A42="","",IFERROR($B42*$C42+$B42/30*7*$D42,0))</f>
        <v/>
      </c>
      <c r="K42" s="38">
        <f>IF($A42="","",IFERROR($J42+$E42*($B42*4+$F42),0))</f>
        <v/>
      </c>
      <c r="L42" s="38">
        <f>IF($A42="","",IF($B42="","EKSİK","TAM"))</f>
        <v/>
      </c>
    </row>
    <row r="43">
      <c r="J43" s="38">
        <f>IF($A43="","",IFERROR($B43*$C43+$B43/30*7*$D43,0))</f>
        <v/>
      </c>
      <c r="K43" s="38">
        <f>IF($A43="","",IFERROR($J43+$E43*($B43*4+$F43),0))</f>
        <v/>
      </c>
      <c r="L43" s="38">
        <f>IF($A43="","",IF($B43="","EKSİK","TAM"))</f>
        <v/>
      </c>
    </row>
    <row r="44">
      <c r="J44" s="38">
        <f>IF($A44="","",IFERROR($B44*$C44+$B44/30*7*$D44,0))</f>
        <v/>
      </c>
      <c r="K44" s="38">
        <f>IF($A44="","",IFERROR($J44+$E44*($B44*4+$F44),0))</f>
        <v/>
      </c>
      <c r="L44" s="38">
        <f>IF($A44="","",IF($B44="","EKSİK","TAM"))</f>
        <v/>
      </c>
    </row>
    <row r="45">
      <c r="J45" s="38">
        <f>IF($A45="","",IFERROR($B45*$C45+$B45/30*7*$D45,0))</f>
        <v/>
      </c>
      <c r="K45" s="38">
        <f>IF($A45="","",IFERROR($J45+$E45*($B45*4+$F45),0))</f>
        <v/>
      </c>
      <c r="L45" s="38">
        <f>IF($A45="","",IF($B45="","EKSİK","TAM"))</f>
        <v/>
      </c>
    </row>
    <row r="46">
      <c r="J46" s="38">
        <f>IF($A46="","",IFERROR($B46*$C46+$B46/30*7*$D46,0))</f>
        <v/>
      </c>
      <c r="K46" s="38">
        <f>IF($A46="","",IFERROR($J46+$E46*($B46*4+$F46),0))</f>
        <v/>
      </c>
      <c r="L46" s="38">
        <f>IF($A46="","",IF($B46="","EKSİK","TAM"))</f>
        <v/>
      </c>
    </row>
    <row r="47">
      <c r="J47" s="38">
        <f>IF($A47="","",IFERROR($B47*$C47+$B47/30*7*$D47,0))</f>
        <v/>
      </c>
      <c r="K47" s="38">
        <f>IF($A47="","",IFERROR($J47+$E47*($B47*4+$F47),0))</f>
        <v/>
      </c>
      <c r="L47" s="38">
        <f>IF($A47="","",IF($B47="","EKSİK","TAM"))</f>
        <v/>
      </c>
    </row>
    <row r="48">
      <c r="J48" s="38">
        <f>IF($A48="","",IFERROR($B48*$C48+$B48/30*7*$D48,0))</f>
        <v/>
      </c>
      <c r="K48" s="38">
        <f>IF($A48="","",IFERROR($J48+$E48*($B48*4+$F48),0))</f>
        <v/>
      </c>
      <c r="L48" s="38">
        <f>IF($A48="","",IF($B48="","EKSİK","TAM"))</f>
        <v/>
      </c>
    </row>
    <row r="49">
      <c r="J49" s="38">
        <f>IF($A49="","",IFERROR($B49*$C49+$B49/30*7*$D49,0))</f>
        <v/>
      </c>
      <c r="K49" s="38">
        <f>IF($A49="","",IFERROR($J49+$E49*($B49*4+$F49),0))</f>
        <v/>
      </c>
      <c r="L49" s="38">
        <f>IF($A49="","",IF($B49="","EKSİK","TAM"))</f>
        <v/>
      </c>
    </row>
    <row r="50">
      <c r="J50" s="38">
        <f>IF($A50="","",IFERROR($B50*$C50+$B50/30*7*$D50,0))</f>
        <v/>
      </c>
      <c r="K50" s="38">
        <f>IF($A50="","",IFERROR($J50+$E50*($B50*4+$F50),0))</f>
        <v/>
      </c>
      <c r="L50" s="38">
        <f>IF($A50="","",IF($B50="","EKSİK","TAM"))</f>
        <v/>
      </c>
    </row>
    <row r="51">
      <c r="J51" s="38">
        <f>IF($A51="","",IFERROR($B51*$C51+$B51/30*7*$D51,0))</f>
        <v/>
      </c>
      <c r="K51" s="38">
        <f>IF($A51="","",IFERROR($J51+$E51*($B51*4+$F51),0))</f>
        <v/>
      </c>
      <c r="L51" s="38">
        <f>IF($A51="","",IF($B51="","EKSİK","TAM"))</f>
        <v/>
      </c>
    </row>
    <row r="52">
      <c r="J52" s="38">
        <f>IF($A52="","",IFERROR($B52*$C52+$B52/30*7*$D52,0))</f>
        <v/>
      </c>
      <c r="K52" s="38">
        <f>IF($A52="","",IFERROR($J52+$E52*($B52*4+$F52),0))</f>
        <v/>
      </c>
      <c r="L52" s="38">
        <f>IF($A52="","",IF($B52="","EKSİK","TAM"))</f>
        <v/>
      </c>
    </row>
    <row r="53">
      <c r="J53" s="38">
        <f>IF($A53="","",IFERROR($B53*$C53+$B53/30*7*$D53,0))</f>
        <v/>
      </c>
      <c r="K53" s="38">
        <f>IF($A53="","",IFERROR($J53+$E53*($B53*4+$F53),0))</f>
        <v/>
      </c>
      <c r="L53" s="38">
        <f>IF($A53="","",IF($B53="","EKSİK","TAM"))</f>
        <v/>
      </c>
    </row>
    <row r="54">
      <c r="J54" s="38">
        <f>IF($A54="","",IFERROR($B54*$C54+$B54/30*7*$D54,0))</f>
        <v/>
      </c>
      <c r="K54" s="38">
        <f>IF($A54="","",IFERROR($J54+$E54*($B54*4+$F54),0))</f>
        <v/>
      </c>
      <c r="L54" s="38">
        <f>IF($A54="","",IF($B54="","EKSİK","TAM"))</f>
        <v/>
      </c>
    </row>
    <row r="55">
      <c r="J55" s="38">
        <f>IF($A55="","",IFERROR($B55*$C55+$B55/30*7*$D55,0))</f>
        <v/>
      </c>
      <c r="K55" s="38">
        <f>IF($A55="","",IFERROR($J55+$E55*($B55*4+$F55),0))</f>
        <v/>
      </c>
      <c r="L55" s="38">
        <f>IF($A55="","",IF($B55="","EKSİK","TAM"))</f>
        <v/>
      </c>
    </row>
    <row r="56">
      <c r="J56" s="38">
        <f>IF($A56="","",IFERROR($B56*$C56+$B56/30*7*$D56,0))</f>
        <v/>
      </c>
      <c r="K56" s="38">
        <f>IF($A56="","",IFERROR($J56+$E56*($B56*4+$F56),0))</f>
        <v/>
      </c>
      <c r="L56" s="38">
        <f>IF($A56="","",IF($B56="","EKSİK","TAM"))</f>
        <v/>
      </c>
    </row>
    <row r="57">
      <c r="J57" s="38">
        <f>IF($A57="","",IFERROR($B57*$C57+$B57/30*7*$D57,0))</f>
        <v/>
      </c>
      <c r="K57" s="38">
        <f>IF($A57="","",IFERROR($J57+$E57*($B57*4+$F57),0))</f>
        <v/>
      </c>
      <c r="L57" s="38">
        <f>IF($A57="","",IF($B57="","EKSİK","TAM"))</f>
        <v/>
      </c>
    </row>
    <row r="58">
      <c r="J58" s="38">
        <f>IF($A58="","",IFERROR($B58*$C58+$B58/30*7*$D58,0))</f>
        <v/>
      </c>
      <c r="K58" s="38">
        <f>IF($A58="","",IFERROR($J58+$E58*($B58*4+$F58),0))</f>
        <v/>
      </c>
      <c r="L58" s="38">
        <f>IF($A58="","",IF($B58="","EKSİK","TAM"))</f>
        <v/>
      </c>
    </row>
    <row r="59">
      <c r="J59" s="38">
        <f>IF($A59="","",IFERROR($B59*$C59+$B59/30*7*$D59,0))</f>
        <v/>
      </c>
      <c r="K59" s="38">
        <f>IF($A59="","",IFERROR($J59+$E59*($B59*4+$F59),0))</f>
        <v/>
      </c>
      <c r="L59" s="38">
        <f>IF($A59="","",IF($B59="","EKSİK","TAM"))</f>
        <v/>
      </c>
    </row>
    <row r="60">
      <c r="J60" s="38">
        <f>IF($A60="","",IFERROR($B60*$C60+$B60/30*7*$D60,0))</f>
        <v/>
      </c>
      <c r="K60" s="38">
        <f>IF($A60="","",IFERROR($J60+$E60*($B60*4+$F60),0))</f>
        <v/>
      </c>
      <c r="L60" s="38">
        <f>IF($A60="","",IF($B60="","EKSİK","TAM"))</f>
        <v/>
      </c>
    </row>
    <row r="61">
      <c r="J61" s="38">
        <f>IF($A61="","",IFERROR($B61*$C61+$B61/30*7*$D61,0))</f>
        <v/>
      </c>
      <c r="K61" s="38">
        <f>IF($A61="","",IFERROR($J61+$E61*($B61*4+$F61),0))</f>
        <v/>
      </c>
      <c r="L61" s="38">
        <f>IF($A61="","",IF($B61="","EKSİK","TAM"))</f>
        <v/>
      </c>
    </row>
    <row r="62">
      <c r="J62" s="38">
        <f>IF($A62="","",IFERROR($B62*$C62+$B62/30*7*$D62,0))</f>
        <v/>
      </c>
      <c r="K62" s="38">
        <f>IF($A62="","",IFERROR($J62+$E62*($B62*4+$F62),0))</f>
        <v/>
      </c>
      <c r="L62" s="38">
        <f>IF($A62="","",IF($B62="","EKSİK","TAM"))</f>
        <v/>
      </c>
    </row>
    <row r="63">
      <c r="J63" s="38">
        <f>IF($A63="","",IFERROR($B63*$C63+$B63/30*7*$D63,0))</f>
        <v/>
      </c>
      <c r="K63" s="38">
        <f>IF($A63="","",IFERROR($J63+$E63*($B63*4+$F63),0))</f>
        <v/>
      </c>
      <c r="L63" s="38">
        <f>IF($A63="","",IF($B63="","EKSİK","TAM"))</f>
        <v/>
      </c>
    </row>
    <row r="64">
      <c r="J64" s="38">
        <f>IF($A64="","",IFERROR($B64*$C64+$B64/30*7*$D64,0))</f>
        <v/>
      </c>
      <c r="K64" s="38">
        <f>IF($A64="","",IFERROR($J64+$E64*($B64*4+$F64),0))</f>
        <v/>
      </c>
      <c r="L64" s="38">
        <f>IF($A64="","",IF($B64="","EKSİK","TAM"))</f>
        <v/>
      </c>
    </row>
    <row r="65">
      <c r="J65" s="38">
        <f>IF($A65="","",IFERROR($B65*$C65+$B65/30*7*$D65,0))</f>
        <v/>
      </c>
      <c r="K65" s="38">
        <f>IF($A65="","",IFERROR($J65+$E65*($B65*4+$F65),0))</f>
        <v/>
      </c>
      <c r="L65" s="38">
        <f>IF($A65="","",IF($B65="","EKSİK","TAM"))</f>
        <v/>
      </c>
    </row>
    <row r="66">
      <c r="J66" s="38">
        <f>IF($A66="","",IFERROR($B66*$C66+$B66/30*7*$D66,0))</f>
        <v/>
      </c>
      <c r="K66" s="38">
        <f>IF($A66="","",IFERROR($J66+$E66*($B66*4+$F66),0))</f>
        <v/>
      </c>
      <c r="L66" s="38">
        <f>IF($A66="","",IF($B66="","EKSİK","TAM"))</f>
        <v/>
      </c>
    </row>
    <row r="67">
      <c r="J67" s="38">
        <f>IF($A67="","",IFERROR($B67*$C67+$B67/30*7*$D67,0))</f>
        <v/>
      </c>
      <c r="K67" s="38">
        <f>IF($A67="","",IFERROR($J67+$E67*($B67*4+$F67),0))</f>
        <v/>
      </c>
      <c r="L67" s="38">
        <f>IF($A67="","",IF($B67="","EKSİK","TAM"))</f>
        <v/>
      </c>
    </row>
    <row r="68">
      <c r="J68" s="38">
        <f>IF($A68="","",IFERROR($B68*$C68+$B68/30*7*$D68,0))</f>
        <v/>
      </c>
      <c r="K68" s="38">
        <f>IF($A68="","",IFERROR($J68+$E68*($B68*4+$F68),0))</f>
        <v/>
      </c>
      <c r="L68" s="38">
        <f>IF($A68="","",IF($B68="","EKSİK","TAM"))</f>
        <v/>
      </c>
    </row>
    <row r="69">
      <c r="J69" s="38">
        <f>IF($A69="","",IFERROR($B69*$C69+$B69/30*7*$D69,0))</f>
        <v/>
      </c>
      <c r="K69" s="38">
        <f>IF($A69="","",IFERROR($J69+$E69*($B69*4+$F69),0))</f>
        <v/>
      </c>
      <c r="L69" s="38">
        <f>IF($A69="","",IF($B69="","EKSİK","TAM"))</f>
        <v/>
      </c>
    </row>
    <row r="70">
      <c r="J70" s="38">
        <f>IF($A70="","",IFERROR($B70*$C70+$B70/30*7*$D70,0))</f>
        <v/>
      </c>
      <c r="K70" s="38">
        <f>IF($A70="","",IFERROR($J70+$E70*($B70*4+$F70),0))</f>
        <v/>
      </c>
      <c r="L70" s="38">
        <f>IF($A70="","",IF($B70="","EKSİK","TAM"))</f>
        <v/>
      </c>
    </row>
    <row r="71">
      <c r="J71" s="38">
        <f>IF($A71="","",IFERROR($B71*$C71+$B71/30*7*$D71,0))</f>
        <v/>
      </c>
      <c r="K71" s="38">
        <f>IF($A71="","",IFERROR($J71+$E71*($B71*4+$F71),0))</f>
        <v/>
      </c>
      <c r="L71" s="38">
        <f>IF($A71="","",IF($B71="","EKSİK","TAM"))</f>
        <v/>
      </c>
    </row>
    <row r="72">
      <c r="J72" s="38">
        <f>IF($A72="","",IFERROR($B72*$C72+$B72/30*7*$D72,0))</f>
        <v/>
      </c>
      <c r="K72" s="38">
        <f>IF($A72="","",IFERROR($J72+$E72*($B72*4+$F72),0))</f>
        <v/>
      </c>
      <c r="L72" s="38">
        <f>IF($A72="","",IF($B72="","EKSİK","TAM"))</f>
        <v/>
      </c>
    </row>
    <row r="73">
      <c r="J73" s="38">
        <f>IF($A73="","",IFERROR($B73*$C73+$B73/30*7*$D73,0))</f>
        <v/>
      </c>
      <c r="K73" s="38">
        <f>IF($A73="","",IFERROR($J73+$E73*($B73*4+$F73),0))</f>
        <v/>
      </c>
      <c r="L73" s="38">
        <f>IF($A73="","",IF($B73="","EKSİK","TAM"))</f>
        <v/>
      </c>
    </row>
    <row r="74">
      <c r="J74" s="38">
        <f>IF($A74="","",IFERROR($B74*$C74+$B74/30*7*$D74,0))</f>
        <v/>
      </c>
      <c r="K74" s="38">
        <f>IF($A74="","",IFERROR($J74+$E74*($B74*4+$F74),0))</f>
        <v/>
      </c>
      <c r="L74" s="38">
        <f>IF($A74="","",IF($B74="","EKSİK","TAM"))</f>
        <v/>
      </c>
    </row>
    <row r="75">
      <c r="J75" s="38">
        <f>IF($A75="","",IFERROR($B75*$C75+$B75/30*7*$D75,0))</f>
        <v/>
      </c>
      <c r="K75" s="38">
        <f>IF($A75="","",IFERROR($J75+$E75*($B75*4+$F75),0))</f>
        <v/>
      </c>
      <c r="L75" s="38">
        <f>IF($A75="","",IF($B75="","EKSİK","TAM"))</f>
        <v/>
      </c>
    </row>
    <row r="76">
      <c r="J76" s="38">
        <f>IF($A76="","",IFERROR($B76*$C76+$B76/30*7*$D76,0))</f>
        <v/>
      </c>
      <c r="K76" s="38">
        <f>IF($A76="","",IFERROR($J76+$E76*($B76*4+$F76),0))</f>
        <v/>
      </c>
      <c r="L76" s="38">
        <f>IF($A76="","",IF($B76="","EKSİK","TAM"))</f>
        <v/>
      </c>
    </row>
    <row r="77">
      <c r="J77" s="38">
        <f>IF($A77="","",IFERROR($B77*$C77+$B77/30*7*$D77,0))</f>
        <v/>
      </c>
      <c r="K77" s="38">
        <f>IF($A77="","",IFERROR($J77+$E77*($B77*4+$F77),0))</f>
        <v/>
      </c>
      <c r="L77" s="38">
        <f>IF($A77="","",IF($B77="","EKSİK","TAM"))</f>
        <v/>
      </c>
    </row>
    <row r="78">
      <c r="J78" s="38">
        <f>IF($A78="","",IFERROR($B78*$C78+$B78/30*7*$D78,0))</f>
        <v/>
      </c>
      <c r="K78" s="38">
        <f>IF($A78="","",IFERROR($J78+$E78*($B78*4+$F78),0))</f>
        <v/>
      </c>
      <c r="L78" s="38">
        <f>IF($A78="","",IF($B78="","EKSİK","TAM"))</f>
        <v/>
      </c>
    </row>
    <row r="79">
      <c r="J79" s="38">
        <f>IF($A79="","",IFERROR($B79*$C79+$B79/30*7*$D79,0))</f>
        <v/>
      </c>
      <c r="K79" s="38">
        <f>IF($A79="","",IFERROR($J79+$E79*($B79*4+$F79),0))</f>
        <v/>
      </c>
      <c r="L79" s="38">
        <f>IF($A79="","",IF($B79="","EKSİK","TAM"))</f>
        <v/>
      </c>
    </row>
    <row r="80">
      <c r="J80" s="38">
        <f>IF($A80="","",IFERROR($B80*$C80+$B80/30*7*$D80,0))</f>
        <v/>
      </c>
      <c r="K80" s="38">
        <f>IF($A80="","",IFERROR($J80+$E80*($B80*4+$F80),0))</f>
        <v/>
      </c>
      <c r="L80" s="38">
        <f>IF($A80="","",IF($B80="","EKSİK","TAM"))</f>
        <v/>
      </c>
    </row>
    <row r="81">
      <c r="J81" s="38">
        <f>IF($A81="","",IFERROR($B81*$C81+$B81/30*7*$D81,0))</f>
        <v/>
      </c>
      <c r="K81" s="38">
        <f>IF($A81="","",IFERROR($J81+$E81*($B81*4+$F81),0))</f>
        <v/>
      </c>
      <c r="L81" s="38">
        <f>IF($A81="","",IF($B81="","EKSİK","TAM"))</f>
        <v/>
      </c>
    </row>
    <row r="82">
      <c r="J82" s="38">
        <f>IF($A82="","",IFERROR($B82*$C82+$B82/30*7*$D82,0))</f>
        <v/>
      </c>
      <c r="K82" s="38">
        <f>IF($A82="","",IFERROR($J82+$E82*($B82*4+$F82),0))</f>
        <v/>
      </c>
      <c r="L82" s="38">
        <f>IF($A82="","",IF($B82="","EKSİK","TAM"))</f>
        <v/>
      </c>
    </row>
    <row r="83">
      <c r="J83" s="38">
        <f>IF($A83="","",IFERROR($B83*$C83+$B83/30*7*$D83,0))</f>
        <v/>
      </c>
      <c r="K83" s="38">
        <f>IF($A83="","",IFERROR($J83+$E83*($B83*4+$F83),0))</f>
        <v/>
      </c>
      <c r="L83" s="38">
        <f>IF($A83="","",IF($B83="","EKSİK","TAM"))</f>
        <v/>
      </c>
    </row>
    <row r="84">
      <c r="J84" s="38">
        <f>IF($A84="","",IFERROR($B84*$C84+$B84/30*7*$D84,0))</f>
        <v/>
      </c>
      <c r="K84" s="38">
        <f>IF($A84="","",IFERROR($J84+$E84*($B84*4+$F84),0))</f>
        <v/>
      </c>
      <c r="L84" s="38">
        <f>IF($A84="","",IF($B84="","EKSİK","TAM"))</f>
        <v/>
      </c>
    </row>
    <row r="85">
      <c r="J85" s="38">
        <f>IF($A85="","",IFERROR($B85*$C85+$B85/30*7*$D85,0))</f>
        <v/>
      </c>
      <c r="K85" s="38">
        <f>IF($A85="","",IFERROR($J85+$E85*($B85*4+$F85),0))</f>
        <v/>
      </c>
      <c r="L85" s="38">
        <f>IF($A85="","",IF($B85="","EKSİK","TAM"))</f>
        <v/>
      </c>
    </row>
    <row r="86">
      <c r="J86" s="38">
        <f>IF($A86="","",IFERROR($B86*$C86+$B86/30*7*$D86,0))</f>
        <v/>
      </c>
      <c r="K86" s="38">
        <f>IF($A86="","",IFERROR($J86+$E86*($B86*4+$F86),0))</f>
        <v/>
      </c>
      <c r="L86" s="38">
        <f>IF($A86="","",IF($B86="","EKSİK","TAM"))</f>
        <v/>
      </c>
    </row>
    <row r="87">
      <c r="J87" s="38">
        <f>IF($A87="","",IFERROR($B87*$C87+$B87/30*7*$D87,0))</f>
        <v/>
      </c>
      <c r="K87" s="38">
        <f>IF($A87="","",IFERROR($J87+$E87*($B87*4+$F87),0))</f>
        <v/>
      </c>
      <c r="L87" s="38">
        <f>IF($A87="","",IF($B87="","EKSİK","TAM"))</f>
        <v/>
      </c>
    </row>
    <row r="88">
      <c r="J88" s="38">
        <f>IF($A88="","",IFERROR($B88*$C88+$B88/30*7*$D88,0))</f>
        <v/>
      </c>
      <c r="K88" s="38">
        <f>IF($A88="","",IFERROR($J88+$E88*($B88*4+$F88),0))</f>
        <v/>
      </c>
      <c r="L88" s="38">
        <f>IF($A88="","",IF($B88="","EKSİK","TAM"))</f>
        <v/>
      </c>
    </row>
    <row r="89">
      <c r="J89" s="38">
        <f>IF($A89="","",IFERROR($B89*$C89+$B89/30*7*$D89,0))</f>
        <v/>
      </c>
      <c r="K89" s="38">
        <f>IF($A89="","",IFERROR($J89+$E89*($B89*4+$F89),0))</f>
        <v/>
      </c>
      <c r="L89" s="38">
        <f>IF($A89="","",IF($B89="","EKSİK","TAM"))</f>
        <v/>
      </c>
    </row>
    <row r="90">
      <c r="J90" s="38">
        <f>IF($A90="","",IFERROR($B90*$C90+$B90/30*7*$D90,0))</f>
        <v/>
      </c>
      <c r="K90" s="38">
        <f>IF($A90="","",IFERROR($J90+$E90*($B90*4+$F90),0))</f>
        <v/>
      </c>
      <c r="L90" s="38">
        <f>IF($A90="","",IF($B90="","EKSİK","TAM"))</f>
        <v/>
      </c>
    </row>
    <row r="91">
      <c r="J91" s="38">
        <f>IF($A91="","",IFERROR($B91*$C91+$B91/30*7*$D91,0))</f>
        <v/>
      </c>
      <c r="K91" s="38">
        <f>IF($A91="","",IFERROR($J91+$E91*($B91*4+$F91),0))</f>
        <v/>
      </c>
      <c r="L91" s="38">
        <f>IF($A91="","",IF($B91="","EKSİK","TAM"))</f>
        <v/>
      </c>
    </row>
    <row r="92">
      <c r="J92" s="38">
        <f>IF($A92="","",IFERROR($B92*$C92+$B92/30*7*$D92,0))</f>
        <v/>
      </c>
      <c r="K92" s="38">
        <f>IF($A92="","",IFERROR($J92+$E92*($B92*4+$F92),0))</f>
        <v/>
      </c>
      <c r="L92" s="38">
        <f>IF($A92="","",IF($B92="","EKSİK","TAM"))</f>
        <v/>
      </c>
    </row>
    <row r="93">
      <c r="J93" s="38">
        <f>IF($A93="","",IFERROR($B93*$C93+$B93/30*7*$D93,0))</f>
        <v/>
      </c>
      <c r="K93" s="38">
        <f>IF($A93="","",IFERROR($J93+$E93*($B93*4+$F93),0))</f>
        <v/>
      </c>
      <c r="L93" s="38">
        <f>IF($A93="","",IF($B93="","EKSİK","TAM"))</f>
        <v/>
      </c>
    </row>
    <row r="94">
      <c r="J94" s="38">
        <f>IF($A94="","",IFERROR($B94*$C94+$B94/30*7*$D94,0))</f>
        <v/>
      </c>
      <c r="K94" s="38">
        <f>IF($A94="","",IFERROR($J94+$E94*($B94*4+$F94),0))</f>
        <v/>
      </c>
      <c r="L94" s="38">
        <f>IF($A94="","",IF($B94="","EKSİK","TAM"))</f>
        <v/>
      </c>
    </row>
    <row r="95">
      <c r="J95" s="38">
        <f>IF($A95="","",IFERROR($B95*$C95+$B95/30*7*$D95,0))</f>
        <v/>
      </c>
      <c r="K95" s="38">
        <f>IF($A95="","",IFERROR($J95+$E95*($B95*4+$F95),0))</f>
        <v/>
      </c>
      <c r="L95" s="38">
        <f>IF($A95="","",IF($B95="","EKSİK","TAM"))</f>
        <v/>
      </c>
    </row>
    <row r="96">
      <c r="J96" s="38">
        <f>IF($A96="","",IFERROR($B96*$C96+$B96/30*7*$D96,0))</f>
        <v/>
      </c>
      <c r="K96" s="38">
        <f>IF($A96="","",IFERROR($J96+$E96*($B96*4+$F96),0))</f>
        <v/>
      </c>
      <c r="L96" s="38">
        <f>IF($A96="","",IF($B96="","EKSİK","TAM"))</f>
        <v/>
      </c>
    </row>
    <row r="97">
      <c r="J97" s="38">
        <f>IF($A97="","",IFERROR($B97*$C97+$B97/30*7*$D97,0))</f>
        <v/>
      </c>
      <c r="K97" s="38">
        <f>IF($A97="","",IFERROR($J97+$E97*($B97*4+$F97),0))</f>
        <v/>
      </c>
      <c r="L97" s="38">
        <f>IF($A97="","",IF($B97="","EKSİK","TAM"))</f>
        <v/>
      </c>
    </row>
    <row r="98">
      <c r="J98" s="38">
        <f>IF($A98="","",IFERROR($B98*$C98+$B98/30*7*$D98,0))</f>
        <v/>
      </c>
      <c r="K98" s="38">
        <f>IF($A98="","",IFERROR($J98+$E98*($B98*4+$F98),0))</f>
        <v/>
      </c>
      <c r="L98" s="38">
        <f>IF($A98="","",IF($B98="","EKSİK","TAM"))</f>
        <v/>
      </c>
    </row>
    <row r="99">
      <c r="J99" s="38">
        <f>IF($A99="","",IFERROR($B99*$C99+$B99/30*7*$D99,0))</f>
        <v/>
      </c>
      <c r="K99" s="38">
        <f>IF($A99="","",IFERROR($J99+$E99*($B99*4+$F99),0))</f>
        <v/>
      </c>
      <c r="L99" s="38">
        <f>IF($A99="","",IF($B99="","EKSİK","TAM"))</f>
        <v/>
      </c>
    </row>
    <row r="100">
      <c r="J100" s="38">
        <f>IF($A100="","",IFERROR($B100*$C100+$B100/30*7*$D100,0))</f>
        <v/>
      </c>
      <c r="K100" s="38">
        <f>IF($A100="","",IFERROR($J100+$E100*($B100*4+$F100),0))</f>
        <v/>
      </c>
      <c r="L100" s="38">
        <f>IF($A100="","",IF($B100="","EKSİK","TAM"))</f>
        <v/>
      </c>
    </row>
    <row r="101">
      <c r="J101" s="38">
        <f>IF($A101="","",IFERROR($B101*$C101+$B101/30*7*$D101,0))</f>
        <v/>
      </c>
      <c r="K101" s="38">
        <f>IF($A101="","",IFERROR($J101+$E101*($B101*4+$F101),0))</f>
        <v/>
      </c>
      <c r="L101" s="38">
        <f>IF($A101="","",IF($B101="","EKSİK","TAM"))</f>
        <v/>
      </c>
    </row>
    <row r="102">
      <c r="J102" s="38">
        <f>IF($A102="","",IFERROR($B102*$C102+$B102/30*7*$D102,0))</f>
        <v/>
      </c>
      <c r="K102" s="38">
        <f>IF($A102="","",IFERROR($J102+$E102*($B102*4+$F102),0))</f>
        <v/>
      </c>
      <c r="L102" s="38">
        <f>IF($A102="","",IF($B102="","EKSİK","TAM"))</f>
        <v/>
      </c>
    </row>
    <row r="103">
      <c r="J103" s="38">
        <f>IF($A103="","",IFERROR($B103*$C103+$B103/30*7*$D103,0))</f>
        <v/>
      </c>
      <c r="K103" s="38">
        <f>IF($A103="","",IFERROR($J103+$E103*($B103*4+$F103),0))</f>
        <v/>
      </c>
      <c r="L103" s="38">
        <f>IF($A103="","",IF($B103="","EKSİK","TAM"))</f>
        <v/>
      </c>
    </row>
    <row r="104">
      <c r="J104" s="38">
        <f>IF($A104="","",IFERROR($B104*$C104+$B104/30*7*$D104,0))</f>
        <v/>
      </c>
      <c r="K104" s="38">
        <f>IF($A104="","",IFERROR($J104+$E104*($B104*4+$F104),0))</f>
        <v/>
      </c>
      <c r="L104" s="38">
        <f>IF($A104="","",IF($B104="","EKSİK","TAM"))</f>
        <v/>
      </c>
    </row>
    <row r="105">
      <c r="J105" s="38">
        <f>IF($A105="","",IFERROR($B105*$C105+$B105/30*7*$D105,0))</f>
        <v/>
      </c>
      <c r="K105" s="38">
        <f>IF($A105="","",IFERROR($J105+$E105*($B105*4+$F105),0))</f>
        <v/>
      </c>
      <c r="L105" s="38">
        <f>IF($A105="","",IF($B105="","EKSİK","TAM"))</f>
        <v/>
      </c>
    </row>
    <row r="106">
      <c r="J106" s="38">
        <f>IF($A106="","",IFERROR($B106*$C106+$B106/30*7*$D106,0))</f>
        <v/>
      </c>
      <c r="K106" s="38">
        <f>IF($A106="","",IFERROR($J106+$E106*($B106*4+$F106),0))</f>
        <v/>
      </c>
      <c r="L106" s="38">
        <f>IF($A106="","",IF($B106="","EKSİK","TAM"))</f>
        <v/>
      </c>
    </row>
    <row r="107">
      <c r="J107" s="38">
        <f>IF($A107="","",IFERROR($B107*$C107+$B107/30*7*$D107,0))</f>
        <v/>
      </c>
      <c r="K107" s="38">
        <f>IF($A107="","",IFERROR($J107+$E107*($B107*4+$F107),0))</f>
        <v/>
      </c>
      <c r="L107" s="38">
        <f>IF($A107="","",IF($B107="","EKSİK","TAM"))</f>
        <v/>
      </c>
    </row>
    <row r="108">
      <c r="J108" s="38">
        <f>IF($A108="","",IFERROR($B108*$C108+$B108/30*7*$D108,0))</f>
        <v/>
      </c>
      <c r="K108" s="38">
        <f>IF($A108="","",IFERROR($J108+$E108*($B108*4+$F108),0))</f>
        <v/>
      </c>
      <c r="L108" s="38">
        <f>IF($A108="","",IF($B108="","EKSİK","TAM"))</f>
        <v/>
      </c>
    </row>
    <row r="109">
      <c r="J109" s="38">
        <f>IF($A109="","",IFERROR($B109*$C109+$B109/30*7*$D109,0))</f>
        <v/>
      </c>
      <c r="K109" s="38">
        <f>IF($A109="","",IFERROR($J109+$E109*($B109*4+$F109),0))</f>
        <v/>
      </c>
      <c r="L109" s="38">
        <f>IF($A109="","",IF($B109="","EKSİK","TAM"))</f>
        <v/>
      </c>
    </row>
    <row r="110">
      <c r="J110" s="38">
        <f>IF($A110="","",IFERROR($B110*$C110+$B110/30*7*$D110,0))</f>
        <v/>
      </c>
      <c r="K110" s="38">
        <f>IF($A110="","",IFERROR($J110+$E110*($B110*4+$F110),0))</f>
        <v/>
      </c>
      <c r="L110" s="38">
        <f>IF($A110="","",IF($B110="","EKSİK","TAM"))</f>
        <v/>
      </c>
    </row>
    <row r="111">
      <c r="J111" s="38">
        <f>IF($A111="","",IFERROR($B111*$C111+$B111/30*7*$D111,0))</f>
        <v/>
      </c>
      <c r="K111" s="38">
        <f>IF($A111="","",IFERROR($J111+$E111*($B111*4+$F111),0))</f>
        <v/>
      </c>
      <c r="L111" s="38">
        <f>IF($A111="","",IF($B111="","EKSİK","TAM"))</f>
        <v/>
      </c>
    </row>
    <row r="112">
      <c r="J112" s="38">
        <f>IF($A112="","",IFERROR($B112*$C112+$B112/30*7*$D112,0))</f>
        <v/>
      </c>
      <c r="K112" s="38">
        <f>IF($A112="","",IFERROR($J112+$E112*($B112*4+$F112),0))</f>
        <v/>
      </c>
      <c r="L112" s="38">
        <f>IF($A112="","",IF($B112="","EKSİK","TAM"))</f>
        <v/>
      </c>
    </row>
    <row r="113">
      <c r="J113" s="38">
        <f>IF($A113="","",IFERROR($B113*$C113+$B113/30*7*$D113,0))</f>
        <v/>
      </c>
      <c r="K113" s="38">
        <f>IF($A113="","",IFERROR($J113+$E113*($B113*4+$F113),0))</f>
        <v/>
      </c>
      <c r="L113" s="38">
        <f>IF($A113="","",IF($B113="","EKSİK","TAM"))</f>
        <v/>
      </c>
    </row>
    <row r="114">
      <c r="J114" s="38">
        <f>IF($A114="","",IFERROR($B114*$C114+$B114/30*7*$D114,0))</f>
        <v/>
      </c>
      <c r="K114" s="38">
        <f>IF($A114="","",IFERROR($J114+$E114*($B114*4+$F114),0))</f>
        <v/>
      </c>
      <c r="L114" s="38">
        <f>IF($A114="","",IF($B114="","EKSİK","TAM"))</f>
        <v/>
      </c>
    </row>
    <row r="115">
      <c r="J115" s="38">
        <f>IF($A115="","",IFERROR($B115*$C115+$B115/30*7*$D115,0))</f>
        <v/>
      </c>
      <c r="K115" s="38">
        <f>IF($A115="","",IFERROR($J115+$E115*($B115*4+$F115),0))</f>
        <v/>
      </c>
      <c r="L115" s="38">
        <f>IF($A115="","",IF($B115="","EKSİK","TAM"))</f>
        <v/>
      </c>
    </row>
    <row r="116">
      <c r="J116" s="38">
        <f>IF($A116="","",IFERROR($B116*$C116+$B116/30*7*$D116,0))</f>
        <v/>
      </c>
      <c r="K116" s="38">
        <f>IF($A116="","",IFERROR($J116+$E116*($B116*4+$F116),0))</f>
        <v/>
      </c>
      <c r="L116" s="38">
        <f>IF($A116="","",IF($B116="","EKSİK","TAM"))</f>
        <v/>
      </c>
    </row>
    <row r="117">
      <c r="J117" s="38">
        <f>IF($A117="","",IFERROR($B117*$C117+$B117/30*7*$D117,0))</f>
        <v/>
      </c>
      <c r="K117" s="38">
        <f>IF($A117="","",IFERROR($J117+$E117*($B117*4+$F117),0))</f>
        <v/>
      </c>
      <c r="L117" s="38">
        <f>IF($A117="","",IF($B117="","EKSİK","TAM"))</f>
        <v/>
      </c>
    </row>
    <row r="118">
      <c r="J118" s="38">
        <f>IF($A118="","",IFERROR($B118*$C118+$B118/30*7*$D118,0))</f>
        <v/>
      </c>
      <c r="K118" s="38">
        <f>IF($A118="","",IFERROR($J118+$E118*($B118*4+$F118),0))</f>
        <v/>
      </c>
      <c r="L118" s="38">
        <f>IF($A118="","",IF($B118="","EKSİK","TAM"))</f>
        <v/>
      </c>
    </row>
    <row r="119">
      <c r="J119" s="38">
        <f>IF($A119="","",IFERROR($B119*$C119+$B119/30*7*$D119,0))</f>
        <v/>
      </c>
      <c r="K119" s="38">
        <f>IF($A119="","",IFERROR($J119+$E119*($B119*4+$F119),0))</f>
        <v/>
      </c>
      <c r="L119" s="38">
        <f>IF($A119="","",IF($B119="","EKSİK","TAM"))</f>
        <v/>
      </c>
    </row>
    <row r="120">
      <c r="J120" s="38">
        <f>IF($A120="","",IFERROR($B120*$C120+$B120/30*7*$D120,0))</f>
        <v/>
      </c>
      <c r="K120" s="38">
        <f>IF($A120="","",IFERROR($J120+$E120*($B120*4+$F120),0))</f>
        <v/>
      </c>
      <c r="L120" s="38">
        <f>IF($A120="","",IF($B120="","EKSİK","TAM"))</f>
        <v/>
      </c>
    </row>
    <row r="121">
      <c r="J121" s="38">
        <f>IF($A121="","",IFERROR($B121*$C121+$B121/30*7*$D121,0))</f>
        <v/>
      </c>
      <c r="K121" s="38">
        <f>IF($A121="","",IFERROR($J121+$E121*($B121*4+$F121),0))</f>
        <v/>
      </c>
      <c r="L121" s="38">
        <f>IF($A121="","",IF($B121="","EKSİK","TAM"))</f>
        <v/>
      </c>
    </row>
    <row r="122">
      <c r="J122" s="38">
        <f>IF($A122="","",IFERROR($B122*$C122+$B122/30*7*$D122,0))</f>
        <v/>
      </c>
      <c r="K122" s="38">
        <f>IF($A122="","",IFERROR($J122+$E122*($B122*4+$F122),0))</f>
        <v/>
      </c>
      <c r="L122" s="38">
        <f>IF($A122="","",IF($B122="","EKSİK","TAM"))</f>
        <v/>
      </c>
    </row>
    <row r="123">
      <c r="J123" s="38">
        <f>IF($A123="","",IFERROR($B123*$C123+$B123/30*7*$D123,0))</f>
        <v/>
      </c>
      <c r="K123" s="38">
        <f>IF($A123="","",IFERROR($J123+$E123*($B123*4+$F123),0))</f>
        <v/>
      </c>
      <c r="L123" s="38">
        <f>IF($A123="","",IF($B123="","EKSİK","TAM"))</f>
        <v/>
      </c>
    </row>
    <row r="124">
      <c r="J124" s="38">
        <f>IF($A124="","",IFERROR($B124*$C124+$B124/30*7*$D124,0))</f>
        <v/>
      </c>
      <c r="K124" s="38">
        <f>IF($A124="","",IFERROR($J124+$E124*($B124*4+$F124),0))</f>
        <v/>
      </c>
      <c r="L124" s="38">
        <f>IF($A124="","",IF($B124="","EKSİK","TAM"))</f>
        <v/>
      </c>
    </row>
    <row r="125">
      <c r="J125" s="38">
        <f>IF($A125="","",IFERROR($B125*$C125+$B125/30*7*$D125,0))</f>
        <v/>
      </c>
      <c r="K125" s="38">
        <f>IF($A125="","",IFERROR($J125+$E125*($B125*4+$F125),0))</f>
        <v/>
      </c>
      <c r="L125" s="38">
        <f>IF($A125="","",IF($B125="","EKSİK","TAM"))</f>
        <v/>
      </c>
    </row>
    <row r="126">
      <c r="J126" s="38">
        <f>IF($A126="","",IFERROR($B126*$C126+$B126/30*7*$D126,0))</f>
        <v/>
      </c>
      <c r="K126" s="38">
        <f>IF($A126="","",IFERROR($J126+$E126*($B126*4+$F126),0))</f>
        <v/>
      </c>
      <c r="L126" s="38">
        <f>IF($A126="","",IF($B126="","EKSİK","TAM"))</f>
        <v/>
      </c>
    </row>
    <row r="127">
      <c r="J127" s="38">
        <f>IF($A127="","",IFERROR($B127*$C127+$B127/30*7*$D127,0))</f>
        <v/>
      </c>
      <c r="K127" s="38">
        <f>IF($A127="","",IFERROR($J127+$E127*($B127*4+$F127),0))</f>
        <v/>
      </c>
      <c r="L127" s="38">
        <f>IF($A127="","",IF($B127="","EKSİK","TAM"))</f>
        <v/>
      </c>
    </row>
    <row r="128">
      <c r="J128" s="38">
        <f>IF($A128="","",IFERROR($B128*$C128+$B128/30*7*$D128,0))</f>
        <v/>
      </c>
      <c r="K128" s="38">
        <f>IF($A128="","",IFERROR($J128+$E128*($B128*4+$F128),0))</f>
        <v/>
      </c>
      <c r="L128" s="38">
        <f>IF($A128="","",IF($B128="","EKSİK","TAM"))</f>
        <v/>
      </c>
    </row>
    <row r="129">
      <c r="J129" s="38">
        <f>IF($A129="","",IFERROR($B129*$C129+$B129/30*7*$D129,0))</f>
        <v/>
      </c>
      <c r="K129" s="38">
        <f>IF($A129="","",IFERROR($J129+$E129*($B129*4+$F129),0))</f>
        <v/>
      </c>
      <c r="L129" s="38">
        <f>IF($A129="","",IF($B129="","EKSİK","TAM"))</f>
        <v/>
      </c>
    </row>
    <row r="130">
      <c r="J130" s="38">
        <f>IF($A130="","",IFERROR($B130*$C130+$B130/30*7*$D130,0))</f>
        <v/>
      </c>
      <c r="K130" s="38">
        <f>IF($A130="","",IFERROR($J130+$E130*($B130*4+$F130),0))</f>
        <v/>
      </c>
      <c r="L130" s="38">
        <f>IF($A130="","",IF($B130="","EKSİK","TAM"))</f>
        <v/>
      </c>
    </row>
    <row r="131">
      <c r="J131" s="38">
        <f>IF($A131="","",IFERROR($B131*$C131+$B131/30*7*$D131,0))</f>
        <v/>
      </c>
      <c r="K131" s="38">
        <f>IF($A131="","",IFERROR($J131+$E131*($B131*4+$F131),0))</f>
        <v/>
      </c>
      <c r="L131" s="38">
        <f>IF($A131="","",IF($B131="","EKSİK","TAM"))</f>
        <v/>
      </c>
    </row>
    <row r="132">
      <c r="J132" s="38">
        <f>IF($A132="","",IFERROR($B132*$C132+$B132/30*7*$D132,0))</f>
        <v/>
      </c>
      <c r="K132" s="38">
        <f>IF($A132="","",IFERROR($J132+$E132*($B132*4+$F132),0))</f>
        <v/>
      </c>
      <c r="L132" s="38">
        <f>IF($A132="","",IF($B132="","EKSİK","TAM"))</f>
        <v/>
      </c>
    </row>
    <row r="133">
      <c r="J133" s="38">
        <f>IF($A133="","",IFERROR($B133*$C133+$B133/30*7*$D133,0))</f>
        <v/>
      </c>
      <c r="K133" s="38">
        <f>IF($A133="","",IFERROR($J133+$E133*($B133*4+$F133),0))</f>
        <v/>
      </c>
      <c r="L133" s="38">
        <f>IF($A133="","",IF($B133="","EKSİK","TAM"))</f>
        <v/>
      </c>
    </row>
    <row r="134">
      <c r="J134" s="38">
        <f>IF($A134="","",IFERROR($B134*$C134+$B134/30*7*$D134,0))</f>
        <v/>
      </c>
      <c r="K134" s="38">
        <f>IF($A134="","",IFERROR($J134+$E134*($B134*4+$F134),0))</f>
        <v/>
      </c>
      <c r="L134" s="38">
        <f>IF($A134="","",IF($B134="","EKSİK","TAM"))</f>
        <v/>
      </c>
    </row>
    <row r="135">
      <c r="J135" s="38">
        <f>IF($A135="","",IFERROR($B135*$C135+$B135/30*7*$D135,0))</f>
        <v/>
      </c>
      <c r="K135" s="38">
        <f>IF($A135="","",IFERROR($J135+$E135*($B135*4+$F135),0))</f>
        <v/>
      </c>
      <c r="L135" s="38">
        <f>IF($A135="","",IF($B135="","EKSİK","TAM"))</f>
        <v/>
      </c>
    </row>
    <row r="136">
      <c r="J136" s="38">
        <f>IF($A136="","",IFERROR($B136*$C136+$B136/30*7*$D136,0))</f>
        <v/>
      </c>
      <c r="K136" s="38">
        <f>IF($A136="","",IFERROR($J136+$E136*($B136*4+$F136),0))</f>
        <v/>
      </c>
      <c r="L136" s="38">
        <f>IF($A136="","",IF($B136="","EKSİK","TAM"))</f>
        <v/>
      </c>
    </row>
    <row r="137">
      <c r="J137" s="38">
        <f>IF($A137="","",IFERROR($B137*$C137+$B137/30*7*$D137,0))</f>
        <v/>
      </c>
      <c r="K137" s="38">
        <f>IF($A137="","",IFERROR($J137+$E137*($B137*4+$F137),0))</f>
        <v/>
      </c>
      <c r="L137" s="38">
        <f>IF($A137="","",IF($B137="","EKSİK","TAM"))</f>
        <v/>
      </c>
    </row>
    <row r="138">
      <c r="J138" s="38">
        <f>IF($A138="","",IFERROR($B138*$C138+$B138/30*7*$D138,0))</f>
        <v/>
      </c>
      <c r="K138" s="38">
        <f>IF($A138="","",IFERROR($J138+$E138*($B138*4+$F138),0))</f>
        <v/>
      </c>
      <c r="L138" s="38">
        <f>IF($A138="","",IF($B138="","EKSİK","TAM"))</f>
        <v/>
      </c>
    </row>
    <row r="139">
      <c r="J139" s="38">
        <f>IF($A139="","",IFERROR($B139*$C139+$B139/30*7*$D139,0))</f>
        <v/>
      </c>
      <c r="K139" s="38">
        <f>IF($A139="","",IFERROR($J139+$E139*($B139*4+$F139),0))</f>
        <v/>
      </c>
      <c r="L139" s="38">
        <f>IF($A139="","",IF($B139="","EKSİK","TAM"))</f>
        <v/>
      </c>
    </row>
    <row r="140">
      <c r="J140" s="38">
        <f>IF($A140="","",IFERROR($B140*$C140+$B140/30*7*$D140,0))</f>
        <v/>
      </c>
      <c r="K140" s="38">
        <f>IF($A140="","",IFERROR($J140+$E140*($B140*4+$F140),0))</f>
        <v/>
      </c>
      <c r="L140" s="38">
        <f>IF($A140="","",IF($B140="","EKSİK","TAM"))</f>
        <v/>
      </c>
    </row>
    <row r="141">
      <c r="J141" s="38">
        <f>IF($A141="","",IFERROR($B141*$C141+$B141/30*7*$D141,0))</f>
        <v/>
      </c>
      <c r="K141" s="38">
        <f>IF($A141="","",IFERROR($J141+$E141*($B141*4+$F141),0))</f>
        <v/>
      </c>
      <c r="L141" s="38">
        <f>IF($A141="","",IF($B141="","EKSİK","TAM"))</f>
        <v/>
      </c>
    </row>
    <row r="142">
      <c r="J142" s="38">
        <f>IF($A142="","",IFERROR($B142*$C142+$B142/30*7*$D142,0))</f>
        <v/>
      </c>
      <c r="K142" s="38">
        <f>IF($A142="","",IFERROR($J142+$E142*($B142*4+$F142),0))</f>
        <v/>
      </c>
      <c r="L142" s="38">
        <f>IF($A142="","",IF($B142="","EKSİK","TAM"))</f>
        <v/>
      </c>
    </row>
    <row r="143">
      <c r="J143" s="38">
        <f>IF($A143="","",IFERROR($B143*$C143+$B143/30*7*$D143,0))</f>
        <v/>
      </c>
      <c r="K143" s="38">
        <f>IF($A143="","",IFERROR($J143+$E143*($B143*4+$F143),0))</f>
        <v/>
      </c>
      <c r="L143" s="38">
        <f>IF($A143="","",IF($B143="","EKSİK","TAM"))</f>
        <v/>
      </c>
    </row>
    <row r="144">
      <c r="J144" s="38">
        <f>IF($A144="","",IFERROR($B144*$C144+$B144/30*7*$D144,0))</f>
        <v/>
      </c>
      <c r="K144" s="38">
        <f>IF($A144="","",IFERROR($J144+$E144*($B144*4+$F144),0))</f>
        <v/>
      </c>
      <c r="L144" s="38">
        <f>IF($A144="","",IF($B144="","EKSİK","TAM"))</f>
        <v/>
      </c>
    </row>
    <row r="145">
      <c r="J145" s="38">
        <f>IF($A145="","",IFERROR($B145*$C145+$B145/30*7*$D145,0))</f>
        <v/>
      </c>
      <c r="K145" s="38">
        <f>IF($A145="","",IFERROR($J145+$E145*($B145*4+$F145),0))</f>
        <v/>
      </c>
      <c r="L145" s="38">
        <f>IF($A145="","",IF($B145="","EKSİK","TAM"))</f>
        <v/>
      </c>
    </row>
    <row r="146">
      <c r="J146" s="38">
        <f>IF($A146="","",IFERROR($B146*$C146+$B146/30*7*$D146,0))</f>
        <v/>
      </c>
      <c r="K146" s="38">
        <f>IF($A146="","",IFERROR($J146+$E146*($B146*4+$F146),0))</f>
        <v/>
      </c>
      <c r="L146" s="38">
        <f>IF($A146="","",IF($B146="","EKSİK","TAM"))</f>
        <v/>
      </c>
    </row>
    <row r="147">
      <c r="J147" s="38">
        <f>IF($A147="","",IFERROR($B147*$C147+$B147/30*7*$D147,0))</f>
        <v/>
      </c>
      <c r="K147" s="38">
        <f>IF($A147="","",IFERROR($J147+$E147*($B147*4+$F147),0))</f>
        <v/>
      </c>
      <c r="L147" s="38">
        <f>IF($A147="","",IF($B147="","EKSİK","TAM"))</f>
        <v/>
      </c>
    </row>
    <row r="148">
      <c r="J148" s="38">
        <f>IF($A148="","",IFERROR($B148*$C148+$B148/30*7*$D148,0))</f>
        <v/>
      </c>
      <c r="K148" s="38">
        <f>IF($A148="","",IFERROR($J148+$E148*($B148*4+$F148),0))</f>
        <v/>
      </c>
      <c r="L148" s="38">
        <f>IF($A148="","",IF($B148="","EKSİK","TAM"))</f>
        <v/>
      </c>
    </row>
    <row r="149">
      <c r="J149" s="38">
        <f>IF($A149="","",IFERROR($B149*$C149+$B149/30*7*$D149,0))</f>
        <v/>
      </c>
      <c r="K149" s="38">
        <f>IF($A149="","",IFERROR($J149+$E149*($B149*4+$F149),0))</f>
        <v/>
      </c>
      <c r="L149" s="38">
        <f>IF($A149="","",IF($B149="","EKSİK","TAM"))</f>
        <v/>
      </c>
    </row>
    <row r="150">
      <c r="J150" s="38">
        <f>IF($A150="","",IFERROR($B150*$C150+$B150/30*7*$D150,0))</f>
        <v/>
      </c>
      <c r="K150" s="38">
        <f>IF($A150="","",IFERROR($J150+$E150*($B150*4+$F150),0))</f>
        <v/>
      </c>
      <c r="L150" s="38">
        <f>IF($A150="","",IF($B150="","EKSİK","TAM"))</f>
        <v/>
      </c>
    </row>
    <row r="151">
      <c r="J151" s="38">
        <f>IF($A151="","",IFERROR($B151*$C151+$B151/30*7*$D151,0))</f>
        <v/>
      </c>
      <c r="K151" s="38">
        <f>IF($A151="","",IFERROR($J151+$E151*($B151*4+$F151),0))</f>
        <v/>
      </c>
      <c r="L151" s="38">
        <f>IF($A151="","",IF($B151="","EKSİK","TAM"))</f>
        <v/>
      </c>
    </row>
    <row r="152">
      <c r="J152" s="38">
        <f>IF($A152="","",IFERROR($B152*$C152+$B152/30*7*$D152,0))</f>
        <v/>
      </c>
      <c r="K152" s="38">
        <f>IF($A152="","",IFERROR($J152+$E152*($B152*4+$F152),0))</f>
        <v/>
      </c>
      <c r="L152" s="38">
        <f>IF($A152="","",IF($B152="","EKSİK","TAM"))</f>
        <v/>
      </c>
    </row>
    <row r="153">
      <c r="J153" s="38">
        <f>IF($A153="","",IFERROR($B153*$C153+$B153/30*7*$D153,0))</f>
        <v/>
      </c>
      <c r="K153" s="38">
        <f>IF($A153="","",IFERROR($J153+$E153*($B153*4+$F153),0))</f>
        <v/>
      </c>
      <c r="L153" s="38">
        <f>IF($A153="","",IF($B153="","EKSİK","TAM"))</f>
        <v/>
      </c>
    </row>
    <row r="154">
      <c r="J154" s="38">
        <f>IF($A154="","",IFERROR($B154*$C154+$B154/30*7*$D154,0))</f>
        <v/>
      </c>
      <c r="K154" s="38">
        <f>IF($A154="","",IFERROR($J154+$E154*($B154*4+$F154),0))</f>
        <v/>
      </c>
      <c r="L154" s="38">
        <f>IF($A154="","",IF($B154="","EKSİK","TAM"))</f>
        <v/>
      </c>
    </row>
    <row r="155">
      <c r="J155" s="38">
        <f>IF($A155="","",IFERROR($B155*$C155+$B155/30*7*$D155,0))</f>
        <v/>
      </c>
      <c r="K155" s="38">
        <f>IF($A155="","",IFERROR($J155+$E155*($B155*4+$F155),0))</f>
        <v/>
      </c>
      <c r="L155" s="38">
        <f>IF($A155="","",IF($B155="","EKSİK","TAM"))</f>
        <v/>
      </c>
    </row>
    <row r="156">
      <c r="J156" s="38">
        <f>IF($A156="","",IFERROR($B156*$C156+$B156/30*7*$D156,0))</f>
        <v/>
      </c>
      <c r="K156" s="38">
        <f>IF($A156="","",IFERROR($J156+$E156*($B156*4+$F156),0))</f>
        <v/>
      </c>
      <c r="L156" s="38">
        <f>IF($A156="","",IF($B156="","EKSİK","TAM"))</f>
        <v/>
      </c>
    </row>
    <row r="157">
      <c r="J157" s="38">
        <f>IF($A157="","",IFERROR($B157*$C157+$B157/30*7*$D157,0))</f>
        <v/>
      </c>
      <c r="K157" s="38">
        <f>IF($A157="","",IFERROR($J157+$E157*($B157*4+$F157),0))</f>
        <v/>
      </c>
      <c r="L157" s="38">
        <f>IF($A157="","",IF($B157="","EKSİK","TAM"))</f>
        <v/>
      </c>
    </row>
    <row r="158">
      <c r="J158" s="38">
        <f>IF($A158="","",IFERROR($B158*$C158+$B158/30*7*$D158,0))</f>
        <v/>
      </c>
      <c r="K158" s="38">
        <f>IF($A158="","",IFERROR($J158+$E158*($B158*4+$F158),0))</f>
        <v/>
      </c>
      <c r="L158" s="38">
        <f>IF($A158="","",IF($B158="","EKSİK","TAM"))</f>
        <v/>
      </c>
    </row>
    <row r="159">
      <c r="J159" s="38">
        <f>IF($A159="","",IFERROR($B159*$C159+$B159/30*7*$D159,0))</f>
        <v/>
      </c>
      <c r="K159" s="38">
        <f>IF($A159="","",IFERROR($J159+$E159*($B159*4+$F159),0))</f>
        <v/>
      </c>
      <c r="L159" s="38">
        <f>IF($A159="","",IF($B159="","EKSİK","TAM"))</f>
        <v/>
      </c>
    </row>
    <row r="160">
      <c r="J160" s="38">
        <f>IF($A160="","",IFERROR($B160*$C160+$B160/30*7*$D160,0))</f>
        <v/>
      </c>
      <c r="K160" s="38">
        <f>IF($A160="","",IFERROR($J160+$E160*($B160*4+$F160),0))</f>
        <v/>
      </c>
      <c r="L160" s="38">
        <f>IF($A160="","",IF($B160="","EKSİK","TAM"))</f>
        <v/>
      </c>
    </row>
    <row r="161">
      <c r="J161" s="38">
        <f>IF($A161="","",IFERROR($B161*$C161+$B161/30*7*$D161,0))</f>
        <v/>
      </c>
      <c r="K161" s="38">
        <f>IF($A161="","",IFERROR($J161+$E161*($B161*4+$F161),0))</f>
        <v/>
      </c>
      <c r="L161" s="38">
        <f>IF($A161="","",IF($B161="","EKSİK","TAM"))</f>
        <v/>
      </c>
    </row>
    <row r="162">
      <c r="J162" s="38">
        <f>IF($A162="","",IFERROR($B162*$C162+$B162/30*7*$D162,0))</f>
        <v/>
      </c>
      <c r="K162" s="38">
        <f>IF($A162="","",IFERROR($J162+$E162*($B162*4+$F162),0))</f>
        <v/>
      </c>
      <c r="L162" s="38">
        <f>IF($A162="","",IF($B162="","EKSİK","TAM"))</f>
        <v/>
      </c>
    </row>
    <row r="163">
      <c r="J163" s="38">
        <f>IF($A163="","",IFERROR($B163*$C163+$B163/30*7*$D163,0))</f>
        <v/>
      </c>
      <c r="K163" s="38">
        <f>IF($A163="","",IFERROR($J163+$E163*($B163*4+$F163),0))</f>
        <v/>
      </c>
      <c r="L163" s="38">
        <f>IF($A163="","",IF($B163="","EKSİK","TAM"))</f>
        <v/>
      </c>
    </row>
    <row r="164">
      <c r="J164" s="38">
        <f>IF($A164="","",IFERROR($B164*$C164+$B164/30*7*$D164,0))</f>
        <v/>
      </c>
      <c r="K164" s="38">
        <f>IF($A164="","",IFERROR($J164+$E164*($B164*4+$F164),0))</f>
        <v/>
      </c>
      <c r="L164" s="38">
        <f>IF($A164="","",IF($B164="","EKSİK","TAM"))</f>
        <v/>
      </c>
    </row>
    <row r="165">
      <c r="J165" s="38">
        <f>IF($A165="","",IFERROR($B165*$C165+$B165/30*7*$D165,0))</f>
        <v/>
      </c>
      <c r="K165" s="38">
        <f>IF($A165="","",IFERROR($J165+$E165*($B165*4+$F165),0))</f>
        <v/>
      </c>
      <c r="L165" s="38">
        <f>IF($A165="","",IF($B165="","EKSİK","TAM"))</f>
        <v/>
      </c>
    </row>
    <row r="166">
      <c r="J166" s="38">
        <f>IF($A166="","",IFERROR($B166*$C166+$B166/30*7*$D166,0))</f>
        <v/>
      </c>
      <c r="K166" s="38">
        <f>IF($A166="","",IFERROR($J166+$E166*($B166*4+$F166),0))</f>
        <v/>
      </c>
      <c r="L166" s="38">
        <f>IF($A166="","",IF($B166="","EKSİK","TAM"))</f>
        <v/>
      </c>
    </row>
    <row r="167">
      <c r="J167" s="38">
        <f>IF($A167="","",IFERROR($B167*$C167+$B167/30*7*$D167,0))</f>
        <v/>
      </c>
      <c r="K167" s="38">
        <f>IF($A167="","",IFERROR($J167+$E167*($B167*4+$F167),0))</f>
        <v/>
      </c>
      <c r="L167" s="38">
        <f>IF($A167="","",IF($B167="","EKSİK","TAM"))</f>
        <v/>
      </c>
    </row>
    <row r="168">
      <c r="J168" s="38">
        <f>IF($A168="","",IFERROR($B168*$C168+$B168/30*7*$D168,0))</f>
        <v/>
      </c>
      <c r="K168" s="38">
        <f>IF($A168="","",IFERROR($J168+$E168*($B168*4+$F168),0))</f>
        <v/>
      </c>
      <c r="L168" s="38">
        <f>IF($A168="","",IF($B168="","EKSİK","TAM"))</f>
        <v/>
      </c>
    </row>
    <row r="169">
      <c r="J169" s="38">
        <f>IF($A169="","",IFERROR($B169*$C169+$B169/30*7*$D169,0))</f>
        <v/>
      </c>
      <c r="K169" s="38">
        <f>IF($A169="","",IFERROR($J169+$E169*($B169*4+$F169),0))</f>
        <v/>
      </c>
      <c r="L169" s="38">
        <f>IF($A169="","",IF($B169="","EKSİK","TAM"))</f>
        <v/>
      </c>
    </row>
    <row r="170">
      <c r="J170" s="38">
        <f>IF($A170="","",IFERROR($B170*$C170+$B170/30*7*$D170,0))</f>
        <v/>
      </c>
      <c r="K170" s="38">
        <f>IF($A170="","",IFERROR($J170+$E170*($B170*4+$F170),0))</f>
        <v/>
      </c>
      <c r="L170" s="38">
        <f>IF($A170="","",IF($B170="","EKSİK","TAM"))</f>
        <v/>
      </c>
    </row>
    <row r="171">
      <c r="J171" s="38">
        <f>IF($A171="","",IFERROR($B171*$C171+$B171/30*7*$D171,0))</f>
        <v/>
      </c>
      <c r="K171" s="38">
        <f>IF($A171="","",IFERROR($J171+$E171*($B171*4+$F171),0))</f>
        <v/>
      </c>
      <c r="L171" s="38">
        <f>IF($A171="","",IF($B171="","EKSİK","TAM"))</f>
        <v/>
      </c>
    </row>
    <row r="172">
      <c r="J172" s="38">
        <f>IF($A172="","",IFERROR($B172*$C172+$B172/30*7*$D172,0))</f>
        <v/>
      </c>
      <c r="K172" s="38">
        <f>IF($A172="","",IFERROR($J172+$E172*($B172*4+$F172),0))</f>
        <v/>
      </c>
      <c r="L172" s="38">
        <f>IF($A172="","",IF($B172="","EKSİK","TAM"))</f>
        <v/>
      </c>
    </row>
    <row r="173">
      <c r="J173" s="38">
        <f>IF($A173="","",IFERROR($B173*$C173+$B173/30*7*$D173,0))</f>
        <v/>
      </c>
      <c r="K173" s="38">
        <f>IF($A173="","",IFERROR($J173+$E173*($B173*4+$F173),0))</f>
        <v/>
      </c>
      <c r="L173" s="38">
        <f>IF($A173="","",IF($B173="","EKSİK","TAM"))</f>
        <v/>
      </c>
    </row>
    <row r="174">
      <c r="J174" s="38">
        <f>IF($A174="","",IFERROR($B174*$C174+$B174/30*7*$D174,0))</f>
        <v/>
      </c>
      <c r="K174" s="38">
        <f>IF($A174="","",IFERROR($J174+$E174*($B174*4+$F174),0))</f>
        <v/>
      </c>
      <c r="L174" s="38">
        <f>IF($A174="","",IF($B174="","EKSİK","TAM"))</f>
        <v/>
      </c>
    </row>
    <row r="175">
      <c r="J175" s="38">
        <f>IF($A175="","",IFERROR($B175*$C175+$B175/30*7*$D175,0))</f>
        <v/>
      </c>
      <c r="K175" s="38">
        <f>IF($A175="","",IFERROR($J175+$E175*($B175*4+$F175),0))</f>
        <v/>
      </c>
      <c r="L175" s="38">
        <f>IF($A175="","",IF($B175="","EKSİK","TAM"))</f>
        <v/>
      </c>
    </row>
    <row r="176">
      <c r="J176" s="38">
        <f>IF($A176="","",IFERROR($B176*$C176+$B176/30*7*$D176,0))</f>
        <v/>
      </c>
      <c r="K176" s="38">
        <f>IF($A176="","",IFERROR($J176+$E176*($B176*4+$F176),0))</f>
        <v/>
      </c>
      <c r="L176" s="38">
        <f>IF($A176="","",IF($B176="","EKSİK","TAM"))</f>
        <v/>
      </c>
    </row>
    <row r="177">
      <c r="J177" s="38">
        <f>IF($A177="","",IFERROR($B177*$C177+$B177/30*7*$D177,0))</f>
        <v/>
      </c>
      <c r="K177" s="38">
        <f>IF($A177="","",IFERROR($J177+$E177*($B177*4+$F177),0))</f>
        <v/>
      </c>
      <c r="L177" s="38">
        <f>IF($A177="","",IF($B177="","EKSİK","TAM"))</f>
        <v/>
      </c>
    </row>
    <row r="178">
      <c r="J178" s="38">
        <f>IF($A178="","",IFERROR($B178*$C178+$B178/30*7*$D178,0))</f>
        <v/>
      </c>
      <c r="K178" s="38">
        <f>IF($A178="","",IFERROR($J178+$E178*($B178*4+$F178),0))</f>
        <v/>
      </c>
      <c r="L178" s="38">
        <f>IF($A178="","",IF($B178="","EKSİK","TAM"))</f>
        <v/>
      </c>
    </row>
    <row r="179">
      <c r="J179" s="38">
        <f>IF($A179="","",IFERROR($B179*$C179+$B179/30*7*$D179,0))</f>
        <v/>
      </c>
      <c r="K179" s="38">
        <f>IF($A179="","",IFERROR($J179+$E179*($B179*4+$F179),0))</f>
        <v/>
      </c>
      <c r="L179" s="38">
        <f>IF($A179="","",IF($B179="","EKSİK","TAM"))</f>
        <v/>
      </c>
    </row>
    <row r="180">
      <c r="J180" s="38">
        <f>IF($A180="","",IFERROR($B180*$C180+$B180/30*7*$D180,0))</f>
        <v/>
      </c>
      <c r="K180" s="38">
        <f>IF($A180="","",IFERROR($J180+$E180*($B180*4+$F180),0))</f>
        <v/>
      </c>
      <c r="L180" s="38">
        <f>IF($A180="","",IF($B180="","EKSİK","TAM"))</f>
        <v/>
      </c>
    </row>
    <row r="181">
      <c r="J181" s="38">
        <f>IF($A181="","",IFERROR($B181*$C181+$B181/30*7*$D181,0))</f>
        <v/>
      </c>
      <c r="K181" s="38">
        <f>IF($A181="","",IFERROR($J181+$E181*($B181*4+$F181),0))</f>
        <v/>
      </c>
      <c r="L181" s="38">
        <f>IF($A181="","",IF($B181="","EKSİK","TAM"))</f>
        <v/>
      </c>
    </row>
    <row r="182">
      <c r="J182" s="38">
        <f>IF($A182="","",IFERROR($B182*$C182+$B182/30*7*$D182,0))</f>
        <v/>
      </c>
      <c r="K182" s="38">
        <f>IF($A182="","",IFERROR($J182+$E182*($B182*4+$F182),0))</f>
        <v/>
      </c>
      <c r="L182" s="38">
        <f>IF($A182="","",IF($B182="","EKSİK","TAM"))</f>
        <v/>
      </c>
    </row>
    <row r="183">
      <c r="J183" s="38">
        <f>IF($A183="","",IFERROR($B183*$C183+$B183/30*7*$D183,0))</f>
        <v/>
      </c>
      <c r="K183" s="38">
        <f>IF($A183="","",IFERROR($J183+$E183*($B183*4+$F183),0))</f>
        <v/>
      </c>
      <c r="L183" s="38">
        <f>IF($A183="","",IF($B183="","EKSİK","TAM"))</f>
        <v/>
      </c>
    </row>
    <row r="184">
      <c r="J184" s="38">
        <f>IF($A184="","",IFERROR($B184*$C184+$B184/30*7*$D184,0))</f>
        <v/>
      </c>
      <c r="K184" s="38">
        <f>IF($A184="","",IFERROR($J184+$E184*($B184*4+$F184),0))</f>
        <v/>
      </c>
      <c r="L184" s="38">
        <f>IF($A184="","",IF($B184="","EKSİK","TAM"))</f>
        <v/>
      </c>
    </row>
    <row r="185">
      <c r="J185" s="38">
        <f>IF($A185="","",IFERROR($B185*$C185+$B185/30*7*$D185,0))</f>
        <v/>
      </c>
      <c r="K185" s="38">
        <f>IF($A185="","",IFERROR($J185+$E185*($B185*4+$F185),0))</f>
        <v/>
      </c>
      <c r="L185" s="38">
        <f>IF($A185="","",IF($B185="","EKSİK","TAM"))</f>
        <v/>
      </c>
    </row>
    <row r="186">
      <c r="J186" s="38">
        <f>IF($A186="","",IFERROR($B186*$C186+$B186/30*7*$D186,0))</f>
        <v/>
      </c>
      <c r="K186" s="38">
        <f>IF($A186="","",IFERROR($J186+$E186*($B186*4+$F186),0))</f>
        <v/>
      </c>
      <c r="L186" s="38">
        <f>IF($A186="","",IF($B186="","EKSİK","TAM"))</f>
        <v/>
      </c>
    </row>
    <row r="187">
      <c r="J187" s="38">
        <f>IF($A187="","",IFERROR($B187*$C187+$B187/30*7*$D187,0))</f>
        <v/>
      </c>
      <c r="K187" s="38">
        <f>IF($A187="","",IFERROR($J187+$E187*($B187*4+$F187),0))</f>
        <v/>
      </c>
      <c r="L187" s="38">
        <f>IF($A187="","",IF($B187="","EKSİK","TAM"))</f>
        <v/>
      </c>
    </row>
    <row r="188">
      <c r="J188" s="38">
        <f>IF($A188="","",IFERROR($B188*$C188+$B188/30*7*$D188,0))</f>
        <v/>
      </c>
      <c r="K188" s="38">
        <f>IF($A188="","",IFERROR($J188+$E188*($B188*4+$F188),0))</f>
        <v/>
      </c>
      <c r="L188" s="38">
        <f>IF($A188="","",IF($B188="","EKSİK","TAM"))</f>
        <v/>
      </c>
    </row>
    <row r="189">
      <c r="J189" s="38">
        <f>IF($A189="","",IFERROR($B189*$C189+$B189/30*7*$D189,0))</f>
        <v/>
      </c>
      <c r="K189" s="38">
        <f>IF($A189="","",IFERROR($J189+$E189*($B189*4+$F189),0))</f>
        <v/>
      </c>
      <c r="L189" s="38">
        <f>IF($A189="","",IF($B189="","EKSİK","TAM"))</f>
        <v/>
      </c>
    </row>
    <row r="190">
      <c r="J190" s="38">
        <f>IF($A190="","",IFERROR($B190*$C190+$B190/30*7*$D190,0))</f>
        <v/>
      </c>
      <c r="K190" s="38">
        <f>IF($A190="","",IFERROR($J190+$E190*($B190*4+$F190),0))</f>
        <v/>
      </c>
      <c r="L190" s="38">
        <f>IF($A190="","",IF($B190="","EKSİK","TAM"))</f>
        <v/>
      </c>
    </row>
    <row r="191">
      <c r="J191" s="38">
        <f>IF($A191="","",IFERROR($B191*$C191+$B191/30*7*$D191,0))</f>
        <v/>
      </c>
      <c r="K191" s="38">
        <f>IF($A191="","",IFERROR($J191+$E191*($B191*4+$F191),0))</f>
        <v/>
      </c>
      <c r="L191" s="38">
        <f>IF($A191="","",IF($B191="","EKSİK","TAM"))</f>
        <v/>
      </c>
    </row>
    <row r="192">
      <c r="J192" s="38">
        <f>IF($A192="","",IFERROR($B192*$C192+$B192/30*7*$D192,0))</f>
        <v/>
      </c>
      <c r="K192" s="38">
        <f>IF($A192="","",IFERROR($J192+$E192*($B192*4+$F192),0))</f>
        <v/>
      </c>
      <c r="L192" s="38">
        <f>IF($A192="","",IF($B192="","EKSİK","TAM"))</f>
        <v/>
      </c>
    </row>
    <row r="193">
      <c r="J193" s="38">
        <f>IF($A193="","",IFERROR($B193*$C193+$B193/30*7*$D193,0))</f>
        <v/>
      </c>
      <c r="K193" s="38">
        <f>IF($A193="","",IFERROR($J193+$E193*($B193*4+$F193),0))</f>
        <v/>
      </c>
      <c r="L193" s="38">
        <f>IF($A193="","",IF($B193="","EKSİK","TAM"))</f>
        <v/>
      </c>
    </row>
    <row r="194">
      <c r="J194" s="38">
        <f>IF($A194="","",IFERROR($B194*$C194+$B194/30*7*$D194,0))</f>
        <v/>
      </c>
      <c r="K194" s="38">
        <f>IF($A194="","",IFERROR($J194+$E194*($B194*4+$F194),0))</f>
        <v/>
      </c>
      <c r="L194" s="38">
        <f>IF($A194="","",IF($B194="","EKSİK","TAM"))</f>
        <v/>
      </c>
    </row>
    <row r="195">
      <c r="J195" s="38">
        <f>IF($A195="","",IFERROR($B195*$C195+$B195/30*7*$D195,0))</f>
        <v/>
      </c>
      <c r="K195" s="38">
        <f>IF($A195="","",IFERROR($J195+$E195*($B195*4+$F195),0))</f>
        <v/>
      </c>
      <c r="L195" s="38">
        <f>IF($A195="","",IF($B195="","EKSİK","TAM"))</f>
        <v/>
      </c>
    </row>
    <row r="196">
      <c r="J196" s="38">
        <f>IF($A196="","",IFERROR($B196*$C196+$B196/30*7*$D196,0))</f>
        <v/>
      </c>
      <c r="K196" s="38">
        <f>IF($A196="","",IFERROR($J196+$E196*($B196*4+$F196),0))</f>
        <v/>
      </c>
      <c r="L196" s="38">
        <f>IF($A196="","",IF($B196="","EKSİK","TAM"))</f>
        <v/>
      </c>
    </row>
    <row r="197">
      <c r="J197" s="38">
        <f>IF($A197="","",IFERROR($B197*$C197+$B197/30*7*$D197,0))</f>
        <v/>
      </c>
      <c r="K197" s="38">
        <f>IF($A197="","",IFERROR($J197+$E197*($B197*4+$F197),0))</f>
        <v/>
      </c>
      <c r="L197" s="38">
        <f>IF($A197="","",IF($B197="","EKSİK","TAM"))</f>
        <v/>
      </c>
    </row>
    <row r="198">
      <c r="J198" s="38">
        <f>IF($A198="","",IFERROR($B198*$C198+$B198/30*7*$D198,0))</f>
        <v/>
      </c>
      <c r="K198" s="38">
        <f>IF($A198="","",IFERROR($J198+$E198*($B198*4+$F198),0))</f>
        <v/>
      </c>
      <c r="L198" s="38">
        <f>IF($A198="","",IF($B198="","EKSİK","TAM"))</f>
        <v/>
      </c>
    </row>
    <row r="199">
      <c r="J199" s="38">
        <f>IF($A199="","",IFERROR($B199*$C199+$B199/30*7*$D199,0))</f>
        <v/>
      </c>
      <c r="K199" s="38">
        <f>IF($A199="","",IFERROR($J199+$E199*($B199*4+$F199),0))</f>
        <v/>
      </c>
      <c r="L199" s="38">
        <f>IF($A199="","",IF($B199="","EKSİK","TAM"))</f>
        <v/>
      </c>
    </row>
    <row r="200">
      <c r="J200" s="38">
        <f>IF($A200="","",IFERROR($B200*$C200+$B200/30*7*$D200,0))</f>
        <v/>
      </c>
      <c r="K200" s="38">
        <f>IF($A200="","",IFERROR($J200+$E200*($B200*4+$F200),0))</f>
        <v/>
      </c>
      <c r="L200" s="38">
        <f>IF($A200="","",IF($B200="","EKSİK","TAM"))</f>
        <v/>
      </c>
    </row>
    <row r="201">
      <c r="J201" s="38">
        <f>IF($A201="","",IFERROR($B201*$C201+$B201/30*7*$D201,0))</f>
        <v/>
      </c>
      <c r="K201" s="38">
        <f>IF($A201="","",IFERROR($J201+$E201*($B201*4+$F201),0))</f>
        <v/>
      </c>
      <c r="L201" s="38">
        <f>IF($A201="","",IF($B201="","EKSİK","TAM"))</f>
        <v/>
      </c>
    </row>
    <row r="202">
      <c r="J202" s="38">
        <f>IF($A202="","",IFERROR($B202*$C202+$B202/30*7*$D202,0))</f>
        <v/>
      </c>
      <c r="K202" s="38">
        <f>IF($A202="","",IFERROR($J202+$E202*($B202*4+$F202),0))</f>
        <v/>
      </c>
      <c r="L202" s="38">
        <f>IF($A202="","",IF($B202="","EKSİK","TAM"))</f>
        <v/>
      </c>
    </row>
    <row r="203">
      <c r="J203" s="38">
        <f>IF($A203="","",IFERROR($B203*$C203+$B203/30*7*$D203,0))</f>
        <v/>
      </c>
      <c r="K203" s="38">
        <f>IF($A203="","",IFERROR($J203+$E203*($B203*4+$F203),0))</f>
        <v/>
      </c>
      <c r="L203" s="38">
        <f>IF($A203="","",IF($B203="","EKSİK","TAM"))</f>
        <v/>
      </c>
    </row>
    <row r="204">
      <c r="J204" s="38">
        <f>IF($A204="","",IFERROR($B204*$C204+$B204/30*7*$D204,0))</f>
        <v/>
      </c>
      <c r="K204" s="38">
        <f>IF($A204="","",IFERROR($J204+$E204*($B204*4+$F204),0))</f>
        <v/>
      </c>
      <c r="L204" s="38">
        <f>IF($A204="","",IF($B204="","EKSİK","TAM"))</f>
        <v/>
      </c>
    </row>
    <row r="205">
      <c r="J205" s="38">
        <f>IF($A205="","",IFERROR($B205*$C205+$B205/30*7*$D205,0))</f>
        <v/>
      </c>
      <c r="K205" s="38">
        <f>IF($A205="","",IFERROR($J205+$E205*($B205*4+$F205),0))</f>
        <v/>
      </c>
      <c r="L205" s="38">
        <f>IF($A205="","",IF($B205="","EKSİK","TAM"))</f>
        <v/>
      </c>
    </row>
    <row r="206">
      <c r="J206" s="38">
        <f>IF($A206="","",IFERROR($B206*$C206+$B206/30*7*$D206,0))</f>
        <v/>
      </c>
      <c r="K206" s="38">
        <f>IF($A206="","",IFERROR($J206+$E206*($B206*4+$F206),0))</f>
        <v/>
      </c>
      <c r="L206" s="38">
        <f>IF($A206="","",IF($B206="","EKSİK","TAM"))</f>
        <v/>
      </c>
    </row>
    <row r="207">
      <c r="J207" s="38">
        <f>IF($A207="","",IFERROR($B207*$C207+$B207/30*7*$D207,0))</f>
        <v/>
      </c>
      <c r="K207" s="38">
        <f>IF($A207="","",IFERROR($J207+$E207*($B207*4+$F207),0))</f>
        <v/>
      </c>
      <c r="L207" s="38">
        <f>IF($A207="","",IF($B207="","EKSİK","TAM"))</f>
        <v/>
      </c>
    </row>
    <row r="208">
      <c r="J208" s="38">
        <f>IF($A208="","",IFERROR($B208*$C208+$B208/30*7*$D208,0))</f>
        <v/>
      </c>
      <c r="K208" s="38">
        <f>IF($A208="","",IFERROR($J208+$E208*($B208*4+$F208),0))</f>
        <v/>
      </c>
      <c r="L208" s="38">
        <f>IF($A208="","",IF($B208="","EKSİK","TAM"))</f>
        <v/>
      </c>
    </row>
    <row r="209">
      <c r="J209" s="38">
        <f>IF($A209="","",IFERROR($B209*$C209+$B209/30*7*$D209,0))</f>
        <v/>
      </c>
      <c r="K209" s="38">
        <f>IF($A209="","",IFERROR($J209+$E209*($B209*4+$F209),0))</f>
        <v/>
      </c>
      <c r="L209" s="38">
        <f>IF($A209="","",IF($B209="","EKSİK","TAM"))</f>
        <v/>
      </c>
    </row>
    <row r="210">
      <c r="J210" s="38">
        <f>IF($A210="","",IFERROR($B210*$C210+$B210/30*7*$D210,0))</f>
        <v/>
      </c>
      <c r="K210" s="38">
        <f>IF($A210="","",IFERROR($J210+$E210*($B210*4+$F210),0))</f>
        <v/>
      </c>
      <c r="L210" s="38">
        <f>IF($A210="","",IF($B210="","EKSİK","TAM"))</f>
        <v/>
      </c>
    </row>
    <row r="211">
      <c r="J211" s="38">
        <f>IF($A211="","",IFERROR($B211*$C211+$B211/30*7*$D211,0))</f>
        <v/>
      </c>
      <c r="K211" s="38">
        <f>IF($A211="","",IFERROR($J211+$E211*($B211*4+$F211),0))</f>
        <v/>
      </c>
      <c r="L211" s="38">
        <f>IF($A211="","",IF($B211="","EKSİK","TAM"))</f>
        <v/>
      </c>
    </row>
    <row r="212">
      <c r="J212" s="38">
        <f>IF($A212="","",IFERROR($B212*$C212+$B212/30*7*$D212,0))</f>
        <v/>
      </c>
      <c r="K212" s="38">
        <f>IF($A212="","",IFERROR($J212+$E212*($B212*4+$F212),0))</f>
        <v/>
      </c>
      <c r="L212" s="38">
        <f>IF($A212="","",IF($B212="","EKSİK","TAM"))</f>
        <v/>
      </c>
    </row>
    <row r="213">
      <c r="J213" s="38">
        <f>IF($A213="","",IFERROR($B213*$C213+$B213/30*7*$D213,0))</f>
        <v/>
      </c>
      <c r="K213" s="38">
        <f>IF($A213="","",IFERROR($J213+$E213*($B213*4+$F213),0))</f>
        <v/>
      </c>
      <c r="L213" s="38">
        <f>IF($A213="","",IF($B213="","EKSİK","TAM"))</f>
        <v/>
      </c>
    </row>
    <row r="214">
      <c r="J214" s="38">
        <f>IF($A214="","",IFERROR($B214*$C214+$B214/30*7*$D214,0))</f>
        <v/>
      </c>
      <c r="K214" s="38">
        <f>IF($A214="","",IFERROR($J214+$E214*($B214*4+$F214),0))</f>
        <v/>
      </c>
      <c r="L214" s="38">
        <f>IF($A214="","",IF($B214="","EKSİK","TAM"))</f>
        <v/>
      </c>
    </row>
    <row r="215">
      <c r="J215" s="38">
        <f>IF($A215="","",IFERROR($B215*$C215+$B215/30*7*$D215,0))</f>
        <v/>
      </c>
      <c r="K215" s="38">
        <f>IF($A215="","",IFERROR($J215+$E215*($B215*4+$F215),0))</f>
        <v/>
      </c>
      <c r="L215" s="38">
        <f>IF($A215="","",IF($B215="","EKSİK","TAM"))</f>
        <v/>
      </c>
    </row>
    <row r="216">
      <c r="J216" s="38">
        <f>IF($A216="","",IFERROR($B216*$C216+$B216/30*7*$D216,0))</f>
        <v/>
      </c>
      <c r="K216" s="38">
        <f>IF($A216="","",IFERROR($J216+$E216*($B216*4+$F216),0))</f>
        <v/>
      </c>
      <c r="L216" s="38">
        <f>IF($A216="","",IF($B216="","EKSİK","TAM"))</f>
        <v/>
      </c>
    </row>
    <row r="217">
      <c r="J217" s="38">
        <f>IF($A217="","",IFERROR($B217*$C217+$B217/30*7*$D217,0))</f>
        <v/>
      </c>
      <c r="K217" s="38">
        <f>IF($A217="","",IFERROR($J217+$E217*($B217*4+$F217),0))</f>
        <v/>
      </c>
      <c r="L217" s="38">
        <f>IF($A217="","",IF($B217="","EKSİK","TAM"))</f>
        <v/>
      </c>
    </row>
    <row r="218">
      <c r="J218" s="38">
        <f>IF($A218="","",IFERROR($B218*$C218+$B218/30*7*$D218,0))</f>
        <v/>
      </c>
      <c r="K218" s="38">
        <f>IF($A218="","",IFERROR($J218+$E218*($B218*4+$F218),0))</f>
        <v/>
      </c>
      <c r="L218" s="38">
        <f>IF($A218="","",IF($B218="","EKSİK","TAM"))</f>
        <v/>
      </c>
    </row>
    <row r="219">
      <c r="J219" s="38">
        <f>IF($A219="","",IFERROR($B219*$C219+$B219/30*7*$D219,0))</f>
        <v/>
      </c>
      <c r="K219" s="38">
        <f>IF($A219="","",IFERROR($J219+$E219*($B219*4+$F219),0))</f>
        <v/>
      </c>
      <c r="L219" s="38">
        <f>IF($A219="","",IF($B219="","EKSİK","TAM"))</f>
        <v/>
      </c>
    </row>
    <row r="220">
      <c r="J220" s="38">
        <f>IF($A220="","",IFERROR($B220*$C220+$B220/30*7*$D220,0))</f>
        <v/>
      </c>
      <c r="K220" s="38">
        <f>IF($A220="","",IFERROR($J220+$E220*($B220*4+$F220),0))</f>
        <v/>
      </c>
      <c r="L220" s="38">
        <f>IF($A220="","",IF($B220="","EKSİK","TAM"))</f>
        <v/>
      </c>
    </row>
    <row r="221">
      <c r="J221" s="38">
        <f>IF($A221="","",IFERROR($B221*$C221+$B221/30*7*$D221,0))</f>
        <v/>
      </c>
      <c r="K221" s="38">
        <f>IF($A221="","",IFERROR($J221+$E221*($B221*4+$F221),0))</f>
        <v/>
      </c>
      <c r="L221" s="38">
        <f>IF($A221="","",IF($B221="","EKSİK","TAM"))</f>
        <v/>
      </c>
    </row>
    <row r="222">
      <c r="J222" s="38">
        <f>IF($A222="","",IFERROR($B222*$C222+$B222/30*7*$D222,0))</f>
        <v/>
      </c>
      <c r="K222" s="38">
        <f>IF($A222="","",IFERROR($J222+$E222*($B222*4+$F222),0))</f>
        <v/>
      </c>
      <c r="L222" s="38">
        <f>IF($A222="","",IF($B222="","EKSİK","TAM"))</f>
        <v/>
      </c>
    </row>
    <row r="223">
      <c r="J223" s="38">
        <f>IF($A223="","",IFERROR($B223*$C223+$B223/30*7*$D223,0))</f>
        <v/>
      </c>
      <c r="K223" s="38">
        <f>IF($A223="","",IFERROR($J223+$E223*($B223*4+$F223),0))</f>
        <v/>
      </c>
      <c r="L223" s="38">
        <f>IF($A223="","",IF($B223="","EKSİK","TAM"))</f>
        <v/>
      </c>
    </row>
    <row r="224">
      <c r="J224" s="38">
        <f>IF($A224="","",IFERROR($B224*$C224+$B224/30*7*$D224,0))</f>
        <v/>
      </c>
      <c r="K224" s="38">
        <f>IF($A224="","",IFERROR($J224+$E224*($B224*4+$F224),0))</f>
        <v/>
      </c>
      <c r="L224" s="38">
        <f>IF($A224="","",IF($B224="","EKSİK","TAM"))</f>
        <v/>
      </c>
    </row>
    <row r="225">
      <c r="J225" s="38">
        <f>IF($A225="","",IFERROR($B225*$C225+$B225/30*7*$D225,0))</f>
        <v/>
      </c>
      <c r="K225" s="38">
        <f>IF($A225="","",IFERROR($J225+$E225*($B225*4+$F225),0))</f>
        <v/>
      </c>
      <c r="L225" s="38">
        <f>IF($A225="","",IF($B225="","EKSİK","TAM"))</f>
        <v/>
      </c>
    </row>
    <row r="226">
      <c r="J226" s="38">
        <f>IF($A226="","",IFERROR($B226*$C226+$B226/30*7*$D226,0))</f>
        <v/>
      </c>
      <c r="K226" s="38">
        <f>IF($A226="","",IFERROR($J226+$E226*($B226*4+$F226),0))</f>
        <v/>
      </c>
      <c r="L226" s="38">
        <f>IF($A226="","",IF($B226="","EKSİK","TAM"))</f>
        <v/>
      </c>
    </row>
    <row r="227">
      <c r="J227" s="38">
        <f>IF($A227="","",IFERROR($B227*$C227+$B227/30*7*$D227,0))</f>
        <v/>
      </c>
      <c r="K227" s="38">
        <f>IF($A227="","",IFERROR($J227+$E227*($B227*4+$F227),0))</f>
        <v/>
      </c>
      <c r="L227" s="38">
        <f>IF($A227="","",IF($B227="","EKSİK","TAM"))</f>
        <v/>
      </c>
    </row>
    <row r="228">
      <c r="J228" s="38">
        <f>IF($A228="","",IFERROR($B228*$C228+$B228/30*7*$D228,0))</f>
        <v/>
      </c>
      <c r="K228" s="38">
        <f>IF($A228="","",IFERROR($J228+$E228*($B228*4+$F228),0))</f>
        <v/>
      </c>
      <c r="L228" s="38">
        <f>IF($A228="","",IF($B228="","EKSİK","TAM"))</f>
        <v/>
      </c>
    </row>
    <row r="229">
      <c r="J229" s="38">
        <f>IF($A229="","",IFERROR($B229*$C229+$B229/30*7*$D229,0))</f>
        <v/>
      </c>
      <c r="K229" s="38">
        <f>IF($A229="","",IFERROR($J229+$E229*($B229*4+$F229),0))</f>
        <v/>
      </c>
      <c r="L229" s="38">
        <f>IF($A229="","",IF($B229="","EKSİK","TAM"))</f>
        <v/>
      </c>
    </row>
    <row r="230">
      <c r="J230" s="38">
        <f>IF($A230="","",IFERROR($B230*$C230+$B230/30*7*$D230,0))</f>
        <v/>
      </c>
      <c r="K230" s="38">
        <f>IF($A230="","",IFERROR($J230+$E230*($B230*4+$F230),0))</f>
        <v/>
      </c>
      <c r="L230" s="38">
        <f>IF($A230="","",IF($B230="","EKSİK","TAM"))</f>
        <v/>
      </c>
    </row>
    <row r="231">
      <c r="J231" s="38">
        <f>IF($A231="","",IFERROR($B231*$C231+$B231/30*7*$D231,0))</f>
        <v/>
      </c>
      <c r="K231" s="38">
        <f>IF($A231="","",IFERROR($J231+$E231*($B231*4+$F231),0))</f>
        <v/>
      </c>
      <c r="L231" s="38">
        <f>IF($A231="","",IF($B231="","EKSİK","TAM"))</f>
        <v/>
      </c>
    </row>
    <row r="232">
      <c r="J232" s="38">
        <f>IF($A232="","",IFERROR($B232*$C232+$B232/30*7*$D232,0))</f>
        <v/>
      </c>
      <c r="K232" s="38">
        <f>IF($A232="","",IFERROR($J232+$E232*($B232*4+$F232),0))</f>
        <v/>
      </c>
      <c r="L232" s="38">
        <f>IF($A232="","",IF($B232="","EKSİK","TAM"))</f>
        <v/>
      </c>
    </row>
    <row r="233">
      <c r="J233" s="38">
        <f>IF($A233="","",IFERROR($B233*$C233+$B233/30*7*$D233,0))</f>
        <v/>
      </c>
      <c r="K233" s="38">
        <f>IF($A233="","",IFERROR($J233+$E233*($B233*4+$F233),0))</f>
        <v/>
      </c>
      <c r="L233" s="38">
        <f>IF($A233="","",IF($B233="","EKSİK","TAM"))</f>
        <v/>
      </c>
    </row>
    <row r="234">
      <c r="J234" s="38">
        <f>IF($A234="","",IFERROR($B234*$C234+$B234/30*7*$D234,0))</f>
        <v/>
      </c>
      <c r="K234" s="38">
        <f>IF($A234="","",IFERROR($J234+$E234*($B234*4+$F234),0))</f>
        <v/>
      </c>
      <c r="L234" s="38">
        <f>IF($A234="","",IF($B234="","EKSİK","TAM"))</f>
        <v/>
      </c>
    </row>
    <row r="235">
      <c r="J235" s="38">
        <f>IF($A235="","",IFERROR($B235*$C235+$B235/30*7*$D235,0))</f>
        <v/>
      </c>
      <c r="K235" s="38">
        <f>IF($A235="","",IFERROR($J235+$E235*($B235*4+$F235),0))</f>
        <v/>
      </c>
      <c r="L235" s="38">
        <f>IF($A235="","",IF($B235="","EKSİK","TAM"))</f>
        <v/>
      </c>
    </row>
    <row r="236">
      <c r="J236" s="38">
        <f>IF($A236="","",IFERROR($B236*$C236+$B236/30*7*$D236,0))</f>
        <v/>
      </c>
      <c r="K236" s="38">
        <f>IF($A236="","",IFERROR($J236+$E236*($B236*4+$F236),0))</f>
        <v/>
      </c>
      <c r="L236" s="38">
        <f>IF($A236="","",IF($B236="","EKSİK","TAM"))</f>
        <v/>
      </c>
    </row>
    <row r="237">
      <c r="J237" s="38">
        <f>IF($A237="","",IFERROR($B237*$C237+$B237/30*7*$D237,0))</f>
        <v/>
      </c>
      <c r="K237" s="38">
        <f>IF($A237="","",IFERROR($J237+$E237*($B237*4+$F237),0))</f>
        <v/>
      </c>
      <c r="L237" s="38">
        <f>IF($A237="","",IF($B237="","EKSİK","TAM"))</f>
        <v/>
      </c>
    </row>
    <row r="238">
      <c r="J238" s="38">
        <f>IF($A238="","",IFERROR($B238*$C238+$B238/30*7*$D238,0))</f>
        <v/>
      </c>
      <c r="K238" s="38">
        <f>IF($A238="","",IFERROR($J238+$E238*($B238*4+$F238),0))</f>
        <v/>
      </c>
      <c r="L238" s="38">
        <f>IF($A238="","",IF($B238="","EKSİK","TAM"))</f>
        <v/>
      </c>
    </row>
    <row r="239">
      <c r="J239" s="38">
        <f>IF($A239="","",IFERROR($B239*$C239+$B239/30*7*$D239,0))</f>
        <v/>
      </c>
      <c r="K239" s="38">
        <f>IF($A239="","",IFERROR($J239+$E239*($B239*4+$F239),0))</f>
        <v/>
      </c>
      <c r="L239" s="38">
        <f>IF($A239="","",IF($B239="","EKSİK","TAM"))</f>
        <v/>
      </c>
    </row>
    <row r="240">
      <c r="J240" s="38">
        <f>IF($A240="","",IFERROR($B240*$C240+$B240/30*7*$D240,0))</f>
        <v/>
      </c>
      <c r="K240" s="38">
        <f>IF($A240="","",IFERROR($J240+$E240*($B240*4+$F240),0))</f>
        <v/>
      </c>
      <c r="L240" s="38">
        <f>IF($A240="","",IF($B240="","EKSİK","TAM"))</f>
        <v/>
      </c>
    </row>
    <row r="241">
      <c r="J241" s="38">
        <f>IF($A241="","",IFERROR($B241*$C241+$B241/30*7*$D241,0))</f>
        <v/>
      </c>
      <c r="K241" s="38">
        <f>IF($A241="","",IFERROR($J241+$E241*($B241*4+$F241),0))</f>
        <v/>
      </c>
      <c r="L241" s="38">
        <f>IF($A241="","",IF($B241="","EKSİK","TAM"))</f>
        <v/>
      </c>
    </row>
    <row r="242">
      <c r="J242" s="38">
        <f>IF($A242="","",IFERROR($B242*$C242+$B242/30*7*$D242,0))</f>
        <v/>
      </c>
      <c r="K242" s="38">
        <f>IF($A242="","",IFERROR($J242+$E242*($B242*4+$F242),0))</f>
        <v/>
      </c>
      <c r="L242" s="38">
        <f>IF($A242="","",IF($B242="","EKSİK","TAM"))</f>
        <v/>
      </c>
    </row>
    <row r="243">
      <c r="J243" s="38">
        <f>IF($A243="","",IFERROR($B243*$C243+$B243/30*7*$D243,0))</f>
        <v/>
      </c>
      <c r="K243" s="38">
        <f>IF($A243="","",IFERROR($J243+$E243*($B243*4+$F243),0))</f>
        <v/>
      </c>
      <c r="L243" s="38">
        <f>IF($A243="","",IF($B243="","EKSİK","TAM"))</f>
        <v/>
      </c>
    </row>
    <row r="244">
      <c r="J244" s="38">
        <f>IF($A244="","",IFERROR($B244*$C244+$B244/30*7*$D244,0))</f>
        <v/>
      </c>
      <c r="K244" s="38">
        <f>IF($A244="","",IFERROR($J244+$E244*($B244*4+$F244),0))</f>
        <v/>
      </c>
      <c r="L244" s="38">
        <f>IF($A244="","",IF($B244="","EKSİK","TAM"))</f>
        <v/>
      </c>
    </row>
    <row r="245">
      <c r="J245" s="38">
        <f>IF($A245="","",IFERROR($B245*$C245+$B245/30*7*$D245,0))</f>
        <v/>
      </c>
      <c r="K245" s="38">
        <f>IF($A245="","",IFERROR($J245+$E245*($B245*4+$F245),0))</f>
        <v/>
      </c>
      <c r="L245" s="38">
        <f>IF($A245="","",IF($B245="","EKSİK","TAM"))</f>
        <v/>
      </c>
    </row>
    <row r="246">
      <c r="J246" s="38">
        <f>IF($A246="","",IFERROR($B246*$C246+$B246/30*7*$D246,0))</f>
        <v/>
      </c>
      <c r="K246" s="38">
        <f>IF($A246="","",IFERROR($J246+$E246*($B246*4+$F246),0))</f>
        <v/>
      </c>
      <c r="L246" s="38">
        <f>IF($A246="","",IF($B246="","EKSİK","TAM"))</f>
        <v/>
      </c>
    </row>
    <row r="247">
      <c r="J247" s="38">
        <f>IF($A247="","",IFERROR($B247*$C247+$B247/30*7*$D247,0))</f>
        <v/>
      </c>
      <c r="K247" s="38">
        <f>IF($A247="","",IFERROR($J247+$E247*($B247*4+$F247),0))</f>
        <v/>
      </c>
      <c r="L247" s="38">
        <f>IF($A247="","",IF($B247="","EKSİK","TAM"))</f>
        <v/>
      </c>
    </row>
    <row r="248">
      <c r="J248" s="38">
        <f>IF($A248="","",IFERROR($B248*$C248+$B248/30*7*$D248,0))</f>
        <v/>
      </c>
      <c r="K248" s="38">
        <f>IF($A248="","",IFERROR($J248+$E248*($B248*4+$F248),0))</f>
        <v/>
      </c>
      <c r="L248" s="38">
        <f>IF($A248="","",IF($B248="","EKSİK","TAM"))</f>
        <v/>
      </c>
    </row>
    <row r="249">
      <c r="J249" s="38">
        <f>IF($A249="","",IFERROR($B249*$C249+$B249/30*7*$D249,0))</f>
        <v/>
      </c>
      <c r="K249" s="38">
        <f>IF($A249="","",IFERROR($J249+$E249*($B249*4+$F249),0))</f>
        <v/>
      </c>
      <c r="L249" s="38">
        <f>IF($A249="","",IF($B249="","EKSİK","TAM"))</f>
        <v/>
      </c>
    </row>
    <row r="250">
      <c r="J250" s="38">
        <f>IF($A250="","",IFERROR($B250*$C250+$B250/30*7*$D250,0))</f>
        <v/>
      </c>
      <c r="K250" s="38">
        <f>IF($A250="","",IFERROR($J250+$E250*($B250*4+$F250),0))</f>
        <v/>
      </c>
      <c r="L250" s="38">
        <f>IF($A250="","",IF($B250="","EKSİK","TAM"))</f>
        <v/>
      </c>
    </row>
    <row r="251">
      <c r="J251" s="38">
        <f>IF($A251="","",IFERROR($B251*$C251+$B251/30*7*$D251,0))</f>
        <v/>
      </c>
      <c r="K251" s="38">
        <f>IF($A251="","",IFERROR($J251+$E251*($B251*4+$F251),0))</f>
        <v/>
      </c>
      <c r="L251" s="38">
        <f>IF($A251="","",IF($B251="","EKSİK","TAM"))</f>
        <v/>
      </c>
    </row>
    <row r="252">
      <c r="J252" s="38">
        <f>IF($A252="","",IFERROR($B252*$C252+$B252/30*7*$D252,0))</f>
        <v/>
      </c>
      <c r="K252" s="38">
        <f>IF($A252="","",IFERROR($J252+$E252*($B252*4+$F252),0))</f>
        <v/>
      </c>
      <c r="L252" s="38">
        <f>IF($A252="","",IF($B252="","EKSİK","TAM"))</f>
        <v/>
      </c>
    </row>
    <row r="253">
      <c r="J253" s="38">
        <f>IF($A253="","",IFERROR($B253*$C253+$B253/30*7*$D253,0))</f>
        <v/>
      </c>
      <c r="K253" s="38">
        <f>IF($A253="","",IFERROR($J253+$E253*($B253*4+$F253),0))</f>
        <v/>
      </c>
      <c r="L253" s="38">
        <f>IF($A253="","",IF($B253="","EKSİK","TAM"))</f>
        <v/>
      </c>
    </row>
    <row r="254">
      <c r="J254" s="38">
        <f>IF($A254="","",IFERROR($B254*$C254+$B254/30*7*$D254,0))</f>
        <v/>
      </c>
      <c r="K254" s="38">
        <f>IF($A254="","",IFERROR($J254+$E254*($B254*4+$F254),0))</f>
        <v/>
      </c>
      <c r="L254" s="38">
        <f>IF($A254="","",IF($B254="","EKSİK","TAM"))</f>
        <v/>
      </c>
    </row>
    <row r="255">
      <c r="J255" s="38">
        <f>IF($A255="","",IFERROR($B255*$C255+$B255/30*7*$D255,0))</f>
        <v/>
      </c>
      <c r="K255" s="38">
        <f>IF($A255="","",IFERROR($J255+$E255*($B255*4+$F255),0))</f>
        <v/>
      </c>
      <c r="L255" s="38">
        <f>IF($A255="","",IF($B255="","EKSİK","TAM"))</f>
        <v/>
      </c>
    </row>
    <row r="256">
      <c r="J256" s="38">
        <f>IF($A256="","",IFERROR($B256*$C256+$B256/30*7*$D256,0))</f>
        <v/>
      </c>
      <c r="K256" s="38">
        <f>IF($A256="","",IFERROR($J256+$E256*($B256*4+$F256),0))</f>
        <v/>
      </c>
      <c r="L256" s="38">
        <f>IF($A256="","",IF($B256="","EKSİK","TAM"))</f>
        <v/>
      </c>
    </row>
    <row r="257">
      <c r="J257" s="38">
        <f>IF($A257="","",IFERROR($B257*$C257+$B257/30*7*$D257,0))</f>
        <v/>
      </c>
      <c r="K257" s="38">
        <f>IF($A257="","",IFERROR($J257+$E257*($B257*4+$F257),0))</f>
        <v/>
      </c>
      <c r="L257" s="38">
        <f>IF($A257="","",IF($B257="","EKSİK","TAM"))</f>
        <v/>
      </c>
    </row>
    <row r="258">
      <c r="J258" s="38">
        <f>IF($A258="","",IFERROR($B258*$C258+$B258/30*7*$D258,0))</f>
        <v/>
      </c>
      <c r="K258" s="38">
        <f>IF($A258="","",IFERROR($J258+$E258*($B258*4+$F258),0))</f>
        <v/>
      </c>
      <c r="L258" s="38">
        <f>IF($A258="","",IF($B258="","EKSİK","TAM"))</f>
        <v/>
      </c>
    </row>
    <row r="259">
      <c r="J259" s="38">
        <f>IF($A259="","",IFERROR($B259*$C259+$B259/30*7*$D259,0))</f>
        <v/>
      </c>
      <c r="K259" s="38">
        <f>IF($A259="","",IFERROR($J259+$E259*($B259*4+$F259),0))</f>
        <v/>
      </c>
      <c r="L259" s="38">
        <f>IF($A259="","",IF($B259="","EKSİK","TAM"))</f>
        <v/>
      </c>
    </row>
    <row r="260">
      <c r="J260" s="38">
        <f>IF($A260="","",IFERROR($B260*$C260+$B260/30*7*$D260,0))</f>
        <v/>
      </c>
      <c r="K260" s="38">
        <f>IF($A260="","",IFERROR($J260+$E260*($B260*4+$F260),0))</f>
        <v/>
      </c>
      <c r="L260" s="38">
        <f>IF($A260="","",IF($B260="","EKSİK","TAM"))</f>
        <v/>
      </c>
    </row>
    <row r="261">
      <c r="J261" s="38">
        <f>IF($A261="","",IFERROR($B261*$C261+$B261/30*7*$D261,0))</f>
        <v/>
      </c>
      <c r="K261" s="38">
        <f>IF($A261="","",IFERROR($J261+$E261*($B261*4+$F261),0))</f>
        <v/>
      </c>
      <c r="L261" s="38">
        <f>IF($A261="","",IF($B261="","EKSİK","TAM"))</f>
        <v/>
      </c>
    </row>
    <row r="262">
      <c r="J262" s="38">
        <f>IF($A262="","",IFERROR($B262*$C262+$B262/30*7*$D262,0))</f>
        <v/>
      </c>
      <c r="K262" s="38">
        <f>IF($A262="","",IFERROR($J262+$E262*($B262*4+$F262),0))</f>
        <v/>
      </c>
      <c r="L262" s="38">
        <f>IF($A262="","",IF($B262="","EKSİK","TAM"))</f>
        <v/>
      </c>
    </row>
    <row r="263">
      <c r="J263" s="38">
        <f>IF($A263="","",IFERROR($B263*$C263+$B263/30*7*$D263,0))</f>
        <v/>
      </c>
      <c r="K263" s="38">
        <f>IF($A263="","",IFERROR($J263+$E263*($B263*4+$F263),0))</f>
        <v/>
      </c>
      <c r="L263" s="38">
        <f>IF($A263="","",IF($B263="","EKSİK","TAM"))</f>
        <v/>
      </c>
    </row>
    <row r="264">
      <c r="J264" s="38">
        <f>IF($A264="","",IFERROR($B264*$C264+$B264/30*7*$D264,0))</f>
        <v/>
      </c>
      <c r="K264" s="38">
        <f>IF($A264="","",IFERROR($J264+$E264*($B264*4+$F264),0))</f>
        <v/>
      </c>
      <c r="L264" s="38">
        <f>IF($A264="","",IF($B264="","EKSİK","TAM"))</f>
        <v/>
      </c>
    </row>
    <row r="265">
      <c r="J265" s="38">
        <f>IF($A265="","",IFERROR($B265*$C265+$B265/30*7*$D265,0))</f>
        <v/>
      </c>
      <c r="K265" s="38">
        <f>IF($A265="","",IFERROR($J265+$E265*($B265*4+$F265),0))</f>
        <v/>
      </c>
      <c r="L265" s="38">
        <f>IF($A265="","",IF($B265="","EKSİK","TAM"))</f>
        <v/>
      </c>
    </row>
    <row r="266">
      <c r="J266" s="38">
        <f>IF($A266="","",IFERROR($B266*$C266+$B266/30*7*$D266,0))</f>
        <v/>
      </c>
      <c r="K266" s="38">
        <f>IF($A266="","",IFERROR($J266+$E266*($B266*4+$F266),0))</f>
        <v/>
      </c>
      <c r="L266" s="38">
        <f>IF($A266="","",IF($B266="","EKSİK","TAM"))</f>
        <v/>
      </c>
    </row>
    <row r="267">
      <c r="J267" s="38">
        <f>IF($A267="","",IFERROR($B267*$C267+$B267/30*7*$D267,0))</f>
        <v/>
      </c>
      <c r="K267" s="38">
        <f>IF($A267="","",IFERROR($J267+$E267*($B267*4+$F267),0))</f>
        <v/>
      </c>
      <c r="L267" s="38">
        <f>IF($A267="","",IF($B267="","EKSİK","TAM"))</f>
        <v/>
      </c>
    </row>
    <row r="268">
      <c r="J268" s="38">
        <f>IF($A268="","",IFERROR($B268*$C268+$B268/30*7*$D268,0))</f>
        <v/>
      </c>
      <c r="K268" s="38">
        <f>IF($A268="","",IFERROR($J268+$E268*($B268*4+$F268),0))</f>
        <v/>
      </c>
      <c r="L268" s="38">
        <f>IF($A268="","",IF($B268="","EKSİK","TAM"))</f>
        <v/>
      </c>
    </row>
    <row r="269">
      <c r="J269" s="38">
        <f>IF($A269="","",IFERROR($B269*$C269+$B269/30*7*$D269,0))</f>
        <v/>
      </c>
      <c r="K269" s="38">
        <f>IF($A269="","",IFERROR($J269+$E269*($B269*4+$F269),0))</f>
        <v/>
      </c>
      <c r="L269" s="38">
        <f>IF($A269="","",IF($B269="","EKSİK","TAM"))</f>
        <v/>
      </c>
    </row>
    <row r="270">
      <c r="J270" s="38">
        <f>IF($A270="","",IFERROR($B270*$C270+$B270/30*7*$D270,0))</f>
        <v/>
      </c>
      <c r="K270" s="38">
        <f>IF($A270="","",IFERROR($J270+$E270*($B270*4+$F270),0))</f>
        <v/>
      </c>
      <c r="L270" s="38">
        <f>IF($A270="","",IF($B270="","EKSİK","TAM"))</f>
        <v/>
      </c>
    </row>
    <row r="271">
      <c r="J271" s="38">
        <f>IF($A271="","",IFERROR($B271*$C271+$B271/30*7*$D271,0))</f>
        <v/>
      </c>
      <c r="K271" s="38">
        <f>IF($A271="","",IFERROR($J271+$E271*($B271*4+$F271),0))</f>
        <v/>
      </c>
      <c r="L271" s="38">
        <f>IF($A271="","",IF($B271="","EKSİK","TAM"))</f>
        <v/>
      </c>
    </row>
    <row r="272">
      <c r="J272" s="38">
        <f>IF($A272="","",IFERROR($B272*$C272+$B272/30*7*$D272,0))</f>
        <v/>
      </c>
      <c r="K272" s="38">
        <f>IF($A272="","",IFERROR($J272+$E272*($B272*4+$F272),0))</f>
        <v/>
      </c>
      <c r="L272" s="38">
        <f>IF($A272="","",IF($B272="","EKSİK","TAM"))</f>
        <v/>
      </c>
    </row>
    <row r="273">
      <c r="J273" s="38">
        <f>IF($A273="","",IFERROR($B273*$C273+$B273/30*7*$D273,0))</f>
        <v/>
      </c>
      <c r="K273" s="38">
        <f>IF($A273="","",IFERROR($J273+$E273*($B273*4+$F273),0))</f>
        <v/>
      </c>
      <c r="L273" s="38">
        <f>IF($A273="","",IF($B273="","EKSİK","TAM"))</f>
        <v/>
      </c>
    </row>
    <row r="274">
      <c r="J274" s="38">
        <f>IF($A274="","",IFERROR($B274*$C274+$B274/30*7*$D274,0))</f>
        <v/>
      </c>
      <c r="K274" s="38">
        <f>IF($A274="","",IFERROR($J274+$E274*($B274*4+$F274),0))</f>
        <v/>
      </c>
      <c r="L274" s="38">
        <f>IF($A274="","",IF($B274="","EKSİK","TAM"))</f>
        <v/>
      </c>
    </row>
    <row r="275">
      <c r="J275" s="38">
        <f>IF($A275="","",IFERROR($B275*$C275+$B275/30*7*$D275,0))</f>
        <v/>
      </c>
      <c r="K275" s="38">
        <f>IF($A275="","",IFERROR($J275+$E275*($B275*4+$F275),0))</f>
        <v/>
      </c>
      <c r="L275" s="38">
        <f>IF($A275="","",IF($B275="","EKSİK","TAM"))</f>
        <v/>
      </c>
    </row>
    <row r="276">
      <c r="J276" s="38">
        <f>IF($A276="","",IFERROR($B276*$C276+$B276/30*7*$D276,0))</f>
        <v/>
      </c>
      <c r="K276" s="38">
        <f>IF($A276="","",IFERROR($J276+$E276*($B276*4+$F276),0))</f>
        <v/>
      </c>
      <c r="L276" s="38">
        <f>IF($A276="","",IF($B276="","EKSİK","TAM"))</f>
        <v/>
      </c>
    </row>
    <row r="277">
      <c r="J277" s="38">
        <f>IF($A277="","",IFERROR($B277*$C277+$B277/30*7*$D277,0))</f>
        <v/>
      </c>
      <c r="K277" s="38">
        <f>IF($A277="","",IFERROR($J277+$E277*($B277*4+$F277),0))</f>
        <v/>
      </c>
      <c r="L277" s="38">
        <f>IF($A277="","",IF($B277="","EKSİK","TAM"))</f>
        <v/>
      </c>
    </row>
    <row r="278">
      <c r="J278" s="38">
        <f>IF($A278="","",IFERROR($B278*$C278+$B278/30*7*$D278,0))</f>
        <v/>
      </c>
      <c r="K278" s="38">
        <f>IF($A278="","",IFERROR($J278+$E278*($B278*4+$F278),0))</f>
        <v/>
      </c>
      <c r="L278" s="38">
        <f>IF($A278="","",IF($B278="","EKSİK","TAM"))</f>
        <v/>
      </c>
    </row>
    <row r="279">
      <c r="J279" s="38">
        <f>IF($A279="","",IFERROR($B279*$C279+$B279/30*7*$D279,0))</f>
        <v/>
      </c>
      <c r="K279" s="38">
        <f>IF($A279="","",IFERROR($J279+$E279*($B279*4+$F279),0))</f>
        <v/>
      </c>
      <c r="L279" s="38">
        <f>IF($A279="","",IF($B279="","EKSİK","TAM"))</f>
        <v/>
      </c>
    </row>
    <row r="280">
      <c r="J280" s="38">
        <f>IF($A280="","",IFERROR($B280*$C280+$B280/30*7*$D280,0))</f>
        <v/>
      </c>
      <c r="K280" s="38">
        <f>IF($A280="","",IFERROR($J280+$E280*($B280*4+$F280),0))</f>
        <v/>
      </c>
      <c r="L280" s="38">
        <f>IF($A280="","",IF($B280="","EKSİK","TAM"))</f>
        <v/>
      </c>
    </row>
    <row r="281">
      <c r="J281" s="38">
        <f>IF($A281="","",IFERROR($B281*$C281+$B281/30*7*$D281,0))</f>
        <v/>
      </c>
      <c r="K281" s="38">
        <f>IF($A281="","",IFERROR($J281+$E281*($B281*4+$F281),0))</f>
        <v/>
      </c>
      <c r="L281" s="38">
        <f>IF($A281="","",IF($B281="","EKSİK","TAM"))</f>
        <v/>
      </c>
    </row>
    <row r="282">
      <c r="J282" s="38">
        <f>IF($A282="","",IFERROR($B282*$C282+$B282/30*7*$D282,0))</f>
        <v/>
      </c>
      <c r="K282" s="38">
        <f>IF($A282="","",IFERROR($J282+$E282*($B282*4+$F282),0))</f>
        <v/>
      </c>
      <c r="L282" s="38">
        <f>IF($A282="","",IF($B282="","EKSİK","TAM"))</f>
        <v/>
      </c>
    </row>
    <row r="283">
      <c r="J283" s="38">
        <f>IF($A283="","",IFERROR($B283*$C283+$B283/30*7*$D283,0))</f>
        <v/>
      </c>
      <c r="K283" s="38">
        <f>IF($A283="","",IFERROR($J283+$E283*($B283*4+$F283),0))</f>
        <v/>
      </c>
      <c r="L283" s="38">
        <f>IF($A283="","",IF($B283="","EKSİK","TAM"))</f>
        <v/>
      </c>
    </row>
    <row r="284">
      <c r="J284" s="38">
        <f>IF($A284="","",IFERROR($B284*$C284+$B284/30*7*$D284,0))</f>
        <v/>
      </c>
      <c r="K284" s="38">
        <f>IF($A284="","",IFERROR($J284+$E284*($B284*4+$F284),0))</f>
        <v/>
      </c>
      <c r="L284" s="38">
        <f>IF($A284="","",IF($B284="","EKSİK","TAM"))</f>
        <v/>
      </c>
    </row>
    <row r="285">
      <c r="J285" s="38">
        <f>IF($A285="","",IFERROR($B285*$C285+$B285/30*7*$D285,0))</f>
        <v/>
      </c>
      <c r="K285" s="38">
        <f>IF($A285="","",IFERROR($J285+$E285*($B285*4+$F285),0))</f>
        <v/>
      </c>
      <c r="L285" s="38">
        <f>IF($A285="","",IF($B285="","EKSİK","TAM"))</f>
        <v/>
      </c>
    </row>
    <row r="286">
      <c r="J286" s="38">
        <f>IF($A286="","",IFERROR($B286*$C286+$B286/30*7*$D286,0))</f>
        <v/>
      </c>
      <c r="K286" s="38">
        <f>IF($A286="","",IFERROR($J286+$E286*($B286*4+$F286),0))</f>
        <v/>
      </c>
      <c r="L286" s="38">
        <f>IF($A286="","",IF($B286="","EKSİK","TAM"))</f>
        <v/>
      </c>
    </row>
    <row r="287">
      <c r="J287" s="38">
        <f>IF($A287="","",IFERROR($B287*$C287+$B287/30*7*$D287,0))</f>
        <v/>
      </c>
      <c r="K287" s="38">
        <f>IF($A287="","",IFERROR($J287+$E287*($B287*4+$F287),0))</f>
        <v/>
      </c>
      <c r="L287" s="38">
        <f>IF($A287="","",IF($B287="","EKSİK","TAM"))</f>
        <v/>
      </c>
    </row>
    <row r="288">
      <c r="J288" s="38">
        <f>IF($A288="","",IFERROR($B288*$C288+$B288/30*7*$D288,0))</f>
        <v/>
      </c>
      <c r="K288" s="38">
        <f>IF($A288="","",IFERROR($J288+$E288*($B288*4+$F288),0))</f>
        <v/>
      </c>
      <c r="L288" s="38">
        <f>IF($A288="","",IF($B288="","EKSİK","TAM"))</f>
        <v/>
      </c>
    </row>
    <row r="289">
      <c r="J289" s="38">
        <f>IF($A289="","",IFERROR($B289*$C289+$B289/30*7*$D289,0))</f>
        <v/>
      </c>
      <c r="K289" s="38">
        <f>IF($A289="","",IFERROR($J289+$E289*($B289*4+$F289),0))</f>
        <v/>
      </c>
      <c r="L289" s="38">
        <f>IF($A289="","",IF($B289="","EKSİK","TAM"))</f>
        <v/>
      </c>
    </row>
    <row r="290">
      <c r="J290" s="38">
        <f>IF($A290="","",IFERROR($B290*$C290+$B290/30*7*$D290,0))</f>
        <v/>
      </c>
      <c r="K290" s="38">
        <f>IF($A290="","",IFERROR($J290+$E290*($B290*4+$F290),0))</f>
        <v/>
      </c>
      <c r="L290" s="38">
        <f>IF($A290="","",IF($B290="","EKSİK","TAM"))</f>
        <v/>
      </c>
    </row>
    <row r="291">
      <c r="J291" s="38">
        <f>IF($A291="","",IFERROR($B291*$C291+$B291/30*7*$D291,0))</f>
        <v/>
      </c>
      <c r="K291" s="38">
        <f>IF($A291="","",IFERROR($J291+$E291*($B291*4+$F291),0))</f>
        <v/>
      </c>
      <c r="L291" s="38">
        <f>IF($A291="","",IF($B291="","EKSİK","TAM"))</f>
        <v/>
      </c>
    </row>
    <row r="292">
      <c r="J292" s="38">
        <f>IF($A292="","",IFERROR($B292*$C292+$B292/30*7*$D292,0))</f>
        <v/>
      </c>
      <c r="K292" s="38">
        <f>IF($A292="","",IFERROR($J292+$E292*($B292*4+$F292),0))</f>
        <v/>
      </c>
      <c r="L292" s="38">
        <f>IF($A292="","",IF($B292="","EKSİK","TAM"))</f>
        <v/>
      </c>
    </row>
    <row r="293">
      <c r="J293" s="38">
        <f>IF($A293="","",IFERROR($B293*$C293+$B293/30*7*$D293,0))</f>
        <v/>
      </c>
      <c r="K293" s="38">
        <f>IF($A293="","",IFERROR($J293+$E293*($B293*4+$F293),0))</f>
        <v/>
      </c>
      <c r="L293" s="38">
        <f>IF($A293="","",IF($B293="","EKSİK","TAM"))</f>
        <v/>
      </c>
    </row>
    <row r="294">
      <c r="J294" s="38">
        <f>IF($A294="","",IFERROR($B294*$C294+$B294/30*7*$D294,0))</f>
        <v/>
      </c>
      <c r="K294" s="38">
        <f>IF($A294="","",IFERROR($J294+$E294*($B294*4+$F294),0))</f>
        <v/>
      </c>
      <c r="L294" s="38">
        <f>IF($A294="","",IF($B294="","EKSİK","TAM"))</f>
        <v/>
      </c>
    </row>
    <row r="295">
      <c r="J295" s="38">
        <f>IF($A295="","",IFERROR($B295*$C295+$B295/30*7*$D295,0))</f>
        <v/>
      </c>
      <c r="K295" s="38">
        <f>IF($A295="","",IFERROR($J295+$E295*($B295*4+$F295),0))</f>
        <v/>
      </c>
      <c r="L295" s="38">
        <f>IF($A295="","",IF($B295="","EKSİK","TAM"))</f>
        <v/>
      </c>
    </row>
    <row r="296">
      <c r="J296" s="38">
        <f>IF($A296="","",IFERROR($B296*$C296+$B296/30*7*$D296,0))</f>
        <v/>
      </c>
      <c r="K296" s="38">
        <f>IF($A296="","",IFERROR($J296+$E296*($B296*4+$F296),0))</f>
        <v/>
      </c>
      <c r="L296" s="38">
        <f>IF($A296="","",IF($B296="","EKSİK","TAM"))</f>
        <v/>
      </c>
    </row>
    <row r="297">
      <c r="J297" s="38">
        <f>IF($A297="","",IFERROR($B297*$C297+$B297/30*7*$D297,0))</f>
        <v/>
      </c>
      <c r="K297" s="38">
        <f>IF($A297="","",IFERROR($J297+$E297*($B297*4+$F297),0))</f>
        <v/>
      </c>
      <c r="L297" s="38">
        <f>IF($A297="","",IF($B297="","EKSİK","TAM"))</f>
        <v/>
      </c>
    </row>
    <row r="298">
      <c r="J298" s="38">
        <f>IF($A298="","",IFERROR($B298*$C298+$B298/30*7*$D298,0))</f>
        <v/>
      </c>
      <c r="K298" s="38">
        <f>IF($A298="","",IFERROR($J298+$E298*($B298*4+$F298),0))</f>
        <v/>
      </c>
      <c r="L298" s="38">
        <f>IF($A298="","",IF($B298="","EKSİK","TAM"))</f>
        <v/>
      </c>
    </row>
    <row r="299">
      <c r="J299" s="38">
        <f>IF($A299="","",IFERROR($B299*$C299+$B299/30*7*$D299,0))</f>
        <v/>
      </c>
      <c r="K299" s="38">
        <f>IF($A299="","",IFERROR($J299+$E299*($B299*4+$F299),0))</f>
        <v/>
      </c>
      <c r="L299" s="38">
        <f>IF($A299="","",IF($B299="","EKSİK","TAM"))</f>
        <v/>
      </c>
    </row>
    <row r="300">
      <c r="J300" s="38">
        <f>IF($A300="","",IFERROR($B300*$C300+$B300/30*7*$D300,0))</f>
        <v/>
      </c>
      <c r="K300" s="38">
        <f>IF($A300="","",IFERROR($J300+$E300*($B300*4+$F300),0))</f>
        <v/>
      </c>
      <c r="L300" s="38">
        <f>IF($A300="","",IF($B300="","EKSİK","TAM"))</f>
        <v/>
      </c>
    </row>
    <row r="301">
      <c r="J301" s="38">
        <f>IF($A301="","",IFERROR($B301*$C301+$B301/30*7*$D301,0))</f>
        <v/>
      </c>
      <c r="K301" s="38">
        <f>IF($A301="","",IFERROR($J301+$E301*($B301*4+$F301),0))</f>
        <v/>
      </c>
      <c r="L301" s="38">
        <f>IF($A301="","",IF($B301="","EKSİK","TAM"))</f>
        <v/>
      </c>
    </row>
    <row r="302">
      <c r="J302" s="38">
        <f>IF($A302="","",IFERROR($B302*$C302+$B302/30*7*$D302,0))</f>
        <v/>
      </c>
      <c r="K302" s="38">
        <f>IF($A302="","",IFERROR($J302+$E302*($B302*4+$F302),0))</f>
        <v/>
      </c>
      <c r="L302" s="38">
        <f>IF($A302="","",IF($B302="","EKSİK","TAM"))</f>
        <v/>
      </c>
    </row>
    <row r="303">
      <c r="J303" s="38">
        <f>IF($A303="","",IFERROR($B303*$C303+$B303/30*7*$D303,0))</f>
        <v/>
      </c>
      <c r="K303" s="38">
        <f>IF($A303="","",IFERROR($J303+$E303*($B303*4+$F303),0))</f>
        <v/>
      </c>
      <c r="L303" s="38">
        <f>IF($A303="","",IF($B303="","EKSİK","TAM"))</f>
        <v/>
      </c>
    </row>
    <row r="304">
      <c r="J304" s="38">
        <f>IF($A304="","",IFERROR($B304*$C304+$B304/30*7*$D304,0))</f>
        <v/>
      </c>
      <c r="K304" s="38">
        <f>IF($A304="","",IFERROR($J304+$E304*($B304*4+$F304),0))</f>
        <v/>
      </c>
      <c r="L304" s="38">
        <f>IF($A304="","",IF($B304="","EKSİK","TAM"))</f>
        <v/>
      </c>
    </row>
    <row r="305">
      <c r="J305" s="38">
        <f>IF($A305="","",IFERROR($B305*$C305+$B305/30*7*$D305,0))</f>
        <v/>
      </c>
      <c r="K305" s="38">
        <f>IF($A305="","",IFERROR($J305+$E305*($B305*4+$F305),0))</f>
        <v/>
      </c>
      <c r="L305" s="38">
        <f>IF($A305="","",IF($B305="","EKSİK","TAM"))</f>
        <v/>
      </c>
    </row>
    <row r="306">
      <c r="J306" s="38">
        <f>IF($A306="","",IFERROR($B306*$C306+$B306/30*7*$D306,0))</f>
        <v/>
      </c>
      <c r="K306" s="38">
        <f>IF($A306="","",IFERROR($J306+$E306*($B306*4+$F306),0))</f>
        <v/>
      </c>
      <c r="L306" s="38">
        <f>IF($A306="","",IF($B306="","EKSİK","TAM"))</f>
        <v/>
      </c>
    </row>
    <row r="307">
      <c r="J307" s="38">
        <f>IF($A307="","",IFERROR($B307*$C307+$B307/30*7*$D307,0))</f>
        <v/>
      </c>
      <c r="K307" s="38">
        <f>IF($A307="","",IFERROR($J307+$E307*($B307*4+$F307),0))</f>
        <v/>
      </c>
      <c r="L307" s="38">
        <f>IF($A307="","",IF($B307="","EKSİK","TAM"))</f>
        <v/>
      </c>
    </row>
    <row r="308">
      <c r="J308" s="38">
        <f>IF($A308="","",IFERROR($B308*$C308+$B308/30*7*$D308,0))</f>
        <v/>
      </c>
      <c r="K308" s="38">
        <f>IF($A308="","",IFERROR($J308+$E308*($B308*4+$F308),0))</f>
        <v/>
      </c>
      <c r="L308" s="38">
        <f>IF($A308="","",IF($B308="","EKSİK","TAM"))</f>
        <v/>
      </c>
    </row>
    <row r="309">
      <c r="J309" s="38">
        <f>IF($A309="","",IFERROR($B309*$C309+$B309/30*7*$D309,0))</f>
        <v/>
      </c>
      <c r="K309" s="38">
        <f>IF($A309="","",IFERROR($J309+$E309*($B309*4+$F309),0))</f>
        <v/>
      </c>
      <c r="L309" s="38">
        <f>IF($A309="","",IF($B309="","EKSİK","TAM"))</f>
        <v/>
      </c>
    </row>
    <row r="310">
      <c r="J310" s="38">
        <f>IF($A310="","",IFERROR($B310*$C310+$B310/30*7*$D310,0))</f>
        <v/>
      </c>
      <c r="K310" s="38">
        <f>IF($A310="","",IFERROR($J310+$E310*($B310*4+$F310),0))</f>
        <v/>
      </c>
      <c r="L310" s="38">
        <f>IF($A310="","",IF($B310="","EKSİK","TAM"))</f>
        <v/>
      </c>
    </row>
    <row r="311">
      <c r="J311" s="38">
        <f>IF($A311="","",IFERROR($B311*$C311+$B311/30*7*$D311,0))</f>
        <v/>
      </c>
      <c r="K311" s="38">
        <f>IF($A311="","",IFERROR($J311+$E311*($B311*4+$F311),0))</f>
        <v/>
      </c>
      <c r="L311" s="38">
        <f>IF($A311="","",IF($B311="","EKSİK","TAM"))</f>
        <v/>
      </c>
    </row>
    <row r="312">
      <c r="J312" s="38">
        <f>IF($A312="","",IFERROR($B312*$C312+$B312/30*7*$D312,0))</f>
        <v/>
      </c>
      <c r="K312" s="38">
        <f>IF($A312="","",IFERROR($J312+$E312*($B312*4+$F312),0))</f>
        <v/>
      </c>
      <c r="L312" s="38">
        <f>IF($A312="","",IF($B312="","EKSİK","TAM"))</f>
        <v/>
      </c>
    </row>
    <row r="313">
      <c r="J313" s="38">
        <f>IF($A313="","",IFERROR($B313*$C313+$B313/30*7*$D313,0))</f>
        <v/>
      </c>
      <c r="K313" s="38">
        <f>IF($A313="","",IFERROR($J313+$E313*($B313*4+$F313),0))</f>
        <v/>
      </c>
      <c r="L313" s="38">
        <f>IF($A313="","",IF($B313="","EKSİK","TAM"))</f>
        <v/>
      </c>
    </row>
    <row r="314">
      <c r="J314" s="38">
        <f>IF($A314="","",IFERROR($B314*$C314+$B314/30*7*$D314,0))</f>
        <v/>
      </c>
      <c r="K314" s="38">
        <f>IF($A314="","",IFERROR($J314+$E314*($B314*4+$F314),0))</f>
        <v/>
      </c>
      <c r="L314" s="38">
        <f>IF($A314="","",IF($B314="","EKSİK","TAM"))</f>
        <v/>
      </c>
    </row>
    <row r="315">
      <c r="J315" s="38">
        <f>IF($A315="","",IFERROR($B315*$C315+$B315/30*7*$D315,0))</f>
        <v/>
      </c>
      <c r="K315" s="38">
        <f>IF($A315="","",IFERROR($J315+$E315*($B315*4+$F315),0))</f>
        <v/>
      </c>
      <c r="L315" s="38">
        <f>IF($A315="","",IF($B315="","EKSİK","TAM"))</f>
        <v/>
      </c>
    </row>
    <row r="316">
      <c r="J316" s="38">
        <f>IF($A316="","",IFERROR($B316*$C316+$B316/30*7*$D316,0))</f>
        <v/>
      </c>
      <c r="K316" s="38">
        <f>IF($A316="","",IFERROR($J316+$E316*($B316*4+$F316),0))</f>
        <v/>
      </c>
      <c r="L316" s="38">
        <f>IF($A316="","",IF($B316="","EKSİK","TAM"))</f>
        <v/>
      </c>
    </row>
    <row r="317">
      <c r="J317" s="38">
        <f>IF($A317="","",IFERROR($B317*$C317+$B317/30*7*$D317,0))</f>
        <v/>
      </c>
      <c r="K317" s="38">
        <f>IF($A317="","",IFERROR($J317+$E317*($B317*4+$F317),0))</f>
        <v/>
      </c>
      <c r="L317" s="38">
        <f>IF($A317="","",IF($B317="","EKSİK","TAM"))</f>
        <v/>
      </c>
    </row>
    <row r="318">
      <c r="J318" s="38">
        <f>IF($A318="","",IFERROR($B318*$C318+$B318/30*7*$D318,0))</f>
        <v/>
      </c>
      <c r="K318" s="38">
        <f>IF($A318="","",IFERROR($J318+$E318*($B318*4+$F318),0))</f>
        <v/>
      </c>
      <c r="L318" s="38">
        <f>IF($A318="","",IF($B318="","EKSİK","TAM"))</f>
        <v/>
      </c>
    </row>
    <row r="319">
      <c r="J319" s="38">
        <f>IF($A319="","",IFERROR($B319*$C319+$B319/30*7*$D319,0))</f>
        <v/>
      </c>
      <c r="K319" s="38">
        <f>IF($A319="","",IFERROR($J319+$E319*($B319*4+$F319),0))</f>
        <v/>
      </c>
      <c r="L319" s="38">
        <f>IF($A319="","",IF($B319="","EKSİK","TAM"))</f>
        <v/>
      </c>
    </row>
    <row r="320">
      <c r="J320" s="38">
        <f>IF($A320="","",IFERROR($B320*$C320+$B320/30*7*$D320,0))</f>
        <v/>
      </c>
      <c r="K320" s="38">
        <f>IF($A320="","",IFERROR($J320+$E320*($B320*4+$F320),0))</f>
        <v/>
      </c>
      <c r="L320" s="38">
        <f>IF($A320="","",IF($B320="","EKSİK","TAM"))</f>
        <v/>
      </c>
    </row>
    <row r="321">
      <c r="J321" s="38">
        <f>IF($A321="","",IFERROR($B321*$C321+$B321/30*7*$D321,0))</f>
        <v/>
      </c>
      <c r="K321" s="38">
        <f>IF($A321="","",IFERROR($J321+$E321*($B321*4+$F321),0))</f>
        <v/>
      </c>
      <c r="L321" s="38">
        <f>IF($A321="","",IF($B321="","EKSİK","TAM"))</f>
        <v/>
      </c>
    </row>
    <row r="322">
      <c r="J322" s="38">
        <f>IF($A322="","",IFERROR($B322*$C322+$B322/30*7*$D322,0))</f>
        <v/>
      </c>
      <c r="K322" s="38">
        <f>IF($A322="","",IFERROR($J322+$E322*($B322*4+$F322),0))</f>
        <v/>
      </c>
      <c r="L322" s="38">
        <f>IF($A322="","",IF($B322="","EKSİK","TAM"))</f>
        <v/>
      </c>
    </row>
    <row r="323">
      <c r="J323" s="38">
        <f>IF($A323="","",IFERROR($B323*$C323+$B323/30*7*$D323,0))</f>
        <v/>
      </c>
      <c r="K323" s="38">
        <f>IF($A323="","",IFERROR($J323+$E323*($B323*4+$F323),0))</f>
        <v/>
      </c>
      <c r="L323" s="38">
        <f>IF($A323="","",IF($B323="","EKSİK","TAM"))</f>
        <v/>
      </c>
    </row>
    <row r="324">
      <c r="J324" s="38">
        <f>IF($A324="","",IFERROR($B324*$C324+$B324/30*7*$D324,0))</f>
        <v/>
      </c>
      <c r="K324" s="38">
        <f>IF($A324="","",IFERROR($J324+$E324*($B324*4+$F324),0))</f>
        <v/>
      </c>
      <c r="L324" s="38">
        <f>IF($A324="","",IF($B324="","EKSİK","TAM"))</f>
        <v/>
      </c>
    </row>
    <row r="325">
      <c r="J325" s="38">
        <f>IF($A325="","",IFERROR($B325*$C325+$B325/30*7*$D325,0))</f>
        <v/>
      </c>
      <c r="K325" s="38">
        <f>IF($A325="","",IFERROR($J325+$E325*($B325*4+$F325),0))</f>
        <v/>
      </c>
      <c r="L325" s="38">
        <f>IF($A325="","",IF($B325="","EKSİK","TAM"))</f>
        <v/>
      </c>
    </row>
    <row r="326">
      <c r="J326" s="38">
        <f>IF($A326="","",IFERROR($B326*$C326+$B326/30*7*$D326,0))</f>
        <v/>
      </c>
      <c r="K326" s="38">
        <f>IF($A326="","",IFERROR($J326+$E326*($B326*4+$F326),0))</f>
        <v/>
      </c>
      <c r="L326" s="38">
        <f>IF($A326="","",IF($B326="","EKSİK","TAM"))</f>
        <v/>
      </c>
    </row>
    <row r="327">
      <c r="J327" s="38">
        <f>IF($A327="","",IFERROR($B327*$C327+$B327/30*7*$D327,0))</f>
        <v/>
      </c>
      <c r="K327" s="38">
        <f>IF($A327="","",IFERROR($J327+$E327*($B327*4+$F327),0))</f>
        <v/>
      </c>
      <c r="L327" s="38">
        <f>IF($A327="","",IF($B327="","EKSİK","TAM"))</f>
        <v/>
      </c>
    </row>
    <row r="328">
      <c r="J328" s="38">
        <f>IF($A328="","",IFERROR($B328*$C328+$B328/30*7*$D328,0))</f>
        <v/>
      </c>
      <c r="K328" s="38">
        <f>IF($A328="","",IFERROR($J328+$E328*($B328*4+$F328),0))</f>
        <v/>
      </c>
      <c r="L328" s="38">
        <f>IF($A328="","",IF($B328="","EKSİK","TAM"))</f>
        <v/>
      </c>
    </row>
    <row r="329">
      <c r="J329" s="38">
        <f>IF($A329="","",IFERROR($B329*$C329+$B329/30*7*$D329,0))</f>
        <v/>
      </c>
      <c r="K329" s="38">
        <f>IF($A329="","",IFERROR($J329+$E329*($B329*4+$F329),0))</f>
        <v/>
      </c>
      <c r="L329" s="38">
        <f>IF($A329="","",IF($B329="","EKSİK","TAM"))</f>
        <v/>
      </c>
    </row>
    <row r="330">
      <c r="J330" s="38">
        <f>IF($A330="","",IFERROR($B330*$C330+$B330/30*7*$D330,0))</f>
        <v/>
      </c>
      <c r="K330" s="38">
        <f>IF($A330="","",IFERROR($J330+$E330*($B330*4+$F330),0))</f>
        <v/>
      </c>
      <c r="L330" s="38">
        <f>IF($A330="","",IF($B330="","EKSİK","TAM"))</f>
        <v/>
      </c>
    </row>
    <row r="331">
      <c r="J331" s="38">
        <f>IF($A331="","",IFERROR($B331*$C331+$B331/30*7*$D331,0))</f>
        <v/>
      </c>
      <c r="K331" s="38">
        <f>IF($A331="","",IFERROR($J331+$E331*($B331*4+$F331),0))</f>
        <v/>
      </c>
      <c r="L331" s="38">
        <f>IF($A331="","",IF($B331="","EKSİK","TAM"))</f>
        <v/>
      </c>
    </row>
    <row r="332">
      <c r="J332" s="38">
        <f>IF($A332="","",IFERROR($B332*$C332+$B332/30*7*$D332,0))</f>
        <v/>
      </c>
      <c r="K332" s="38">
        <f>IF($A332="","",IFERROR($J332+$E332*($B332*4+$F332),0))</f>
        <v/>
      </c>
      <c r="L332" s="38">
        <f>IF($A332="","",IF($B332="","EKSİK","TAM"))</f>
        <v/>
      </c>
    </row>
    <row r="333">
      <c r="J333" s="38">
        <f>IF($A333="","",IFERROR($B333*$C333+$B333/30*7*$D333,0))</f>
        <v/>
      </c>
      <c r="K333" s="38">
        <f>IF($A333="","",IFERROR($J333+$E333*($B333*4+$F333),0))</f>
        <v/>
      </c>
      <c r="L333" s="38">
        <f>IF($A333="","",IF($B333="","EKSİK","TAM"))</f>
        <v/>
      </c>
    </row>
    <row r="334">
      <c r="J334" s="38">
        <f>IF($A334="","",IFERROR($B334*$C334+$B334/30*7*$D334,0))</f>
        <v/>
      </c>
      <c r="K334" s="38">
        <f>IF($A334="","",IFERROR($J334+$E334*($B334*4+$F334),0))</f>
        <v/>
      </c>
      <c r="L334" s="38">
        <f>IF($A334="","",IF($B334="","EKSİK","TAM"))</f>
        <v/>
      </c>
    </row>
    <row r="335">
      <c r="J335" s="38">
        <f>IF($A335="","",IFERROR($B335*$C335+$B335/30*7*$D335,0))</f>
        <v/>
      </c>
      <c r="K335" s="38">
        <f>IF($A335="","",IFERROR($J335+$E335*($B335*4+$F335),0))</f>
        <v/>
      </c>
      <c r="L335" s="38">
        <f>IF($A335="","",IF($B335="","EKSİK","TAM"))</f>
        <v/>
      </c>
    </row>
    <row r="336">
      <c r="J336" s="38">
        <f>IF($A336="","",IFERROR($B336*$C336+$B336/30*7*$D336,0))</f>
        <v/>
      </c>
      <c r="K336" s="38">
        <f>IF($A336="","",IFERROR($J336+$E336*($B336*4+$F336),0))</f>
        <v/>
      </c>
      <c r="L336" s="38">
        <f>IF($A336="","",IF($B336="","EKSİK","TAM"))</f>
        <v/>
      </c>
    </row>
    <row r="337">
      <c r="J337" s="38">
        <f>IF($A337="","",IFERROR($B337*$C337+$B337/30*7*$D337,0))</f>
        <v/>
      </c>
      <c r="K337" s="38">
        <f>IF($A337="","",IFERROR($J337+$E337*($B337*4+$F337),0))</f>
        <v/>
      </c>
      <c r="L337" s="38">
        <f>IF($A337="","",IF($B337="","EKSİK","TAM"))</f>
        <v/>
      </c>
    </row>
    <row r="338">
      <c r="J338" s="38">
        <f>IF($A338="","",IFERROR($B338*$C338+$B338/30*7*$D338,0))</f>
        <v/>
      </c>
      <c r="K338" s="38">
        <f>IF($A338="","",IFERROR($J338+$E338*($B338*4+$F338),0))</f>
        <v/>
      </c>
      <c r="L338" s="38">
        <f>IF($A338="","",IF($B338="","EKSİK","TAM"))</f>
        <v/>
      </c>
    </row>
    <row r="339">
      <c r="J339" s="38">
        <f>IF($A339="","",IFERROR($B339*$C339+$B339/30*7*$D339,0))</f>
        <v/>
      </c>
      <c r="K339" s="38">
        <f>IF($A339="","",IFERROR($J339+$E339*($B339*4+$F339),0))</f>
        <v/>
      </c>
      <c r="L339" s="38">
        <f>IF($A339="","",IF($B339="","EKSİK","TAM"))</f>
        <v/>
      </c>
    </row>
    <row r="340">
      <c r="J340" s="38">
        <f>IF($A340="","",IFERROR($B340*$C340+$B340/30*7*$D340,0))</f>
        <v/>
      </c>
      <c r="K340" s="38">
        <f>IF($A340="","",IFERROR($J340+$E340*($B340*4+$F340),0))</f>
        <v/>
      </c>
      <c r="L340" s="38">
        <f>IF($A340="","",IF($B340="","EKSİK","TAM"))</f>
        <v/>
      </c>
    </row>
    <row r="341">
      <c r="J341" s="38">
        <f>IF($A341="","",IFERROR($B341*$C341+$B341/30*7*$D341,0))</f>
        <v/>
      </c>
      <c r="K341" s="38">
        <f>IF($A341="","",IFERROR($J341+$E341*($B341*4+$F341),0))</f>
        <v/>
      </c>
      <c r="L341" s="38">
        <f>IF($A341="","",IF($B341="","EKSİK","TAM"))</f>
        <v/>
      </c>
    </row>
    <row r="342">
      <c r="J342" s="38">
        <f>IF($A342="","",IFERROR($B342*$C342+$B342/30*7*$D342,0))</f>
        <v/>
      </c>
      <c r="K342" s="38">
        <f>IF($A342="","",IFERROR($J342+$E342*($B342*4+$F342),0))</f>
        <v/>
      </c>
      <c r="L342" s="38">
        <f>IF($A342="","",IF($B342="","EKSİK","TAM"))</f>
        <v/>
      </c>
    </row>
    <row r="343">
      <c r="J343" s="38">
        <f>IF($A343="","",IFERROR($B343*$C343+$B343/30*7*$D343,0))</f>
        <v/>
      </c>
      <c r="K343" s="38">
        <f>IF($A343="","",IFERROR($J343+$E343*($B343*4+$F343),0))</f>
        <v/>
      </c>
      <c r="L343" s="38">
        <f>IF($A343="","",IF($B343="","EKSİK","TAM"))</f>
        <v/>
      </c>
    </row>
    <row r="344">
      <c r="J344" s="38">
        <f>IF($A344="","",IFERROR($B344*$C344+$B344/30*7*$D344,0))</f>
        <v/>
      </c>
      <c r="K344" s="38">
        <f>IF($A344="","",IFERROR($J344+$E344*($B344*4+$F344),0))</f>
        <v/>
      </c>
      <c r="L344" s="38">
        <f>IF($A344="","",IF($B344="","EKSİK","TAM"))</f>
        <v/>
      </c>
    </row>
    <row r="345">
      <c r="J345" s="38">
        <f>IF($A345="","",IFERROR($B345*$C345+$B345/30*7*$D345,0))</f>
        <v/>
      </c>
      <c r="K345" s="38">
        <f>IF($A345="","",IFERROR($J345+$E345*($B345*4+$F345),0))</f>
        <v/>
      </c>
      <c r="L345" s="38">
        <f>IF($A345="","",IF($B345="","EKSİK","TAM"))</f>
        <v/>
      </c>
    </row>
    <row r="346">
      <c r="J346" s="38">
        <f>IF($A346="","",IFERROR($B346*$C346+$B346/30*7*$D346,0))</f>
        <v/>
      </c>
      <c r="K346" s="38">
        <f>IF($A346="","",IFERROR($J346+$E346*($B346*4+$F346),0))</f>
        <v/>
      </c>
      <c r="L346" s="38">
        <f>IF($A346="","",IF($B346="","EKSİK","TAM"))</f>
        <v/>
      </c>
    </row>
    <row r="347">
      <c r="J347" s="38">
        <f>IF($A347="","",IFERROR($B347*$C347+$B347/30*7*$D347,0))</f>
        <v/>
      </c>
      <c r="K347" s="38">
        <f>IF($A347="","",IFERROR($J347+$E347*($B347*4+$F347),0))</f>
        <v/>
      </c>
      <c r="L347" s="38">
        <f>IF($A347="","",IF($B347="","EKSİK","TAM"))</f>
        <v/>
      </c>
    </row>
    <row r="348">
      <c r="J348" s="38">
        <f>IF($A348="","",IFERROR($B348*$C348+$B348/30*7*$D348,0))</f>
        <v/>
      </c>
      <c r="K348" s="38">
        <f>IF($A348="","",IFERROR($J348+$E348*($B348*4+$F348),0))</f>
        <v/>
      </c>
      <c r="L348" s="38">
        <f>IF($A348="","",IF($B348="","EKSİK","TAM"))</f>
        <v/>
      </c>
    </row>
    <row r="349">
      <c r="J349" s="38">
        <f>IF($A349="","",IFERROR($B349*$C349+$B349/30*7*$D349,0))</f>
        <v/>
      </c>
      <c r="K349" s="38">
        <f>IF($A349="","",IFERROR($J349+$E349*($B349*4+$F349),0))</f>
        <v/>
      </c>
      <c r="L349" s="38">
        <f>IF($A349="","",IF($B349="","EKSİK","TAM"))</f>
        <v/>
      </c>
    </row>
    <row r="350">
      <c r="J350" s="38">
        <f>IF($A350="","",IFERROR($B350*$C350+$B350/30*7*$D350,0))</f>
        <v/>
      </c>
      <c r="K350" s="38">
        <f>IF($A350="","",IFERROR($J350+$E350*($B350*4+$F350),0))</f>
        <v/>
      </c>
      <c r="L350" s="38">
        <f>IF($A350="","",IF($B350="","EKSİK","TAM"))</f>
        <v/>
      </c>
    </row>
    <row r="351">
      <c r="J351" s="38">
        <f>IF($A351="","",IFERROR($B351*$C351+$B351/30*7*$D351,0))</f>
        <v/>
      </c>
      <c r="K351" s="38">
        <f>IF($A351="","",IFERROR($J351+$E351*($B351*4+$F351),0))</f>
        <v/>
      </c>
      <c r="L351" s="38">
        <f>IF($A351="","",IF($B351="","EKSİK","TAM"))</f>
        <v/>
      </c>
    </row>
    <row r="352">
      <c r="J352" s="38">
        <f>IF($A352="","",IFERROR($B352*$C352+$B352/30*7*$D352,0))</f>
        <v/>
      </c>
      <c r="K352" s="38">
        <f>IF($A352="","",IFERROR($J352+$E352*($B352*4+$F352),0))</f>
        <v/>
      </c>
      <c r="L352" s="38">
        <f>IF($A352="","",IF($B352="","EKSİK","TAM"))</f>
        <v/>
      </c>
    </row>
    <row r="353">
      <c r="J353" s="38">
        <f>IF($A353="","",IFERROR($B353*$C353+$B353/30*7*$D353,0))</f>
        <v/>
      </c>
      <c r="K353" s="38">
        <f>IF($A353="","",IFERROR($J353+$E353*($B353*4+$F353),0))</f>
        <v/>
      </c>
      <c r="L353" s="38">
        <f>IF($A353="","",IF($B353="","EKSİK","TAM"))</f>
        <v/>
      </c>
    </row>
    <row r="354">
      <c r="J354" s="38">
        <f>IF($A354="","",IFERROR($B354*$C354+$B354/30*7*$D354,0))</f>
        <v/>
      </c>
      <c r="K354" s="38">
        <f>IF($A354="","",IFERROR($J354+$E354*($B354*4+$F354),0))</f>
        <v/>
      </c>
      <c r="L354" s="38">
        <f>IF($A354="","",IF($B354="","EKSİK","TAM"))</f>
        <v/>
      </c>
    </row>
    <row r="355">
      <c r="J355" s="38">
        <f>IF($A355="","",IFERROR($B355*$C355+$B355/30*7*$D355,0))</f>
        <v/>
      </c>
      <c r="K355" s="38">
        <f>IF($A355="","",IFERROR($J355+$E355*($B355*4+$F355),0))</f>
        <v/>
      </c>
      <c r="L355" s="38">
        <f>IF($A355="","",IF($B355="","EKSİK","TAM"))</f>
        <v/>
      </c>
    </row>
    <row r="356">
      <c r="J356" s="38">
        <f>IF($A356="","",IFERROR($B356*$C356+$B356/30*7*$D356,0))</f>
        <v/>
      </c>
      <c r="K356" s="38">
        <f>IF($A356="","",IFERROR($J356+$E356*($B356*4+$F356),0))</f>
        <v/>
      </c>
      <c r="L356" s="38">
        <f>IF($A356="","",IF($B356="","EKSİK","TAM"))</f>
        <v/>
      </c>
    </row>
    <row r="357">
      <c r="J357" s="38">
        <f>IF($A357="","",IFERROR($B357*$C357+$B357/30*7*$D357,0))</f>
        <v/>
      </c>
      <c r="K357" s="38">
        <f>IF($A357="","",IFERROR($J357+$E357*($B357*4+$F357),0))</f>
        <v/>
      </c>
      <c r="L357" s="38">
        <f>IF($A357="","",IF($B357="","EKSİK","TAM"))</f>
        <v/>
      </c>
    </row>
    <row r="358">
      <c r="J358" s="38">
        <f>IF($A358="","",IFERROR($B358*$C358+$B358/30*7*$D358,0))</f>
        <v/>
      </c>
      <c r="K358" s="38">
        <f>IF($A358="","",IFERROR($J358+$E358*($B358*4+$F358),0))</f>
        <v/>
      </c>
      <c r="L358" s="38">
        <f>IF($A358="","",IF($B358="","EKSİK","TAM"))</f>
        <v/>
      </c>
    </row>
    <row r="359">
      <c r="J359" s="38">
        <f>IF($A359="","",IFERROR($B359*$C359+$B359/30*7*$D359,0))</f>
        <v/>
      </c>
      <c r="K359" s="38">
        <f>IF($A359="","",IFERROR($J359+$E359*($B359*4+$F359),0))</f>
        <v/>
      </c>
      <c r="L359" s="38">
        <f>IF($A359="","",IF($B359="","EKSİK","TAM"))</f>
        <v/>
      </c>
    </row>
    <row r="360">
      <c r="J360" s="38">
        <f>IF($A360="","",IFERROR($B360*$C360+$B360/30*7*$D360,0))</f>
        <v/>
      </c>
      <c r="K360" s="38">
        <f>IF($A360="","",IFERROR($J360+$E360*($B360*4+$F360),0))</f>
        <v/>
      </c>
      <c r="L360" s="38">
        <f>IF($A360="","",IF($B360="","EKSİK","TAM"))</f>
        <v/>
      </c>
    </row>
    <row r="361">
      <c r="J361" s="38">
        <f>IF($A361="","",IFERROR($B361*$C361+$B361/30*7*$D361,0))</f>
        <v/>
      </c>
      <c r="K361" s="38">
        <f>IF($A361="","",IFERROR($J361+$E361*($B361*4+$F361),0))</f>
        <v/>
      </c>
      <c r="L361" s="38">
        <f>IF($A361="","",IF($B361="","EKSİK","TAM"))</f>
        <v/>
      </c>
    </row>
    <row r="362">
      <c r="J362" s="38">
        <f>IF($A362="","",IFERROR($B362*$C362+$B362/30*7*$D362,0))</f>
        <v/>
      </c>
      <c r="K362" s="38">
        <f>IF($A362="","",IFERROR($J362+$E362*($B362*4+$F362),0))</f>
        <v/>
      </c>
      <c r="L362" s="38">
        <f>IF($A362="","",IF($B362="","EKSİK","TAM"))</f>
        <v/>
      </c>
    </row>
    <row r="363">
      <c r="J363" s="38">
        <f>IF($A363="","",IFERROR($B363*$C363+$B363/30*7*$D363,0))</f>
        <v/>
      </c>
      <c r="K363" s="38">
        <f>IF($A363="","",IFERROR($J363+$E363*($B363*4+$F363),0))</f>
        <v/>
      </c>
      <c r="L363" s="38">
        <f>IF($A363="","",IF($B363="","EKSİK","TAM"))</f>
        <v/>
      </c>
    </row>
    <row r="364">
      <c r="J364" s="38">
        <f>IF($A364="","",IFERROR($B364*$C364+$B364/30*7*$D364,0))</f>
        <v/>
      </c>
      <c r="K364" s="38">
        <f>IF($A364="","",IFERROR($J364+$E364*($B364*4+$F364),0))</f>
        <v/>
      </c>
      <c r="L364" s="38">
        <f>IF($A364="","",IF($B364="","EKSİK","TAM"))</f>
        <v/>
      </c>
    </row>
    <row r="365">
      <c r="J365" s="38">
        <f>IF($A365="","",IFERROR($B365*$C365+$B365/30*7*$D365,0))</f>
        <v/>
      </c>
      <c r="K365" s="38">
        <f>IF($A365="","",IFERROR($J365+$E365*($B365*4+$F365),0))</f>
        <v/>
      </c>
      <c r="L365" s="38">
        <f>IF($A365="","",IF($B365="","EKSİK","TAM"))</f>
        <v/>
      </c>
    </row>
    <row r="366">
      <c r="J366" s="38">
        <f>IF($A366="","",IFERROR($B366*$C366+$B366/30*7*$D366,0))</f>
        <v/>
      </c>
      <c r="K366" s="38">
        <f>IF($A366="","",IFERROR($J366+$E366*($B366*4+$F366),0))</f>
        <v/>
      </c>
      <c r="L366" s="38">
        <f>IF($A366="","",IF($B366="","EKSİK","TAM"))</f>
        <v/>
      </c>
    </row>
    <row r="367">
      <c r="J367" s="38">
        <f>IF($A367="","",IFERROR($B367*$C367+$B367/30*7*$D367,0))</f>
        <v/>
      </c>
      <c r="K367" s="38">
        <f>IF($A367="","",IFERROR($J367+$E367*($B367*4+$F367),0))</f>
        <v/>
      </c>
      <c r="L367" s="38">
        <f>IF($A367="","",IF($B367="","EKSİK","TAM"))</f>
        <v/>
      </c>
    </row>
    <row r="368">
      <c r="J368" s="38">
        <f>IF($A368="","",IFERROR($B368*$C368+$B368/30*7*$D368,0))</f>
        <v/>
      </c>
      <c r="K368" s="38">
        <f>IF($A368="","",IFERROR($J368+$E368*($B368*4+$F368),0))</f>
        <v/>
      </c>
      <c r="L368" s="38">
        <f>IF($A368="","",IF($B368="","EKSİK","TAM"))</f>
        <v/>
      </c>
    </row>
    <row r="369">
      <c r="J369" s="38">
        <f>IF($A369="","",IFERROR($B369*$C369+$B369/30*7*$D369,0))</f>
        <v/>
      </c>
      <c r="K369" s="38">
        <f>IF($A369="","",IFERROR($J369+$E369*($B369*4+$F369),0))</f>
        <v/>
      </c>
      <c r="L369" s="38">
        <f>IF($A369="","",IF($B369="","EKSİK","TAM"))</f>
        <v/>
      </c>
    </row>
    <row r="370">
      <c r="J370" s="38">
        <f>IF($A370="","",IFERROR($B370*$C370+$B370/30*7*$D370,0))</f>
        <v/>
      </c>
      <c r="K370" s="38">
        <f>IF($A370="","",IFERROR($J370+$E370*($B370*4+$F370),0))</f>
        <v/>
      </c>
      <c r="L370" s="38">
        <f>IF($A370="","",IF($B370="","EKSİK","TAM"))</f>
        <v/>
      </c>
    </row>
    <row r="371">
      <c r="J371" s="38">
        <f>IF($A371="","",IFERROR($B371*$C371+$B371/30*7*$D371,0))</f>
        <v/>
      </c>
      <c r="K371" s="38">
        <f>IF($A371="","",IFERROR($J371+$E371*($B371*4+$F371),0))</f>
        <v/>
      </c>
      <c r="L371" s="38">
        <f>IF($A371="","",IF($B371="","EKSİK","TAM"))</f>
        <v/>
      </c>
    </row>
    <row r="372">
      <c r="J372" s="38">
        <f>IF($A372="","",IFERROR($B372*$C372+$B372/30*7*$D372,0))</f>
        <v/>
      </c>
      <c r="K372" s="38">
        <f>IF($A372="","",IFERROR($J372+$E372*($B372*4+$F372),0))</f>
        <v/>
      </c>
      <c r="L372" s="38">
        <f>IF($A372="","",IF($B372="","EKSİK","TAM"))</f>
        <v/>
      </c>
    </row>
    <row r="373">
      <c r="J373" s="38">
        <f>IF($A373="","",IFERROR($B373*$C373+$B373/30*7*$D373,0))</f>
        <v/>
      </c>
      <c r="K373" s="38">
        <f>IF($A373="","",IFERROR($J373+$E373*($B373*4+$F373),0))</f>
        <v/>
      </c>
      <c r="L373" s="38">
        <f>IF($A373="","",IF($B373="","EKSİK","TAM"))</f>
        <v/>
      </c>
    </row>
    <row r="374">
      <c r="J374" s="38">
        <f>IF($A374="","",IFERROR($B374*$C374+$B374/30*7*$D374,0))</f>
        <v/>
      </c>
      <c r="K374" s="38">
        <f>IF($A374="","",IFERROR($J374+$E374*($B374*4+$F374),0))</f>
        <v/>
      </c>
      <c r="L374" s="38">
        <f>IF($A374="","",IF($B374="","EKSİK","TAM"))</f>
        <v/>
      </c>
    </row>
    <row r="375">
      <c r="J375" s="38">
        <f>IF($A375="","",IFERROR($B375*$C375+$B375/30*7*$D375,0))</f>
        <v/>
      </c>
      <c r="K375" s="38">
        <f>IF($A375="","",IFERROR($J375+$E375*($B375*4+$F375),0))</f>
        <v/>
      </c>
      <c r="L375" s="38">
        <f>IF($A375="","",IF($B375="","EKSİK","TAM"))</f>
        <v/>
      </c>
    </row>
    <row r="376">
      <c r="J376" s="38">
        <f>IF($A376="","",IFERROR($B376*$C376+$B376/30*7*$D376,0))</f>
        <v/>
      </c>
      <c r="K376" s="38">
        <f>IF($A376="","",IFERROR($J376+$E376*($B376*4+$F376),0))</f>
        <v/>
      </c>
      <c r="L376" s="38">
        <f>IF($A376="","",IF($B376="","EKSİK","TAM"))</f>
        <v/>
      </c>
    </row>
    <row r="377">
      <c r="J377" s="38">
        <f>IF($A377="","",IFERROR($B377*$C377+$B377/30*7*$D377,0))</f>
        <v/>
      </c>
      <c r="K377" s="38">
        <f>IF($A377="","",IFERROR($J377+$E377*($B377*4+$F377),0))</f>
        <v/>
      </c>
      <c r="L377" s="38">
        <f>IF($A377="","",IF($B377="","EKSİK","TAM"))</f>
        <v/>
      </c>
    </row>
    <row r="378">
      <c r="J378" s="38">
        <f>IF($A378="","",IFERROR($B378*$C378+$B378/30*7*$D378,0))</f>
        <v/>
      </c>
      <c r="K378" s="38">
        <f>IF($A378="","",IFERROR($J378+$E378*($B378*4+$F378),0))</f>
        <v/>
      </c>
      <c r="L378" s="38">
        <f>IF($A378="","",IF($B378="","EKSİK","TAM"))</f>
        <v/>
      </c>
    </row>
    <row r="379">
      <c r="J379" s="38">
        <f>IF($A379="","",IFERROR($B379*$C379+$B379/30*7*$D379,0))</f>
        <v/>
      </c>
      <c r="K379" s="38">
        <f>IF($A379="","",IFERROR($J379+$E379*($B379*4+$F379),0))</f>
        <v/>
      </c>
      <c r="L379" s="38">
        <f>IF($A379="","",IF($B379="","EKSİK","TAM"))</f>
        <v/>
      </c>
    </row>
    <row r="380">
      <c r="J380" s="38">
        <f>IF($A380="","",IFERROR($B380*$C380+$B380/30*7*$D380,0))</f>
        <v/>
      </c>
      <c r="K380" s="38">
        <f>IF($A380="","",IFERROR($J380+$E380*($B380*4+$F380),0))</f>
        <v/>
      </c>
      <c r="L380" s="38">
        <f>IF($A380="","",IF($B380="","EKSİK","TAM"))</f>
        <v/>
      </c>
    </row>
    <row r="381">
      <c r="J381" s="38">
        <f>IF($A381="","",IFERROR($B381*$C381+$B381/30*7*$D381,0))</f>
        <v/>
      </c>
      <c r="K381" s="38">
        <f>IF($A381="","",IFERROR($J381+$E381*($B381*4+$F381),0))</f>
        <v/>
      </c>
      <c r="L381" s="38">
        <f>IF($A381="","",IF($B381="","EKSİK","TAM"))</f>
        <v/>
      </c>
    </row>
    <row r="382">
      <c r="J382" s="38">
        <f>IF($A382="","",IFERROR($B382*$C382+$B382/30*7*$D382,0))</f>
        <v/>
      </c>
      <c r="K382" s="38">
        <f>IF($A382="","",IFERROR($J382+$E382*($B382*4+$F382),0))</f>
        <v/>
      </c>
      <c r="L382" s="38">
        <f>IF($A382="","",IF($B382="","EKSİK","TAM"))</f>
        <v/>
      </c>
    </row>
    <row r="383">
      <c r="J383" s="38">
        <f>IF($A383="","",IFERROR($B383*$C383+$B383/30*7*$D383,0))</f>
        <v/>
      </c>
      <c r="K383" s="38">
        <f>IF($A383="","",IFERROR($J383+$E383*($B383*4+$F383),0))</f>
        <v/>
      </c>
      <c r="L383" s="38">
        <f>IF($A383="","",IF($B383="","EKSİK","TAM"))</f>
        <v/>
      </c>
    </row>
    <row r="384">
      <c r="J384" s="38">
        <f>IF($A384="","",IFERROR($B384*$C384+$B384/30*7*$D384,0))</f>
        <v/>
      </c>
      <c r="K384" s="38">
        <f>IF($A384="","",IFERROR($J384+$E384*($B384*4+$F384),0))</f>
        <v/>
      </c>
      <c r="L384" s="38">
        <f>IF($A384="","",IF($B384="","EKSİK","TAM"))</f>
        <v/>
      </c>
    </row>
    <row r="385">
      <c r="J385" s="38">
        <f>IF($A385="","",IFERROR($B385*$C385+$B385/30*7*$D385,0))</f>
        <v/>
      </c>
      <c r="K385" s="38">
        <f>IF($A385="","",IFERROR($J385+$E385*($B385*4+$F385),0))</f>
        <v/>
      </c>
      <c r="L385" s="38">
        <f>IF($A385="","",IF($B385="","EKSİK","TAM"))</f>
        <v/>
      </c>
    </row>
    <row r="386">
      <c r="J386" s="38">
        <f>IF($A386="","",IFERROR($B386*$C386+$B386/30*7*$D386,0))</f>
        <v/>
      </c>
      <c r="K386" s="38">
        <f>IF($A386="","",IFERROR($J386+$E386*($B386*4+$F386),0))</f>
        <v/>
      </c>
      <c r="L386" s="38">
        <f>IF($A386="","",IF($B386="","EKSİK","TAM"))</f>
        <v/>
      </c>
    </row>
    <row r="387">
      <c r="J387" s="38">
        <f>IF($A387="","",IFERROR($B387*$C387+$B387/30*7*$D387,0))</f>
        <v/>
      </c>
      <c r="K387" s="38">
        <f>IF($A387="","",IFERROR($J387+$E387*($B387*4+$F387),0))</f>
        <v/>
      </c>
      <c r="L387" s="38">
        <f>IF($A387="","",IF($B387="","EKSİK","TAM"))</f>
        <v/>
      </c>
    </row>
    <row r="388">
      <c r="J388" s="38">
        <f>IF($A388="","",IFERROR($B388*$C388+$B388/30*7*$D388,0))</f>
        <v/>
      </c>
      <c r="K388" s="38">
        <f>IF($A388="","",IFERROR($J388+$E388*($B388*4+$F388),0))</f>
        <v/>
      </c>
      <c r="L388" s="38">
        <f>IF($A388="","",IF($B388="","EKSİK","TAM"))</f>
        <v/>
      </c>
    </row>
    <row r="389">
      <c r="J389" s="38">
        <f>IF($A389="","",IFERROR($B389*$C389+$B389/30*7*$D389,0))</f>
        <v/>
      </c>
      <c r="K389" s="38">
        <f>IF($A389="","",IFERROR($J389+$E389*($B389*4+$F389),0))</f>
        <v/>
      </c>
      <c r="L389" s="38">
        <f>IF($A389="","",IF($B389="","EKSİK","TAM"))</f>
        <v/>
      </c>
    </row>
    <row r="390">
      <c r="J390" s="38">
        <f>IF($A390="","",IFERROR($B390*$C390+$B390/30*7*$D390,0))</f>
        <v/>
      </c>
      <c r="K390" s="38">
        <f>IF($A390="","",IFERROR($J390+$E390*($B390*4+$F390),0))</f>
        <v/>
      </c>
      <c r="L390" s="38">
        <f>IF($A390="","",IF($B390="","EKSİK","TAM"))</f>
        <v/>
      </c>
    </row>
    <row r="391">
      <c r="J391" s="38">
        <f>IF($A391="","",IFERROR($B391*$C391+$B391/30*7*$D391,0))</f>
        <v/>
      </c>
      <c r="K391" s="38">
        <f>IF($A391="","",IFERROR($J391+$E391*($B391*4+$F391),0))</f>
        <v/>
      </c>
      <c r="L391" s="38">
        <f>IF($A391="","",IF($B391="","EKSİK","TAM"))</f>
        <v/>
      </c>
    </row>
    <row r="392">
      <c r="J392" s="38">
        <f>IF($A392="","",IFERROR($B392*$C392+$B392/30*7*$D392,0))</f>
        <v/>
      </c>
      <c r="K392" s="38">
        <f>IF($A392="","",IFERROR($J392+$E392*($B392*4+$F392),0))</f>
        <v/>
      </c>
      <c r="L392" s="38">
        <f>IF($A392="","",IF($B392="","EKSİK","TAM"))</f>
        <v/>
      </c>
    </row>
    <row r="393">
      <c r="J393" s="38">
        <f>IF($A393="","",IFERROR($B393*$C393+$B393/30*7*$D393,0))</f>
        <v/>
      </c>
      <c r="K393" s="38">
        <f>IF($A393="","",IFERROR($J393+$E393*($B393*4+$F393),0))</f>
        <v/>
      </c>
      <c r="L393" s="38">
        <f>IF($A393="","",IF($B393="","EKSİK","TAM"))</f>
        <v/>
      </c>
    </row>
    <row r="394">
      <c r="J394" s="38">
        <f>IF($A394="","",IFERROR($B394*$C394+$B394/30*7*$D394,0))</f>
        <v/>
      </c>
      <c r="K394" s="38">
        <f>IF($A394="","",IFERROR($J394+$E394*($B394*4+$F394),0))</f>
        <v/>
      </c>
      <c r="L394" s="38">
        <f>IF($A394="","",IF($B394="","EKSİK","TAM"))</f>
        <v/>
      </c>
    </row>
    <row r="395">
      <c r="J395" s="38">
        <f>IF($A395="","",IFERROR($B395*$C395+$B395/30*7*$D395,0))</f>
        <v/>
      </c>
      <c r="K395" s="38">
        <f>IF($A395="","",IFERROR($J395+$E395*($B395*4+$F395),0))</f>
        <v/>
      </c>
      <c r="L395" s="38">
        <f>IF($A395="","",IF($B395="","EKSİK","TAM"))</f>
        <v/>
      </c>
    </row>
    <row r="396">
      <c r="J396" s="38">
        <f>IF($A396="","",IFERROR($B396*$C396+$B396/30*7*$D396,0))</f>
        <v/>
      </c>
      <c r="K396" s="38">
        <f>IF($A396="","",IFERROR($J396+$E396*($B396*4+$F396),0))</f>
        <v/>
      </c>
      <c r="L396" s="38">
        <f>IF($A396="","",IF($B396="","EKSİK","TAM"))</f>
        <v/>
      </c>
    </row>
    <row r="397">
      <c r="J397" s="38">
        <f>IF($A397="","",IFERROR($B397*$C397+$B397/30*7*$D397,0))</f>
        <v/>
      </c>
      <c r="K397" s="38">
        <f>IF($A397="","",IFERROR($J397+$E397*($B397*4+$F397),0))</f>
        <v/>
      </c>
      <c r="L397" s="38">
        <f>IF($A397="","",IF($B397="","EKSİK","TAM"))</f>
        <v/>
      </c>
    </row>
    <row r="398">
      <c r="J398" s="38">
        <f>IF($A398="","",IFERROR($B398*$C398+$B398/30*7*$D398,0))</f>
        <v/>
      </c>
      <c r="K398" s="38">
        <f>IF($A398="","",IFERROR($J398+$E398*($B398*4+$F398),0))</f>
        <v/>
      </c>
      <c r="L398" s="38">
        <f>IF($A398="","",IF($B398="","EKSİK","TAM"))</f>
        <v/>
      </c>
    </row>
    <row r="399">
      <c r="J399" s="38">
        <f>IF($A399="","",IFERROR($B399*$C399+$B399/30*7*$D399,0))</f>
        <v/>
      </c>
      <c r="K399" s="38">
        <f>IF($A399="","",IFERROR($J399+$E399*($B399*4+$F399),0))</f>
        <v/>
      </c>
      <c r="L399" s="38">
        <f>IF($A399="","",IF($B399="","EKSİK","TAM"))</f>
        <v/>
      </c>
    </row>
    <row r="400">
      <c r="J400" s="38">
        <f>IF($A400="","",IFERROR($B400*$C400+$B400/30*7*$D400,0))</f>
        <v/>
      </c>
      <c r="K400" s="38">
        <f>IF($A400="","",IFERROR($J400+$E400*($B400*4+$F400),0))</f>
        <v/>
      </c>
      <c r="L400" s="38">
        <f>IF($A400="","",IF($B400="","EKSİK","TAM"))</f>
        <v/>
      </c>
    </row>
    <row r="401">
      <c r="J401" s="38">
        <f>IF($A401="","",IFERROR($B401*$C401+$B401/30*7*$D401,0))</f>
        <v/>
      </c>
      <c r="K401" s="38">
        <f>IF($A401="","",IFERROR($J401+$E401*($B401*4+$F401),0))</f>
        <v/>
      </c>
      <c r="L401" s="38">
        <f>IF($A401="","",IF($B401="","EKSİK","TAM"))</f>
        <v/>
      </c>
    </row>
    <row r="402">
      <c r="J402" s="38">
        <f>IF($A402="","",IFERROR($B402*$C402+$B402/30*7*$D402,0))</f>
        <v/>
      </c>
      <c r="K402" s="38">
        <f>IF($A402="","",IFERROR($J402+$E402*($B402*4+$F402),0))</f>
        <v/>
      </c>
      <c r="L402" s="38">
        <f>IF($A402="","",IF($B402="","EKSİK","TAM"))</f>
        <v/>
      </c>
    </row>
    <row r="403">
      <c r="J403" s="38">
        <f>IF($A403="","",IFERROR($B403*$C403+$B403/30*7*$D403,0))</f>
        <v/>
      </c>
      <c r="K403" s="38">
        <f>IF($A403="","",IFERROR($J403+$E403*($B403*4+$F403),0))</f>
        <v/>
      </c>
      <c r="L403" s="38">
        <f>IF($A403="","",IF($B403="","EKSİK","TAM"))</f>
        <v/>
      </c>
    </row>
    <row r="404">
      <c r="J404" s="38">
        <f>IF($A404="","",IFERROR($B404*$C404+$B404/30*7*$D404,0))</f>
        <v/>
      </c>
      <c r="K404" s="38">
        <f>IF($A404="","",IFERROR($J404+$E404*($B404*4+$F404),0))</f>
        <v/>
      </c>
      <c r="L404" s="38">
        <f>IF($A404="","",IF($B404="","EKSİK","TAM"))</f>
        <v/>
      </c>
    </row>
    <row r="405">
      <c r="J405" s="38">
        <f>IF($A405="","",IFERROR($B405*$C405+$B405/30*7*$D405,0))</f>
        <v/>
      </c>
      <c r="K405" s="38">
        <f>IF($A405="","",IFERROR($J405+$E405*($B405*4+$F405),0))</f>
        <v/>
      </c>
      <c r="L405" s="38">
        <f>IF($A405="","",IF($B405="","EKSİK","TAM"))</f>
        <v/>
      </c>
    </row>
    <row r="406">
      <c r="J406" s="38">
        <f>IF($A406="","",IFERROR($B406*$C406+$B406/30*7*$D406,0))</f>
        <v/>
      </c>
      <c r="K406" s="38">
        <f>IF($A406="","",IFERROR($J406+$E406*($B406*4+$F406),0))</f>
        <v/>
      </c>
      <c r="L406" s="38">
        <f>IF($A406="","",IF($B406="","EKSİK","TAM"))</f>
        <v/>
      </c>
    </row>
    <row r="407">
      <c r="J407" s="38">
        <f>IF($A407="","",IFERROR($B407*$C407+$B407/30*7*$D407,0))</f>
        <v/>
      </c>
      <c r="K407" s="38">
        <f>IF($A407="","",IFERROR($J407+$E407*($B407*4+$F407),0))</f>
        <v/>
      </c>
      <c r="L407" s="38">
        <f>IF($A407="","",IF($B407="","EKSİK","TAM"))</f>
        <v/>
      </c>
    </row>
    <row r="408">
      <c r="J408" s="38">
        <f>IF($A408="","",IFERROR($B408*$C408+$B408/30*7*$D408,0))</f>
        <v/>
      </c>
      <c r="K408" s="38">
        <f>IF($A408="","",IFERROR($J408+$E408*($B408*4+$F408),0))</f>
        <v/>
      </c>
      <c r="L408" s="38">
        <f>IF($A408="","",IF($B408="","EKSİK","TAM"))</f>
        <v/>
      </c>
    </row>
    <row r="409">
      <c r="J409" s="38">
        <f>IF($A409="","",IFERROR($B409*$C409+$B409/30*7*$D409,0))</f>
        <v/>
      </c>
      <c r="K409" s="38">
        <f>IF($A409="","",IFERROR($J409+$E409*($B409*4+$F409),0))</f>
        <v/>
      </c>
      <c r="L409" s="38">
        <f>IF($A409="","",IF($B409="","EKSİK","TAM"))</f>
        <v/>
      </c>
    </row>
    <row r="410">
      <c r="J410" s="38">
        <f>IF($A410="","",IFERROR($B410*$C410+$B410/30*7*$D410,0))</f>
        <v/>
      </c>
      <c r="K410" s="38">
        <f>IF($A410="","",IFERROR($J410+$E410*($B410*4+$F410),0))</f>
        <v/>
      </c>
      <c r="L410" s="38">
        <f>IF($A410="","",IF($B410="","EKSİK","TAM"))</f>
        <v/>
      </c>
    </row>
    <row r="411">
      <c r="J411" s="38">
        <f>IF($A411="","",IFERROR($B411*$C411+$B411/30*7*$D411,0))</f>
        <v/>
      </c>
      <c r="K411" s="38">
        <f>IF($A411="","",IFERROR($J411+$E411*($B411*4+$F411),0))</f>
        <v/>
      </c>
      <c r="L411" s="38">
        <f>IF($A411="","",IF($B411="","EKSİK","TAM"))</f>
        <v/>
      </c>
    </row>
    <row r="412">
      <c r="J412" s="38">
        <f>IF($A412="","",IFERROR($B412*$C412+$B412/30*7*$D412,0))</f>
        <v/>
      </c>
      <c r="K412" s="38">
        <f>IF($A412="","",IFERROR($J412+$E412*($B412*4+$F412),0))</f>
        <v/>
      </c>
      <c r="L412" s="38">
        <f>IF($A412="","",IF($B412="","EKSİK","TAM"))</f>
        <v/>
      </c>
    </row>
    <row r="413">
      <c r="J413" s="38">
        <f>IF($A413="","",IFERROR($B413*$C413+$B413/30*7*$D413,0))</f>
        <v/>
      </c>
      <c r="K413" s="38">
        <f>IF($A413="","",IFERROR($J413+$E413*($B413*4+$F413),0))</f>
        <v/>
      </c>
      <c r="L413" s="38">
        <f>IF($A413="","",IF($B413="","EKSİK","TAM"))</f>
        <v/>
      </c>
    </row>
    <row r="414">
      <c r="J414" s="38">
        <f>IF($A414="","",IFERROR($B414*$C414+$B414/30*7*$D414,0))</f>
        <v/>
      </c>
      <c r="K414" s="38">
        <f>IF($A414="","",IFERROR($J414+$E414*($B414*4+$F414),0))</f>
        <v/>
      </c>
      <c r="L414" s="38">
        <f>IF($A414="","",IF($B414="","EKSİK","TAM"))</f>
        <v/>
      </c>
    </row>
    <row r="415">
      <c r="J415" s="38">
        <f>IF($A415="","",IFERROR($B415*$C415+$B415/30*7*$D415,0))</f>
        <v/>
      </c>
      <c r="K415" s="38">
        <f>IF($A415="","",IFERROR($J415+$E415*($B415*4+$F415),0))</f>
        <v/>
      </c>
      <c r="L415" s="38">
        <f>IF($A415="","",IF($B415="","EKSİK","TAM"))</f>
        <v/>
      </c>
    </row>
    <row r="416">
      <c r="J416" s="38">
        <f>IF($A416="","",IFERROR($B416*$C416+$B416/30*7*$D416,0))</f>
        <v/>
      </c>
      <c r="K416" s="38">
        <f>IF($A416="","",IFERROR($J416+$E416*($B416*4+$F416),0))</f>
        <v/>
      </c>
      <c r="L416" s="38">
        <f>IF($A416="","",IF($B416="","EKSİK","TAM"))</f>
        <v/>
      </c>
    </row>
    <row r="417">
      <c r="J417" s="38">
        <f>IF($A417="","",IFERROR($B417*$C417+$B417/30*7*$D417,0))</f>
        <v/>
      </c>
      <c r="K417" s="38">
        <f>IF($A417="","",IFERROR($J417+$E417*($B417*4+$F417),0))</f>
        <v/>
      </c>
      <c r="L417" s="38">
        <f>IF($A417="","",IF($B417="","EKSİK","TAM"))</f>
        <v/>
      </c>
    </row>
    <row r="418">
      <c r="J418" s="38">
        <f>IF($A418="","",IFERROR($B418*$C418+$B418/30*7*$D418,0))</f>
        <v/>
      </c>
      <c r="K418" s="38">
        <f>IF($A418="","",IFERROR($J418+$E418*($B418*4+$F418),0))</f>
        <v/>
      </c>
      <c r="L418" s="38">
        <f>IF($A418="","",IF($B418="","EKSİK","TAM"))</f>
        <v/>
      </c>
    </row>
    <row r="419">
      <c r="J419" s="38">
        <f>IF($A419="","",IFERROR($B419*$C419+$B419/30*7*$D419,0))</f>
        <v/>
      </c>
      <c r="K419" s="38">
        <f>IF($A419="","",IFERROR($J419+$E419*($B419*4+$F419),0))</f>
        <v/>
      </c>
      <c r="L419" s="38">
        <f>IF($A419="","",IF($B419="","EKSİK","TAM"))</f>
        <v/>
      </c>
    </row>
    <row r="420">
      <c r="J420" s="38">
        <f>IF($A420="","",IFERROR($B420*$C420+$B420/30*7*$D420,0))</f>
        <v/>
      </c>
      <c r="K420" s="38">
        <f>IF($A420="","",IFERROR($J420+$E420*($B420*4+$F420),0))</f>
        <v/>
      </c>
      <c r="L420" s="38">
        <f>IF($A420="","",IF($B420="","EKSİK","TAM"))</f>
        <v/>
      </c>
    </row>
    <row r="421">
      <c r="J421" s="38">
        <f>IF($A421="","",IFERROR($B421*$C421+$B421/30*7*$D421,0))</f>
        <v/>
      </c>
      <c r="K421" s="38">
        <f>IF($A421="","",IFERROR($J421+$E421*($B421*4+$F421),0))</f>
        <v/>
      </c>
      <c r="L421" s="38">
        <f>IF($A421="","",IF($B421="","EKSİK","TAM"))</f>
        <v/>
      </c>
    </row>
    <row r="422">
      <c r="J422" s="38">
        <f>IF($A422="","",IFERROR($B422*$C422+$B422/30*7*$D422,0))</f>
        <v/>
      </c>
      <c r="K422" s="38">
        <f>IF($A422="","",IFERROR($J422+$E422*($B422*4+$F422),0))</f>
        <v/>
      </c>
      <c r="L422" s="38">
        <f>IF($A422="","",IF($B422="","EKSİK","TAM"))</f>
        <v/>
      </c>
    </row>
    <row r="423">
      <c r="J423" s="38">
        <f>IF($A423="","",IFERROR($B423*$C423+$B423/30*7*$D423,0))</f>
        <v/>
      </c>
      <c r="K423" s="38">
        <f>IF($A423="","",IFERROR($J423+$E423*($B423*4+$F423),0))</f>
        <v/>
      </c>
      <c r="L423" s="38">
        <f>IF($A423="","",IF($B423="","EKSİK","TAM"))</f>
        <v/>
      </c>
    </row>
    <row r="424">
      <c r="J424" s="38">
        <f>IF($A424="","",IFERROR($B424*$C424+$B424/30*7*$D424,0))</f>
        <v/>
      </c>
      <c r="K424" s="38">
        <f>IF($A424="","",IFERROR($J424+$E424*($B424*4+$F424),0))</f>
        <v/>
      </c>
      <c r="L424" s="38">
        <f>IF($A424="","",IF($B424="","EKSİK","TAM"))</f>
        <v/>
      </c>
    </row>
    <row r="425">
      <c r="J425" s="38">
        <f>IF($A425="","",IFERROR($B425*$C425+$B425/30*7*$D425,0))</f>
        <v/>
      </c>
      <c r="K425" s="38">
        <f>IF($A425="","",IFERROR($J425+$E425*($B425*4+$F425),0))</f>
        <v/>
      </c>
      <c r="L425" s="38">
        <f>IF($A425="","",IF($B425="","EKSİK","TAM"))</f>
        <v/>
      </c>
    </row>
    <row r="426">
      <c r="J426" s="38">
        <f>IF($A426="","",IFERROR($B426*$C426+$B426/30*7*$D426,0))</f>
        <v/>
      </c>
      <c r="K426" s="38">
        <f>IF($A426="","",IFERROR($J426+$E426*($B426*4+$F426),0))</f>
        <v/>
      </c>
      <c r="L426" s="38">
        <f>IF($A426="","",IF($B426="","EKSİK","TAM"))</f>
        <v/>
      </c>
    </row>
    <row r="427">
      <c r="J427" s="38">
        <f>IF($A427="","",IFERROR($B427*$C427+$B427/30*7*$D427,0))</f>
        <v/>
      </c>
      <c r="K427" s="38">
        <f>IF($A427="","",IFERROR($J427+$E427*($B427*4+$F427),0))</f>
        <v/>
      </c>
      <c r="L427" s="38">
        <f>IF($A427="","",IF($B427="","EKSİK","TAM"))</f>
        <v/>
      </c>
    </row>
    <row r="428">
      <c r="J428" s="38">
        <f>IF($A428="","",IFERROR($B428*$C428+$B428/30*7*$D428,0))</f>
        <v/>
      </c>
      <c r="K428" s="38">
        <f>IF($A428="","",IFERROR($J428+$E428*($B428*4+$F428),0))</f>
        <v/>
      </c>
      <c r="L428" s="38">
        <f>IF($A428="","",IF($B428="","EKSİK","TAM"))</f>
        <v/>
      </c>
    </row>
    <row r="429">
      <c r="J429" s="38">
        <f>IF($A429="","",IFERROR($B429*$C429+$B429/30*7*$D429,0))</f>
        <v/>
      </c>
      <c r="K429" s="38">
        <f>IF($A429="","",IFERROR($J429+$E429*($B429*4+$F429),0))</f>
        <v/>
      </c>
      <c r="L429" s="38">
        <f>IF($A429="","",IF($B429="","EKSİK","TAM"))</f>
        <v/>
      </c>
    </row>
    <row r="430">
      <c r="J430" s="38">
        <f>IF($A430="","",IFERROR($B430*$C430+$B430/30*7*$D430,0))</f>
        <v/>
      </c>
      <c r="K430" s="38">
        <f>IF($A430="","",IFERROR($J430+$E430*($B430*4+$F430),0))</f>
        <v/>
      </c>
      <c r="L430" s="38">
        <f>IF($A430="","",IF($B430="","EKSİK","TAM"))</f>
        <v/>
      </c>
    </row>
    <row r="431">
      <c r="J431" s="38">
        <f>IF($A431="","",IFERROR($B431*$C431+$B431/30*7*$D431,0))</f>
        <v/>
      </c>
      <c r="K431" s="38">
        <f>IF($A431="","",IFERROR($J431+$E431*($B431*4+$F431),0))</f>
        <v/>
      </c>
      <c r="L431" s="38">
        <f>IF($A431="","",IF($B431="","EKSİK","TAM"))</f>
        <v/>
      </c>
    </row>
    <row r="432">
      <c r="J432" s="38">
        <f>IF($A432="","",IFERROR($B432*$C432+$B432/30*7*$D432,0))</f>
        <v/>
      </c>
      <c r="K432" s="38">
        <f>IF($A432="","",IFERROR($J432+$E432*($B432*4+$F432),0))</f>
        <v/>
      </c>
      <c r="L432" s="38">
        <f>IF($A432="","",IF($B432="","EKSİK","TAM"))</f>
        <v/>
      </c>
    </row>
    <row r="433">
      <c r="J433" s="38">
        <f>IF($A433="","",IFERROR($B433*$C433+$B433/30*7*$D433,0))</f>
        <v/>
      </c>
      <c r="K433" s="38">
        <f>IF($A433="","",IFERROR($J433+$E433*($B433*4+$F433),0))</f>
        <v/>
      </c>
      <c r="L433" s="38">
        <f>IF($A433="","",IF($B433="","EKSİK","TAM"))</f>
        <v/>
      </c>
    </row>
    <row r="434">
      <c r="J434" s="38">
        <f>IF($A434="","",IFERROR($B434*$C434+$B434/30*7*$D434,0))</f>
        <v/>
      </c>
      <c r="K434" s="38">
        <f>IF($A434="","",IFERROR($J434+$E434*($B434*4+$F434),0))</f>
        <v/>
      </c>
      <c r="L434" s="38">
        <f>IF($A434="","",IF($B434="","EKSİK","TAM"))</f>
        <v/>
      </c>
    </row>
    <row r="435">
      <c r="J435" s="38">
        <f>IF($A435="","",IFERROR($B435*$C435+$B435/30*7*$D435,0))</f>
        <v/>
      </c>
      <c r="K435" s="38">
        <f>IF($A435="","",IFERROR($J435+$E435*($B435*4+$F435),0))</f>
        <v/>
      </c>
      <c r="L435" s="38">
        <f>IF($A435="","",IF($B435="","EKSİK","TAM"))</f>
        <v/>
      </c>
    </row>
    <row r="436">
      <c r="J436" s="38">
        <f>IF($A436="","",IFERROR($B436*$C436+$B436/30*7*$D436,0))</f>
        <v/>
      </c>
      <c r="K436" s="38">
        <f>IF($A436="","",IFERROR($J436+$E436*($B436*4+$F436),0))</f>
        <v/>
      </c>
      <c r="L436" s="38">
        <f>IF($A436="","",IF($B436="","EKSİK","TAM"))</f>
        <v/>
      </c>
    </row>
    <row r="437">
      <c r="J437" s="38">
        <f>IF($A437="","",IFERROR($B437*$C437+$B437/30*7*$D437,0))</f>
        <v/>
      </c>
      <c r="K437" s="38">
        <f>IF($A437="","",IFERROR($J437+$E437*($B437*4+$F437),0))</f>
        <v/>
      </c>
      <c r="L437" s="38">
        <f>IF($A437="","",IF($B437="","EKSİK","TAM"))</f>
        <v/>
      </c>
    </row>
    <row r="438">
      <c r="J438" s="38">
        <f>IF($A438="","",IFERROR($B438*$C438+$B438/30*7*$D438,0))</f>
        <v/>
      </c>
      <c r="K438" s="38">
        <f>IF($A438="","",IFERROR($J438+$E438*($B438*4+$F438),0))</f>
        <v/>
      </c>
      <c r="L438" s="38">
        <f>IF($A438="","",IF($B438="","EKSİK","TAM"))</f>
        <v/>
      </c>
    </row>
    <row r="439">
      <c r="J439" s="38">
        <f>IF($A439="","",IFERROR($B439*$C439+$B439/30*7*$D439,0))</f>
        <v/>
      </c>
      <c r="K439" s="38">
        <f>IF($A439="","",IFERROR($J439+$E439*($B439*4+$F439),0))</f>
        <v/>
      </c>
      <c r="L439" s="38">
        <f>IF($A439="","",IF($B439="","EKSİK","TAM"))</f>
        <v/>
      </c>
    </row>
    <row r="440">
      <c r="J440" s="38">
        <f>IF($A440="","",IFERROR($B440*$C440+$B440/30*7*$D440,0))</f>
        <v/>
      </c>
      <c r="K440" s="38">
        <f>IF($A440="","",IFERROR($J440+$E440*($B440*4+$F440),0))</f>
        <v/>
      </c>
      <c r="L440" s="38">
        <f>IF($A440="","",IF($B440="","EKSİK","TAM"))</f>
        <v/>
      </c>
    </row>
    <row r="441">
      <c r="J441" s="38">
        <f>IF($A441="","",IFERROR($B441*$C441+$B441/30*7*$D441,0))</f>
        <v/>
      </c>
      <c r="K441" s="38">
        <f>IF($A441="","",IFERROR($J441+$E441*($B441*4+$F441),0))</f>
        <v/>
      </c>
      <c r="L441" s="38">
        <f>IF($A441="","",IF($B441="","EKSİK","TAM"))</f>
        <v/>
      </c>
    </row>
    <row r="442">
      <c r="J442" s="38">
        <f>IF($A442="","",IFERROR($B442*$C442+$B442/30*7*$D442,0))</f>
        <v/>
      </c>
      <c r="K442" s="38">
        <f>IF($A442="","",IFERROR($J442+$E442*($B442*4+$F442),0))</f>
        <v/>
      </c>
      <c r="L442" s="38">
        <f>IF($A442="","",IF($B442="","EKSİK","TAM"))</f>
        <v/>
      </c>
    </row>
    <row r="443">
      <c r="J443" s="38">
        <f>IF($A443="","",IFERROR($B443*$C443+$B443/30*7*$D443,0))</f>
        <v/>
      </c>
      <c r="K443" s="38">
        <f>IF($A443="","",IFERROR($J443+$E443*($B443*4+$F443),0))</f>
        <v/>
      </c>
      <c r="L443" s="38">
        <f>IF($A443="","",IF($B443="","EKSİK","TAM"))</f>
        <v/>
      </c>
    </row>
    <row r="444">
      <c r="J444" s="38">
        <f>IF($A444="","",IFERROR($B444*$C444+$B444/30*7*$D444,0))</f>
        <v/>
      </c>
      <c r="K444" s="38">
        <f>IF($A444="","",IFERROR($J444+$E444*($B444*4+$F444),0))</f>
        <v/>
      </c>
      <c r="L444" s="38">
        <f>IF($A444="","",IF($B444="","EKSİK","TAM"))</f>
        <v/>
      </c>
    </row>
    <row r="445">
      <c r="J445" s="38">
        <f>IF($A445="","",IFERROR($B445*$C445+$B445/30*7*$D445,0))</f>
        <v/>
      </c>
      <c r="K445" s="38">
        <f>IF($A445="","",IFERROR($J445+$E445*($B445*4+$F445),0))</f>
        <v/>
      </c>
      <c r="L445" s="38">
        <f>IF($A445="","",IF($B445="","EKSİK","TAM"))</f>
        <v/>
      </c>
    </row>
    <row r="446">
      <c r="J446" s="38">
        <f>IF($A446="","",IFERROR($B446*$C446+$B446/30*7*$D446,0))</f>
        <v/>
      </c>
      <c r="K446" s="38">
        <f>IF($A446="","",IFERROR($J446+$E446*($B446*4+$F446),0))</f>
        <v/>
      </c>
      <c r="L446" s="38">
        <f>IF($A446="","",IF($B446="","EKSİK","TAM"))</f>
        <v/>
      </c>
    </row>
    <row r="447">
      <c r="J447" s="38">
        <f>IF($A447="","",IFERROR($B447*$C447+$B447/30*7*$D447,0))</f>
        <v/>
      </c>
      <c r="K447" s="38">
        <f>IF($A447="","",IFERROR($J447+$E447*($B447*4+$F447),0))</f>
        <v/>
      </c>
      <c r="L447" s="38">
        <f>IF($A447="","",IF($B447="","EKSİK","TAM"))</f>
        <v/>
      </c>
    </row>
    <row r="448">
      <c r="J448" s="38">
        <f>IF($A448="","",IFERROR($B448*$C448+$B448/30*7*$D448,0))</f>
        <v/>
      </c>
      <c r="K448" s="38">
        <f>IF($A448="","",IFERROR($J448+$E448*($B448*4+$F448),0))</f>
        <v/>
      </c>
      <c r="L448" s="38">
        <f>IF($A448="","",IF($B448="","EKSİK","TAM"))</f>
        <v/>
      </c>
    </row>
    <row r="449">
      <c r="J449" s="38">
        <f>IF($A449="","",IFERROR($B449*$C449+$B449/30*7*$D449,0))</f>
        <v/>
      </c>
      <c r="K449" s="38">
        <f>IF($A449="","",IFERROR($J449+$E449*($B449*4+$F449),0))</f>
        <v/>
      </c>
      <c r="L449" s="38">
        <f>IF($A449="","",IF($B449="","EKSİK","TAM"))</f>
        <v/>
      </c>
    </row>
    <row r="450">
      <c r="J450" s="38">
        <f>IF($A450="","",IFERROR($B450*$C450+$B450/30*7*$D450,0))</f>
        <v/>
      </c>
      <c r="K450" s="38">
        <f>IF($A450="","",IFERROR($J450+$E450*($B450*4+$F450),0))</f>
        <v/>
      </c>
      <c r="L450" s="38">
        <f>IF($A450="","",IF($B450="","EKSİK","TAM"))</f>
        <v/>
      </c>
    </row>
    <row r="451">
      <c r="J451" s="38">
        <f>IF($A451="","",IFERROR($B451*$C451+$B451/30*7*$D451,0))</f>
        <v/>
      </c>
      <c r="K451" s="38">
        <f>IF($A451="","",IFERROR($J451+$E451*($B451*4+$F451),0))</f>
        <v/>
      </c>
      <c r="L451" s="38">
        <f>IF($A451="","",IF($B451="","EKSİK","TAM"))</f>
        <v/>
      </c>
    </row>
    <row r="452">
      <c r="J452" s="38">
        <f>IF($A452="","",IFERROR($B452*$C452+$B452/30*7*$D452,0))</f>
        <v/>
      </c>
      <c r="K452" s="38">
        <f>IF($A452="","",IFERROR($J452+$E452*($B452*4+$F452),0))</f>
        <v/>
      </c>
      <c r="L452" s="38">
        <f>IF($A452="","",IF($B452="","EKSİK","TAM"))</f>
        <v/>
      </c>
    </row>
    <row r="453">
      <c r="J453" s="38">
        <f>IF($A453="","",IFERROR($B453*$C453+$B453/30*7*$D453,0))</f>
        <v/>
      </c>
      <c r="K453" s="38">
        <f>IF($A453="","",IFERROR($J453+$E453*($B453*4+$F453),0))</f>
        <v/>
      </c>
      <c r="L453" s="38">
        <f>IF($A453="","",IF($B453="","EKSİK","TAM"))</f>
        <v/>
      </c>
    </row>
    <row r="454">
      <c r="J454" s="38">
        <f>IF($A454="","",IFERROR($B454*$C454+$B454/30*7*$D454,0))</f>
        <v/>
      </c>
      <c r="K454" s="38">
        <f>IF($A454="","",IFERROR($J454+$E454*($B454*4+$F454),0))</f>
        <v/>
      </c>
      <c r="L454" s="38">
        <f>IF($A454="","",IF($B454="","EKSİK","TAM"))</f>
        <v/>
      </c>
    </row>
    <row r="455">
      <c r="J455" s="38">
        <f>IF($A455="","",IFERROR($B455*$C455+$B455/30*7*$D455,0))</f>
        <v/>
      </c>
      <c r="K455" s="38">
        <f>IF($A455="","",IFERROR($J455+$E455*($B455*4+$F455),0))</f>
        <v/>
      </c>
      <c r="L455" s="38">
        <f>IF($A455="","",IF($B455="","EKSİK","TAM"))</f>
        <v/>
      </c>
    </row>
    <row r="456">
      <c r="J456" s="38">
        <f>IF($A456="","",IFERROR($B456*$C456+$B456/30*7*$D456,0))</f>
        <v/>
      </c>
      <c r="K456" s="38">
        <f>IF($A456="","",IFERROR($J456+$E456*($B456*4+$F456),0))</f>
        <v/>
      </c>
      <c r="L456" s="38">
        <f>IF($A456="","",IF($B456="","EKSİK","TAM"))</f>
        <v/>
      </c>
    </row>
    <row r="457">
      <c r="J457" s="38">
        <f>IF($A457="","",IFERROR($B457*$C457+$B457/30*7*$D457,0))</f>
        <v/>
      </c>
      <c r="K457" s="38">
        <f>IF($A457="","",IFERROR($J457+$E457*($B457*4+$F457),0))</f>
        <v/>
      </c>
      <c r="L457" s="38">
        <f>IF($A457="","",IF($B457="","EKSİK","TAM"))</f>
        <v/>
      </c>
    </row>
    <row r="458">
      <c r="J458" s="38">
        <f>IF($A458="","",IFERROR($B458*$C458+$B458/30*7*$D458,0))</f>
        <v/>
      </c>
      <c r="K458" s="38">
        <f>IF($A458="","",IFERROR($J458+$E458*($B458*4+$F458),0))</f>
        <v/>
      </c>
      <c r="L458" s="38">
        <f>IF($A458="","",IF($B458="","EKSİK","TAM"))</f>
        <v/>
      </c>
    </row>
    <row r="459">
      <c r="J459" s="38">
        <f>IF($A459="","",IFERROR($B459*$C459+$B459/30*7*$D459,0))</f>
        <v/>
      </c>
      <c r="K459" s="38">
        <f>IF($A459="","",IFERROR($J459+$E459*($B459*4+$F459),0))</f>
        <v/>
      </c>
      <c r="L459" s="38">
        <f>IF($A459="","",IF($B459="","EKSİK","TAM"))</f>
        <v/>
      </c>
    </row>
    <row r="460">
      <c r="J460" s="38">
        <f>IF($A460="","",IFERROR($B460*$C460+$B460/30*7*$D460,0))</f>
        <v/>
      </c>
      <c r="K460" s="38">
        <f>IF($A460="","",IFERROR($J460+$E460*($B460*4+$F460),0))</f>
        <v/>
      </c>
      <c r="L460" s="38">
        <f>IF($A460="","",IF($B460="","EKSİK","TAM"))</f>
        <v/>
      </c>
    </row>
    <row r="461">
      <c r="J461" s="38">
        <f>IF($A461="","",IFERROR($B461*$C461+$B461/30*7*$D461,0))</f>
        <v/>
      </c>
      <c r="K461" s="38">
        <f>IF($A461="","",IFERROR($J461+$E461*($B461*4+$F461),0))</f>
        <v/>
      </c>
      <c r="L461" s="38">
        <f>IF($A461="","",IF($B461="","EKSİK","TAM"))</f>
        <v/>
      </c>
    </row>
    <row r="462">
      <c r="J462" s="38">
        <f>IF($A462="","",IFERROR($B462*$C462+$B462/30*7*$D462,0))</f>
        <v/>
      </c>
      <c r="K462" s="38">
        <f>IF($A462="","",IFERROR($J462+$E462*($B462*4+$F462),0))</f>
        <v/>
      </c>
      <c r="L462" s="38">
        <f>IF($A462="","",IF($B462="","EKSİK","TAM"))</f>
        <v/>
      </c>
    </row>
    <row r="463">
      <c r="J463" s="38">
        <f>IF($A463="","",IFERROR($B463*$C463+$B463/30*7*$D463,0))</f>
        <v/>
      </c>
      <c r="K463" s="38">
        <f>IF($A463="","",IFERROR($J463+$E463*($B463*4+$F463),0))</f>
        <v/>
      </c>
      <c r="L463" s="38">
        <f>IF($A463="","",IF($B463="","EKSİK","TAM"))</f>
        <v/>
      </c>
    </row>
    <row r="464">
      <c r="J464" s="38">
        <f>IF($A464="","",IFERROR($B464*$C464+$B464/30*7*$D464,0))</f>
        <v/>
      </c>
      <c r="K464" s="38">
        <f>IF($A464="","",IFERROR($J464+$E464*($B464*4+$F464),0))</f>
        <v/>
      </c>
      <c r="L464" s="38">
        <f>IF($A464="","",IF($B464="","EKSİK","TAM"))</f>
        <v/>
      </c>
    </row>
    <row r="465">
      <c r="J465" s="38">
        <f>IF($A465="","",IFERROR($B465*$C465+$B465/30*7*$D465,0))</f>
        <v/>
      </c>
      <c r="K465" s="38">
        <f>IF($A465="","",IFERROR($J465+$E465*($B465*4+$F465),0))</f>
        <v/>
      </c>
      <c r="L465" s="38">
        <f>IF($A465="","",IF($B465="","EKSİK","TAM"))</f>
        <v/>
      </c>
    </row>
    <row r="466">
      <c r="J466" s="38">
        <f>IF($A466="","",IFERROR($B466*$C466+$B466/30*7*$D466,0))</f>
        <v/>
      </c>
      <c r="K466" s="38">
        <f>IF($A466="","",IFERROR($J466+$E466*($B466*4+$F466),0))</f>
        <v/>
      </c>
      <c r="L466" s="38">
        <f>IF($A466="","",IF($B466="","EKSİK","TAM"))</f>
        <v/>
      </c>
    </row>
    <row r="467">
      <c r="J467" s="38">
        <f>IF($A467="","",IFERROR($B467*$C467+$B467/30*7*$D467,0))</f>
        <v/>
      </c>
      <c r="K467" s="38">
        <f>IF($A467="","",IFERROR($J467+$E467*($B467*4+$F467),0))</f>
        <v/>
      </c>
      <c r="L467" s="38">
        <f>IF($A467="","",IF($B467="","EKSİK","TAM"))</f>
        <v/>
      </c>
    </row>
    <row r="468">
      <c r="J468" s="38">
        <f>IF($A468="","",IFERROR($B468*$C468+$B468/30*7*$D468,0))</f>
        <v/>
      </c>
      <c r="K468" s="38">
        <f>IF($A468="","",IFERROR($J468+$E468*($B468*4+$F468),0))</f>
        <v/>
      </c>
      <c r="L468" s="38">
        <f>IF($A468="","",IF($B468="","EKSİK","TAM"))</f>
        <v/>
      </c>
    </row>
    <row r="469">
      <c r="J469" s="38">
        <f>IF($A469="","",IFERROR($B469*$C469+$B469/30*7*$D469,0))</f>
        <v/>
      </c>
      <c r="K469" s="38">
        <f>IF($A469="","",IFERROR($J469+$E469*($B469*4+$F469),0))</f>
        <v/>
      </c>
      <c r="L469" s="38">
        <f>IF($A469="","",IF($B469="","EKSİK","TAM"))</f>
        <v/>
      </c>
    </row>
    <row r="470">
      <c r="J470" s="38">
        <f>IF($A470="","",IFERROR($B470*$C470+$B470/30*7*$D470,0))</f>
        <v/>
      </c>
      <c r="K470" s="38">
        <f>IF($A470="","",IFERROR($J470+$E470*($B470*4+$F470),0))</f>
        <v/>
      </c>
      <c r="L470" s="38">
        <f>IF($A470="","",IF($B470="","EKSİK","TAM"))</f>
        <v/>
      </c>
    </row>
    <row r="471">
      <c r="J471" s="38">
        <f>IF($A471="","",IFERROR($B471*$C471+$B471/30*7*$D471,0))</f>
        <v/>
      </c>
      <c r="K471" s="38">
        <f>IF($A471="","",IFERROR($J471+$E471*($B471*4+$F471),0))</f>
        <v/>
      </c>
      <c r="L471" s="38">
        <f>IF($A471="","",IF($B471="","EKSİK","TAM"))</f>
        <v/>
      </c>
    </row>
    <row r="472">
      <c r="J472" s="38">
        <f>IF($A472="","",IFERROR($B472*$C472+$B472/30*7*$D472,0))</f>
        <v/>
      </c>
      <c r="K472" s="38">
        <f>IF($A472="","",IFERROR($J472+$E472*($B472*4+$F472),0))</f>
        <v/>
      </c>
      <c r="L472" s="38">
        <f>IF($A472="","",IF($B472="","EKSİK","TAM"))</f>
        <v/>
      </c>
    </row>
    <row r="473">
      <c r="J473" s="38">
        <f>IF($A473="","",IFERROR($B473*$C473+$B473/30*7*$D473,0))</f>
        <v/>
      </c>
      <c r="K473" s="38">
        <f>IF($A473="","",IFERROR($J473+$E473*($B473*4+$F473),0))</f>
        <v/>
      </c>
      <c r="L473" s="38">
        <f>IF($A473="","",IF($B473="","EKSİK","TAM"))</f>
        <v/>
      </c>
    </row>
    <row r="474">
      <c r="J474" s="38">
        <f>IF($A474="","",IFERROR($B474*$C474+$B474/30*7*$D474,0))</f>
        <v/>
      </c>
      <c r="K474" s="38">
        <f>IF($A474="","",IFERROR($J474+$E474*($B474*4+$F474),0))</f>
        <v/>
      </c>
      <c r="L474" s="38">
        <f>IF($A474="","",IF($B474="","EKSİK","TAM"))</f>
        <v/>
      </c>
    </row>
    <row r="475">
      <c r="J475" s="38">
        <f>IF($A475="","",IFERROR($B475*$C475+$B475/30*7*$D475,0))</f>
        <v/>
      </c>
      <c r="K475" s="38">
        <f>IF($A475="","",IFERROR($J475+$E475*($B475*4+$F475),0))</f>
        <v/>
      </c>
      <c r="L475" s="38">
        <f>IF($A475="","",IF($B475="","EKSİK","TAM"))</f>
        <v/>
      </c>
    </row>
    <row r="476">
      <c r="J476" s="38">
        <f>IF($A476="","",IFERROR($B476*$C476+$B476/30*7*$D476,0))</f>
        <v/>
      </c>
      <c r="K476" s="38">
        <f>IF($A476="","",IFERROR($J476+$E476*($B476*4+$F476),0))</f>
        <v/>
      </c>
      <c r="L476" s="38">
        <f>IF($A476="","",IF($B476="","EKSİK","TAM"))</f>
        <v/>
      </c>
    </row>
    <row r="477">
      <c r="J477" s="38">
        <f>IF($A477="","",IFERROR($B477*$C477+$B477/30*7*$D477,0))</f>
        <v/>
      </c>
      <c r="K477" s="38">
        <f>IF($A477="","",IFERROR($J477+$E477*($B477*4+$F477),0))</f>
        <v/>
      </c>
      <c r="L477" s="38">
        <f>IF($A477="","",IF($B477="","EKSİK","TAM"))</f>
        <v/>
      </c>
    </row>
    <row r="478">
      <c r="J478" s="38">
        <f>IF($A478="","",IFERROR($B478*$C478+$B478/30*7*$D478,0))</f>
        <v/>
      </c>
      <c r="K478" s="38">
        <f>IF($A478="","",IFERROR($J478+$E478*($B478*4+$F478),0))</f>
        <v/>
      </c>
      <c r="L478" s="38">
        <f>IF($A478="","",IF($B478="","EKSİK","TAM"))</f>
        <v/>
      </c>
    </row>
    <row r="479">
      <c r="J479" s="38">
        <f>IF($A479="","",IFERROR($B479*$C479+$B479/30*7*$D479,0))</f>
        <v/>
      </c>
      <c r="K479" s="38">
        <f>IF($A479="","",IFERROR($J479+$E479*($B479*4+$F479),0))</f>
        <v/>
      </c>
      <c r="L479" s="38">
        <f>IF($A479="","",IF($B479="","EKSİK","TAM"))</f>
        <v/>
      </c>
    </row>
    <row r="480">
      <c r="J480" s="38">
        <f>IF($A480="","",IFERROR($B480*$C480+$B480/30*7*$D480,0))</f>
        <v/>
      </c>
      <c r="K480" s="38">
        <f>IF($A480="","",IFERROR($J480+$E480*($B480*4+$F480),0))</f>
        <v/>
      </c>
      <c r="L480" s="38">
        <f>IF($A480="","",IF($B480="","EKSİK","TAM"))</f>
        <v/>
      </c>
    </row>
    <row r="481">
      <c r="J481" s="38">
        <f>IF($A481="","",IFERROR($B481*$C481+$B481/30*7*$D481,0))</f>
        <v/>
      </c>
      <c r="K481" s="38">
        <f>IF($A481="","",IFERROR($J481+$E481*($B481*4+$F481),0))</f>
        <v/>
      </c>
      <c r="L481" s="38">
        <f>IF($A481="","",IF($B481="","EKSİK","TAM"))</f>
        <v/>
      </c>
    </row>
    <row r="482">
      <c r="J482" s="38">
        <f>IF($A482="","",IFERROR($B482*$C482+$B482/30*7*$D482,0))</f>
        <v/>
      </c>
      <c r="K482" s="38">
        <f>IF($A482="","",IFERROR($J482+$E482*($B482*4+$F482),0))</f>
        <v/>
      </c>
      <c r="L482" s="38">
        <f>IF($A482="","",IF($B482="","EKSİK","TAM"))</f>
        <v/>
      </c>
    </row>
    <row r="483">
      <c r="J483" s="38">
        <f>IF($A483="","",IFERROR($B483*$C483+$B483/30*7*$D483,0))</f>
        <v/>
      </c>
      <c r="K483" s="38">
        <f>IF($A483="","",IFERROR($J483+$E483*($B483*4+$F483),0))</f>
        <v/>
      </c>
      <c r="L483" s="38">
        <f>IF($A483="","",IF($B483="","EKSİK","TAM"))</f>
        <v/>
      </c>
    </row>
    <row r="484">
      <c r="J484" s="38">
        <f>IF($A484="","",IFERROR($B484*$C484+$B484/30*7*$D484,0))</f>
        <v/>
      </c>
      <c r="K484" s="38">
        <f>IF($A484="","",IFERROR($J484+$E484*($B484*4+$F484),0))</f>
        <v/>
      </c>
      <c r="L484" s="38">
        <f>IF($A484="","",IF($B484="","EKSİK","TAM"))</f>
        <v/>
      </c>
    </row>
    <row r="485">
      <c r="J485" s="38">
        <f>IF($A485="","",IFERROR($B485*$C485+$B485/30*7*$D485,0))</f>
        <v/>
      </c>
      <c r="K485" s="38">
        <f>IF($A485="","",IFERROR($J485+$E485*($B485*4+$F485),0))</f>
        <v/>
      </c>
      <c r="L485" s="38">
        <f>IF($A485="","",IF($B485="","EKSİK","TAM"))</f>
        <v/>
      </c>
    </row>
    <row r="486">
      <c r="J486" s="38">
        <f>IF($A486="","",IFERROR($B486*$C486+$B486/30*7*$D486,0))</f>
        <v/>
      </c>
      <c r="K486" s="38">
        <f>IF($A486="","",IFERROR($J486+$E486*($B486*4+$F486),0))</f>
        <v/>
      </c>
      <c r="L486" s="38">
        <f>IF($A486="","",IF($B486="","EKSİK","TAM"))</f>
        <v/>
      </c>
    </row>
    <row r="487">
      <c r="J487" s="38">
        <f>IF($A487="","",IFERROR($B487*$C487+$B487/30*7*$D487,0))</f>
        <v/>
      </c>
      <c r="K487" s="38">
        <f>IF($A487="","",IFERROR($J487+$E487*($B487*4+$F487),0))</f>
        <v/>
      </c>
      <c r="L487" s="38">
        <f>IF($A487="","",IF($B487="","EKSİK","TAM"))</f>
        <v/>
      </c>
    </row>
    <row r="488">
      <c r="J488" s="38">
        <f>IF($A488="","",IFERROR($B488*$C488+$B488/30*7*$D488,0))</f>
        <v/>
      </c>
      <c r="K488" s="38">
        <f>IF($A488="","",IFERROR($J488+$E488*($B488*4+$F488),0))</f>
        <v/>
      </c>
      <c r="L488" s="38">
        <f>IF($A488="","",IF($B488="","EKSİK","TAM"))</f>
        <v/>
      </c>
    </row>
    <row r="489">
      <c r="J489" s="38">
        <f>IF($A489="","",IFERROR($B489*$C489+$B489/30*7*$D489,0))</f>
        <v/>
      </c>
      <c r="K489" s="38">
        <f>IF($A489="","",IFERROR($J489+$E489*($B489*4+$F489),0))</f>
        <v/>
      </c>
      <c r="L489" s="38">
        <f>IF($A489="","",IF($B489="","EKSİK","TAM"))</f>
        <v/>
      </c>
    </row>
    <row r="490">
      <c r="J490" s="38">
        <f>IF($A490="","",IFERROR($B490*$C490+$B490/30*7*$D490,0))</f>
        <v/>
      </c>
      <c r="K490" s="38">
        <f>IF($A490="","",IFERROR($J490+$E490*($B490*4+$F490),0))</f>
        <v/>
      </c>
      <c r="L490" s="38">
        <f>IF($A490="","",IF($B490="","EKSİK","TAM"))</f>
        <v/>
      </c>
    </row>
    <row r="491">
      <c r="J491" s="38">
        <f>IF($A491="","",IFERROR($B491*$C491+$B491/30*7*$D491,0))</f>
        <v/>
      </c>
      <c r="K491" s="38">
        <f>IF($A491="","",IFERROR($J491+$E491*($B491*4+$F491),0))</f>
        <v/>
      </c>
      <c r="L491" s="38">
        <f>IF($A491="","",IF($B491="","EKSİK","TAM"))</f>
        <v/>
      </c>
    </row>
    <row r="492">
      <c r="J492" s="38">
        <f>IF($A492="","",IFERROR($B492*$C492+$B492/30*7*$D492,0))</f>
        <v/>
      </c>
      <c r="K492" s="38">
        <f>IF($A492="","",IFERROR($J492+$E492*($B492*4+$F492),0))</f>
        <v/>
      </c>
      <c r="L492" s="38">
        <f>IF($A492="","",IF($B492="","EKSİK","TAM"))</f>
        <v/>
      </c>
    </row>
    <row r="493">
      <c r="J493" s="38">
        <f>IF($A493="","",IFERROR($B493*$C493+$B493/30*7*$D493,0))</f>
        <v/>
      </c>
      <c r="K493" s="38">
        <f>IF($A493="","",IFERROR($J493+$E493*($B493*4+$F493),0))</f>
        <v/>
      </c>
      <c r="L493" s="38">
        <f>IF($A493="","",IF($B493="","EKSİK","TAM"))</f>
        <v/>
      </c>
    </row>
    <row r="494">
      <c r="J494" s="38">
        <f>IF($A494="","",IFERROR($B494*$C494+$B494/30*7*$D494,0))</f>
        <v/>
      </c>
      <c r="K494" s="38">
        <f>IF($A494="","",IFERROR($J494+$E494*($B494*4+$F494),0))</f>
        <v/>
      </c>
      <c r="L494" s="38">
        <f>IF($A494="","",IF($B494="","EKSİK","TAM"))</f>
        <v/>
      </c>
    </row>
    <row r="495">
      <c r="J495" s="38">
        <f>IF($A495="","",IFERROR($B495*$C495+$B495/30*7*$D495,0))</f>
        <v/>
      </c>
      <c r="K495" s="38">
        <f>IF($A495="","",IFERROR($J495+$E495*($B495*4+$F495),0))</f>
        <v/>
      </c>
      <c r="L495" s="38">
        <f>IF($A495="","",IF($B495="","EKSİK","TAM"))</f>
        <v/>
      </c>
    </row>
    <row r="496">
      <c r="J496" s="38">
        <f>IF($A496="","",IFERROR($B496*$C496+$B496/30*7*$D496,0))</f>
        <v/>
      </c>
      <c r="K496" s="38">
        <f>IF($A496="","",IFERROR($J496+$E496*($B496*4+$F496),0))</f>
        <v/>
      </c>
      <c r="L496" s="38">
        <f>IF($A496="","",IF($B496="","EKSİK","TAM"))</f>
        <v/>
      </c>
    </row>
    <row r="497">
      <c r="J497" s="38">
        <f>IF($A497="","",IFERROR($B497*$C497+$B497/30*7*$D497,0))</f>
        <v/>
      </c>
      <c r="K497" s="38">
        <f>IF($A497="","",IFERROR($J497+$E497*($B497*4+$F497),0))</f>
        <v/>
      </c>
      <c r="L497" s="38">
        <f>IF($A497="","",IF($B497="","EKSİK","TAM"))</f>
        <v/>
      </c>
    </row>
    <row r="498">
      <c r="J498" s="38">
        <f>IF($A498="","",IFERROR($B498*$C498+$B498/30*7*$D498,0))</f>
        <v/>
      </c>
      <c r="K498" s="38">
        <f>IF($A498="","",IFERROR($J498+$E498*($B498*4+$F498),0))</f>
        <v/>
      </c>
      <c r="L498" s="38">
        <f>IF($A498="","",IF($B498="","EKSİK","TAM"))</f>
        <v/>
      </c>
    </row>
    <row r="499">
      <c r="J499" s="38">
        <f>IF($A499="","",IFERROR($B499*$C499+$B499/30*7*$D499,0))</f>
        <v/>
      </c>
      <c r="K499" s="38">
        <f>IF($A499="","",IFERROR($J499+$E499*($B499*4+$F499),0))</f>
        <v/>
      </c>
      <c r="L499" s="38">
        <f>IF($A499="","",IF($B499="","EKSİK","TAM"))</f>
        <v/>
      </c>
    </row>
    <row r="500">
      <c r="J500" s="38">
        <f>IF($A500="","",IFERROR($B500*$C500+$B500/30*7*$D500,0))</f>
        <v/>
      </c>
      <c r="K500" s="38">
        <f>IF($A500="","",IFERROR($J500+$E500*($B500*4+$F500),0))</f>
        <v/>
      </c>
      <c r="L500" s="38">
        <f>IF($A500="","",IF($B500="","EKSİK","TAM"))</f>
        <v/>
      </c>
    </row>
    <row r="501">
      <c r="J501" s="38">
        <f>IF($A501="","",IFERROR($B501*$C501+$B501/30*7*$D501,0))</f>
        <v/>
      </c>
      <c r="K501" s="38">
        <f>IF($A501="","",IFERROR($J501+$E501*($B501*4+$F501),0))</f>
        <v/>
      </c>
      <c r="L501" s="38">
        <f>IF($A501="","",IF($B501="","EKSİK","TAM"))</f>
        <v/>
      </c>
    </row>
    <row r="502">
      <c r="J502" s="38">
        <f>IF($A502="","",IFERROR($B502*$C502+$B502/30*7*$D502,0))</f>
        <v/>
      </c>
      <c r="K502" s="38">
        <f>IF($A502="","",IFERROR($J502+$E502*($B502*4+$F502),0))</f>
        <v/>
      </c>
      <c r="L502" s="38">
        <f>IF($A502="","",IF($B502="","EKSİK","TAM"))</f>
        <v/>
      </c>
    </row>
    <row r="503">
      <c r="J503" s="38">
        <f>IF($A503="","",IFERROR($B503*$C503+$B503/30*7*$D503,0))</f>
        <v/>
      </c>
      <c r="K503" s="38">
        <f>IF($A503="","",IFERROR($J503+$E503*($B503*4+$F503),0))</f>
        <v/>
      </c>
      <c r="L503" s="38">
        <f>IF($A503="","",IF($B503="","EKSİK","TAM"))</f>
        <v/>
      </c>
    </row>
    <row r="504">
      <c r="J504" s="38">
        <f>IF($A504="","",IFERROR($B504*$C504+$B504/30*7*$D504,0))</f>
        <v/>
      </c>
      <c r="K504" s="38">
        <f>IF($A504="","",IFERROR($J504+$E504*($B504*4+$F504),0))</f>
        <v/>
      </c>
      <c r="L504" s="38">
        <f>IF($A504="","",IF($B504="","EKSİK","TAM"))</f>
        <v/>
      </c>
    </row>
    <row r="505">
      <c r="J505" s="38">
        <f>IF($A505="","",IFERROR($B505*$C505+$B505/30*7*$D505,0))</f>
        <v/>
      </c>
      <c r="K505" s="38">
        <f>IF($A505="","",IFERROR($J505+$E505*($B505*4+$F505),0))</f>
        <v/>
      </c>
      <c r="L505" s="38">
        <f>IF($A505="","",IF($B505="","EKSİK","TAM"))</f>
        <v/>
      </c>
    </row>
    <row r="506">
      <c r="J506" s="38">
        <f>IF($A506="","",IFERROR($B506*$C506+$B506/30*7*$D506,0))</f>
        <v/>
      </c>
      <c r="K506" s="38">
        <f>IF($A506="","",IFERROR($J506+$E506*($B506*4+$F506),0))</f>
        <v/>
      </c>
      <c r="L506" s="38">
        <f>IF($A506="","",IF($B506="","EKSİK","TAM"))</f>
        <v/>
      </c>
    </row>
    <row r="507">
      <c r="J507" s="38">
        <f>IF($A507="","",IFERROR($B507*$C507+$B507/30*7*$D507,0))</f>
        <v/>
      </c>
      <c r="K507" s="38">
        <f>IF($A507="","",IFERROR($J507+$E507*($B507*4+$F507),0))</f>
        <v/>
      </c>
      <c r="L507" s="38">
        <f>IF($A507="","",IF($B507="","EKSİK","TAM"))</f>
        <v/>
      </c>
    </row>
    <row r="508">
      <c r="J508" s="38">
        <f>IF($A508="","",IFERROR($B508*$C508+$B508/30*7*$D508,0))</f>
        <v/>
      </c>
      <c r="K508" s="38">
        <f>IF($A508="","",IFERROR($J508+$E508*($B508*4+$F508),0))</f>
        <v/>
      </c>
      <c r="L508" s="38">
        <f>IF($A508="","",IF($B508="","EKSİK","TAM"))</f>
        <v/>
      </c>
    </row>
    <row r="509">
      <c r="J509" s="38">
        <f>IF($A509="","",IFERROR($B509*$C509+$B509/30*7*$D509,0))</f>
        <v/>
      </c>
      <c r="K509" s="38">
        <f>IF($A509="","",IFERROR($J509+$E509*($B509*4+$F509),0))</f>
        <v/>
      </c>
      <c r="L509" s="38">
        <f>IF($A509="","",IF($B509="","EKSİK","TAM"))</f>
        <v/>
      </c>
    </row>
    <row r="510">
      <c r="J510" s="38">
        <f>IF($A510="","",IFERROR($B510*$C510+$B510/30*7*$D510,0))</f>
        <v/>
      </c>
      <c r="K510" s="38">
        <f>IF($A510="","",IFERROR($J510+$E510*($B510*4+$F510),0))</f>
        <v/>
      </c>
      <c r="L510" s="38">
        <f>IF($A510="","",IF($B510="","EKSİK","TAM"))</f>
        <v/>
      </c>
    </row>
    <row r="511">
      <c r="J511" s="38">
        <f>IF($A511="","",IFERROR($B511*$C511+$B511/30*7*$D511,0))</f>
        <v/>
      </c>
      <c r="K511" s="38">
        <f>IF($A511="","",IFERROR($J511+$E511*($B511*4+$F511),0))</f>
        <v/>
      </c>
      <c r="L511" s="38">
        <f>IF($A511="","",IF($B511="","EKSİK","TAM"))</f>
        <v/>
      </c>
    </row>
    <row r="512">
      <c r="J512" s="38">
        <f>IF($A512="","",IFERROR($B512*$C512+$B512/30*7*$D512,0))</f>
        <v/>
      </c>
      <c r="K512" s="38">
        <f>IF($A512="","",IFERROR($J512+$E512*($B512*4+$F512),0))</f>
        <v/>
      </c>
      <c r="L512" s="38">
        <f>IF($A512="","",IF($B512="","EKSİK","TAM"))</f>
        <v/>
      </c>
    </row>
    <row r="513">
      <c r="J513" s="38">
        <f>IF($A513="","",IFERROR($B513*$C513+$B513/30*7*$D513,0))</f>
        <v/>
      </c>
      <c r="K513" s="38">
        <f>IF($A513="","",IFERROR($J513+$E513*($B513*4+$F513),0))</f>
        <v/>
      </c>
      <c r="L513" s="38">
        <f>IF($A513="","",IF($B513="","EKSİK","TAM"))</f>
        <v/>
      </c>
    </row>
    <row r="514">
      <c r="J514" s="38">
        <f>IF($A514="","",IFERROR($B514*$C514+$B514/30*7*$D514,0))</f>
        <v/>
      </c>
      <c r="K514" s="38">
        <f>IF($A514="","",IFERROR($J514+$E514*($B514*4+$F514),0))</f>
        <v/>
      </c>
      <c r="L514" s="38">
        <f>IF($A514="","",IF($B514="","EKSİK","TAM"))</f>
        <v/>
      </c>
    </row>
    <row r="515">
      <c r="J515" s="38">
        <f>IF($A515="","",IFERROR($B515*$C515+$B515/30*7*$D515,0))</f>
        <v/>
      </c>
      <c r="K515" s="38">
        <f>IF($A515="","",IFERROR($J515+$E515*($B515*4+$F515),0))</f>
        <v/>
      </c>
      <c r="L515" s="38">
        <f>IF($A515="","",IF($B515="","EKSİK","TAM"))</f>
        <v/>
      </c>
    </row>
    <row r="516">
      <c r="J516" s="38">
        <f>IF($A516="","",IFERROR($B516*$C516+$B516/30*7*$D516,0))</f>
        <v/>
      </c>
      <c r="K516" s="38">
        <f>IF($A516="","",IFERROR($J516+$E516*($B516*4+$F516),0))</f>
        <v/>
      </c>
      <c r="L516" s="38">
        <f>IF($A516="","",IF($B516="","EKSİK","TAM"))</f>
        <v/>
      </c>
    </row>
    <row r="517">
      <c r="J517" s="38">
        <f>IF($A517="","",IFERROR($B517*$C517+$B517/30*7*$D517,0))</f>
        <v/>
      </c>
      <c r="K517" s="38">
        <f>IF($A517="","",IFERROR($J517+$E517*($B517*4+$F517),0))</f>
        <v/>
      </c>
      <c r="L517" s="38">
        <f>IF($A517="","",IF($B517="","EKSİK","TAM"))</f>
        <v/>
      </c>
    </row>
    <row r="518">
      <c r="J518" s="38">
        <f>IF($A518="","",IFERROR($B518*$C518+$B518/30*7*$D518,0))</f>
        <v/>
      </c>
      <c r="K518" s="38">
        <f>IF($A518="","",IFERROR($J518+$E518*($B518*4+$F518),0))</f>
        <v/>
      </c>
      <c r="L518" s="38">
        <f>IF($A518="","",IF($B518="","EKSİK","TAM"))</f>
        <v/>
      </c>
    </row>
    <row r="519">
      <c r="J519" s="38">
        <f>IF($A519="","",IFERROR($B519*$C519+$B519/30*7*$D519,0))</f>
        <v/>
      </c>
      <c r="K519" s="38">
        <f>IF($A519="","",IFERROR($J519+$E519*($B519*4+$F519),0))</f>
        <v/>
      </c>
      <c r="L519" s="38">
        <f>IF($A519="","",IF($B519="","EKSİK","TAM"))</f>
        <v/>
      </c>
    </row>
    <row r="520">
      <c r="J520" s="38">
        <f>IF($A520="","",IFERROR($B520*$C520+$B520/30*7*$D520,0))</f>
        <v/>
      </c>
      <c r="K520" s="38">
        <f>IF($A520="","",IFERROR($J520+$E520*($B520*4+$F520),0))</f>
        <v/>
      </c>
      <c r="L520" s="38">
        <f>IF($A520="","",IF($B520="","EKSİK","TAM"))</f>
        <v/>
      </c>
    </row>
    <row r="521">
      <c r="J521" s="38">
        <f>IF($A521="","",IFERROR($B521*$C521+$B521/30*7*$D521,0))</f>
        <v/>
      </c>
      <c r="K521" s="38">
        <f>IF($A521="","",IFERROR($J521+$E521*($B521*4+$F521),0))</f>
        <v/>
      </c>
      <c r="L521" s="38">
        <f>IF($A521="","",IF($B521="","EKSİK","TAM"))</f>
        <v/>
      </c>
    </row>
    <row r="522">
      <c r="J522" s="38">
        <f>IF($A522="","",IFERROR($B522*$C522+$B522/30*7*$D522,0))</f>
        <v/>
      </c>
      <c r="K522" s="38">
        <f>IF($A522="","",IFERROR($J522+$E522*($B522*4+$F522),0))</f>
        <v/>
      </c>
      <c r="L522" s="38">
        <f>IF($A522="","",IF($B522="","EKSİK","TAM"))</f>
        <v/>
      </c>
    </row>
    <row r="523">
      <c r="J523" s="38">
        <f>IF($A523="","",IFERROR($B523*$C523+$B523/30*7*$D523,0))</f>
        <v/>
      </c>
      <c r="K523" s="38">
        <f>IF($A523="","",IFERROR($J523+$E523*($B523*4+$F523),0))</f>
        <v/>
      </c>
      <c r="L523" s="38">
        <f>IF($A523="","",IF($B523="","EKSİK","TAM"))</f>
        <v/>
      </c>
    </row>
    <row r="524">
      <c r="J524" s="38">
        <f>IF($A524="","",IFERROR($B524*$C524+$B524/30*7*$D524,0))</f>
        <v/>
      </c>
      <c r="K524" s="38">
        <f>IF($A524="","",IFERROR($J524+$E524*($B524*4+$F524),0))</f>
        <v/>
      </c>
      <c r="L524" s="38">
        <f>IF($A524="","",IF($B524="","EKSİK","TAM"))</f>
        <v/>
      </c>
    </row>
    <row r="525">
      <c r="J525" s="38">
        <f>IF($A525="","",IFERROR($B525*$C525+$B525/30*7*$D525,0))</f>
        <v/>
      </c>
      <c r="K525" s="38">
        <f>IF($A525="","",IFERROR($J525+$E525*($B525*4+$F525),0))</f>
        <v/>
      </c>
      <c r="L525" s="38">
        <f>IF($A525="","",IF($B525="","EKSİK","TAM"))</f>
        <v/>
      </c>
    </row>
    <row r="526">
      <c r="J526" s="38">
        <f>IF($A526="","",IFERROR($B526*$C526+$B526/30*7*$D526,0))</f>
        <v/>
      </c>
      <c r="K526" s="38">
        <f>IF($A526="","",IFERROR($J526+$E526*($B526*4+$F526),0))</f>
        <v/>
      </c>
      <c r="L526" s="38">
        <f>IF($A526="","",IF($B526="","EKSİK","TAM"))</f>
        <v/>
      </c>
    </row>
    <row r="527">
      <c r="J527" s="38">
        <f>IF($A527="","",IFERROR($B527*$C527+$B527/30*7*$D527,0))</f>
        <v/>
      </c>
      <c r="K527" s="38">
        <f>IF($A527="","",IFERROR($J527+$E527*($B527*4+$F527),0))</f>
        <v/>
      </c>
      <c r="L527" s="38">
        <f>IF($A527="","",IF($B527="","EKSİK","TAM"))</f>
        <v/>
      </c>
    </row>
    <row r="528">
      <c r="J528" s="38">
        <f>IF($A528="","",IFERROR($B528*$C528+$B528/30*7*$D528,0))</f>
        <v/>
      </c>
      <c r="K528" s="38">
        <f>IF($A528="","",IFERROR($J528+$E528*($B528*4+$F528),0))</f>
        <v/>
      </c>
      <c r="L528" s="38">
        <f>IF($A528="","",IF($B528="","EKSİK","TAM"))</f>
        <v/>
      </c>
    </row>
    <row r="529">
      <c r="J529" s="38">
        <f>IF($A529="","",IFERROR($B529*$C529+$B529/30*7*$D529,0))</f>
        <v/>
      </c>
      <c r="K529" s="38">
        <f>IF($A529="","",IFERROR($J529+$E529*($B529*4+$F529),0))</f>
        <v/>
      </c>
      <c r="L529" s="38">
        <f>IF($A529="","",IF($B529="","EKSİK","TAM"))</f>
        <v/>
      </c>
    </row>
    <row r="530">
      <c r="J530" s="38">
        <f>IF($A530="","",IFERROR($B530*$C530+$B530/30*7*$D530,0))</f>
        <v/>
      </c>
      <c r="K530" s="38">
        <f>IF($A530="","",IFERROR($J530+$E530*($B530*4+$F530),0))</f>
        <v/>
      </c>
      <c r="L530" s="38">
        <f>IF($A530="","",IF($B530="","EKSİK","TAM"))</f>
        <v/>
      </c>
    </row>
    <row r="531">
      <c r="J531" s="38">
        <f>IF($A531="","",IFERROR($B531*$C531+$B531/30*7*$D531,0))</f>
        <v/>
      </c>
      <c r="K531" s="38">
        <f>IF($A531="","",IFERROR($J531+$E531*($B531*4+$F531),0))</f>
        <v/>
      </c>
      <c r="L531" s="38">
        <f>IF($A531="","",IF($B531="","EKSİK","TAM"))</f>
        <v/>
      </c>
    </row>
    <row r="532">
      <c r="J532" s="38">
        <f>IF($A532="","",IFERROR($B532*$C532+$B532/30*7*$D532,0))</f>
        <v/>
      </c>
      <c r="K532" s="38">
        <f>IF($A532="","",IFERROR($J532+$E532*($B532*4+$F532),0))</f>
        <v/>
      </c>
      <c r="L532" s="38">
        <f>IF($A532="","",IF($B532="","EKSİK","TAM"))</f>
        <v/>
      </c>
    </row>
    <row r="533">
      <c r="J533" s="38">
        <f>IF($A533="","",IFERROR($B533*$C533+$B533/30*7*$D533,0))</f>
        <v/>
      </c>
      <c r="K533" s="38">
        <f>IF($A533="","",IFERROR($J533+$E533*($B533*4+$F533),0))</f>
        <v/>
      </c>
      <c r="L533" s="38">
        <f>IF($A533="","",IF($B533="","EKSİK","TAM"))</f>
        <v/>
      </c>
    </row>
    <row r="534">
      <c r="J534" s="38">
        <f>IF($A534="","",IFERROR($B534*$C534+$B534/30*7*$D534,0))</f>
        <v/>
      </c>
      <c r="K534" s="38">
        <f>IF($A534="","",IFERROR($J534+$E534*($B534*4+$F534),0))</f>
        <v/>
      </c>
      <c r="L534" s="38">
        <f>IF($A534="","",IF($B534="","EKSİK","TAM"))</f>
        <v/>
      </c>
    </row>
    <row r="535">
      <c r="J535" s="38">
        <f>IF($A535="","",IFERROR($B535*$C535+$B535/30*7*$D535,0))</f>
        <v/>
      </c>
      <c r="K535" s="38">
        <f>IF($A535="","",IFERROR($J535+$E535*($B535*4+$F535),0))</f>
        <v/>
      </c>
      <c r="L535" s="38">
        <f>IF($A535="","",IF($B535="","EKSİK","TAM"))</f>
        <v/>
      </c>
    </row>
    <row r="536">
      <c r="J536" s="38">
        <f>IF($A536="","",IFERROR($B536*$C536+$B536/30*7*$D536,0))</f>
        <v/>
      </c>
      <c r="K536" s="38">
        <f>IF($A536="","",IFERROR($J536+$E536*($B536*4+$F536),0))</f>
        <v/>
      </c>
      <c r="L536" s="38">
        <f>IF($A536="","",IF($B536="","EKSİK","TAM"))</f>
        <v/>
      </c>
    </row>
    <row r="537">
      <c r="J537" s="38">
        <f>IF($A537="","",IFERROR($B537*$C537+$B537/30*7*$D537,0))</f>
        <v/>
      </c>
      <c r="K537" s="38">
        <f>IF($A537="","",IFERROR($J537+$E537*($B537*4+$F537),0))</f>
        <v/>
      </c>
      <c r="L537" s="38">
        <f>IF($A537="","",IF($B537="","EKSİK","TAM"))</f>
        <v/>
      </c>
    </row>
    <row r="538">
      <c r="J538" s="38">
        <f>IF($A538="","",IFERROR($B538*$C538+$B538/30*7*$D538,0))</f>
        <v/>
      </c>
      <c r="K538" s="38">
        <f>IF($A538="","",IFERROR($J538+$E538*($B538*4+$F538),0))</f>
        <v/>
      </c>
      <c r="L538" s="38">
        <f>IF($A538="","",IF($B538="","EKSİK","TAM"))</f>
        <v/>
      </c>
    </row>
    <row r="539">
      <c r="J539" s="38">
        <f>IF($A539="","",IFERROR($B539*$C539+$B539/30*7*$D539,0))</f>
        <v/>
      </c>
      <c r="K539" s="38">
        <f>IF($A539="","",IFERROR($J539+$E539*($B539*4+$F539),0))</f>
        <v/>
      </c>
      <c r="L539" s="38">
        <f>IF($A539="","",IF($B539="","EKSİK","TAM"))</f>
        <v/>
      </c>
    </row>
    <row r="540">
      <c r="J540" s="38">
        <f>IF($A540="","",IFERROR($B540*$C540+$B540/30*7*$D540,0))</f>
        <v/>
      </c>
      <c r="K540" s="38">
        <f>IF($A540="","",IFERROR($J540+$E540*($B540*4+$F540),0))</f>
        <v/>
      </c>
      <c r="L540" s="38">
        <f>IF($A540="","",IF($B540="","EKSİK","TAM"))</f>
        <v/>
      </c>
    </row>
    <row r="541">
      <c r="J541" s="38">
        <f>IF($A541="","",IFERROR($B541*$C541+$B541/30*7*$D541,0))</f>
        <v/>
      </c>
      <c r="K541" s="38">
        <f>IF($A541="","",IFERROR($J541+$E541*($B541*4+$F541),0))</f>
        <v/>
      </c>
      <c r="L541" s="38">
        <f>IF($A541="","",IF($B541="","EKSİK","TAM"))</f>
        <v/>
      </c>
    </row>
    <row r="542">
      <c r="J542" s="38">
        <f>IF($A542="","",IFERROR($B542*$C542+$B542/30*7*$D542,0))</f>
        <v/>
      </c>
      <c r="K542" s="38">
        <f>IF($A542="","",IFERROR($J542+$E542*($B542*4+$F542),0))</f>
        <v/>
      </c>
      <c r="L542" s="38">
        <f>IF($A542="","",IF($B542="","EKSİK","TAM"))</f>
        <v/>
      </c>
    </row>
    <row r="543">
      <c r="J543" s="38">
        <f>IF($A543="","",IFERROR($B543*$C543+$B543/30*7*$D543,0))</f>
        <v/>
      </c>
      <c r="K543" s="38">
        <f>IF($A543="","",IFERROR($J543+$E543*($B543*4+$F543),0))</f>
        <v/>
      </c>
      <c r="L543" s="38">
        <f>IF($A543="","",IF($B543="","EKSİK","TAM"))</f>
        <v/>
      </c>
    </row>
    <row r="544">
      <c r="J544" s="38">
        <f>IF($A544="","",IFERROR($B544*$C544+$B544/30*7*$D544,0))</f>
        <v/>
      </c>
      <c r="K544" s="38">
        <f>IF($A544="","",IFERROR($J544+$E544*($B544*4+$F544),0))</f>
        <v/>
      </c>
      <c r="L544" s="38">
        <f>IF($A544="","",IF($B544="","EKSİK","TAM"))</f>
        <v/>
      </c>
    </row>
    <row r="545">
      <c r="J545" s="38">
        <f>IF($A545="","",IFERROR($B545*$C545+$B545/30*7*$D545,0))</f>
        <v/>
      </c>
      <c r="K545" s="38">
        <f>IF($A545="","",IFERROR($J545+$E545*($B545*4+$F545),0))</f>
        <v/>
      </c>
      <c r="L545" s="38">
        <f>IF($A545="","",IF($B545="","EKSİK","TAM"))</f>
        <v/>
      </c>
    </row>
    <row r="546">
      <c r="J546" s="38">
        <f>IF($A546="","",IFERROR($B546*$C546+$B546/30*7*$D546,0))</f>
        <v/>
      </c>
      <c r="K546" s="38">
        <f>IF($A546="","",IFERROR($J546+$E546*($B546*4+$F546),0))</f>
        <v/>
      </c>
      <c r="L546" s="38">
        <f>IF($A546="","",IF($B546="","EKSİK","TAM"))</f>
        <v/>
      </c>
    </row>
    <row r="547">
      <c r="J547" s="38">
        <f>IF($A547="","",IFERROR($B547*$C547+$B547/30*7*$D547,0))</f>
        <v/>
      </c>
      <c r="K547" s="38">
        <f>IF($A547="","",IFERROR($J547+$E547*($B547*4+$F547),0))</f>
        <v/>
      </c>
      <c r="L547" s="38">
        <f>IF($A547="","",IF($B547="","EKSİK","TAM"))</f>
        <v/>
      </c>
    </row>
    <row r="548">
      <c r="J548" s="38">
        <f>IF($A548="","",IFERROR($B548*$C548+$B548/30*7*$D548,0))</f>
        <v/>
      </c>
      <c r="K548" s="38">
        <f>IF($A548="","",IFERROR($J548+$E548*($B548*4+$F548),0))</f>
        <v/>
      </c>
      <c r="L548" s="38">
        <f>IF($A548="","",IF($B548="","EKSİK","TAM"))</f>
        <v/>
      </c>
    </row>
    <row r="549">
      <c r="J549" s="38">
        <f>IF($A549="","",IFERROR($B549*$C549+$B549/30*7*$D549,0))</f>
        <v/>
      </c>
      <c r="K549" s="38">
        <f>IF($A549="","",IFERROR($J549+$E549*($B549*4+$F549),0))</f>
        <v/>
      </c>
      <c r="L549" s="38">
        <f>IF($A549="","",IF($B549="","EKSİK","TAM"))</f>
        <v/>
      </c>
    </row>
    <row r="550">
      <c r="J550" s="38">
        <f>IF($A550="","",IFERROR($B550*$C550+$B550/30*7*$D550,0))</f>
        <v/>
      </c>
      <c r="K550" s="38">
        <f>IF($A550="","",IFERROR($J550+$E550*($B550*4+$F550),0))</f>
        <v/>
      </c>
      <c r="L550" s="38">
        <f>IF($A550="","",IF($B550="","EKSİK","TAM"))</f>
        <v/>
      </c>
    </row>
    <row r="551">
      <c r="J551" s="38">
        <f>IF($A551="","",IFERROR($B551*$C551+$B551/30*7*$D551,0))</f>
        <v/>
      </c>
      <c r="K551" s="38">
        <f>IF($A551="","",IFERROR($J551+$E551*($B551*4+$F551),0))</f>
        <v/>
      </c>
      <c r="L551" s="38">
        <f>IF($A551="","",IF($B551="","EKSİK","TAM"))</f>
        <v/>
      </c>
    </row>
    <row r="552">
      <c r="J552" s="38">
        <f>IF($A552="","",IFERROR($B552*$C552+$B552/30*7*$D552,0))</f>
        <v/>
      </c>
      <c r="K552" s="38">
        <f>IF($A552="","",IFERROR($J552+$E552*($B552*4+$F552),0))</f>
        <v/>
      </c>
      <c r="L552" s="38">
        <f>IF($A552="","",IF($B552="","EKSİK","TAM"))</f>
        <v/>
      </c>
    </row>
    <row r="553">
      <c r="J553" s="38">
        <f>IF($A553="","",IFERROR($B553*$C553+$B553/30*7*$D553,0))</f>
        <v/>
      </c>
      <c r="K553" s="38">
        <f>IF($A553="","",IFERROR($J553+$E553*($B553*4+$F553),0))</f>
        <v/>
      </c>
      <c r="L553" s="38">
        <f>IF($A553="","",IF($B553="","EKSİK","TAM"))</f>
        <v/>
      </c>
    </row>
    <row r="554">
      <c r="J554" s="38">
        <f>IF($A554="","",IFERROR($B554*$C554+$B554/30*7*$D554,0))</f>
        <v/>
      </c>
      <c r="K554" s="38">
        <f>IF($A554="","",IFERROR($J554+$E554*($B554*4+$F554),0))</f>
        <v/>
      </c>
      <c r="L554" s="38">
        <f>IF($A554="","",IF($B554="","EKSİK","TAM"))</f>
        <v/>
      </c>
    </row>
    <row r="555">
      <c r="J555" s="38">
        <f>IF($A555="","",IFERROR($B555*$C555+$B555/30*7*$D555,0))</f>
        <v/>
      </c>
      <c r="K555" s="38">
        <f>IF($A555="","",IFERROR($J555+$E555*($B555*4+$F555),0))</f>
        <v/>
      </c>
      <c r="L555" s="38">
        <f>IF($A555="","",IF($B555="","EKSİK","TAM"))</f>
        <v/>
      </c>
    </row>
    <row r="556">
      <c r="J556" s="38">
        <f>IF($A556="","",IFERROR($B556*$C556+$B556/30*7*$D556,0))</f>
        <v/>
      </c>
      <c r="K556" s="38">
        <f>IF($A556="","",IFERROR($J556+$E556*($B556*4+$F556),0))</f>
        <v/>
      </c>
      <c r="L556" s="38">
        <f>IF($A556="","",IF($B556="","EKSİK","TAM"))</f>
        <v/>
      </c>
    </row>
    <row r="557">
      <c r="J557" s="38">
        <f>IF($A557="","",IFERROR($B557*$C557+$B557/30*7*$D557,0))</f>
        <v/>
      </c>
      <c r="K557" s="38">
        <f>IF($A557="","",IFERROR($J557+$E557*($B557*4+$F557),0))</f>
        <v/>
      </c>
      <c r="L557" s="38">
        <f>IF($A557="","",IF($B557="","EKSİK","TAM"))</f>
        <v/>
      </c>
    </row>
    <row r="558">
      <c r="J558" s="38">
        <f>IF($A558="","",IFERROR($B558*$C558+$B558/30*7*$D558,0))</f>
        <v/>
      </c>
      <c r="K558" s="38">
        <f>IF($A558="","",IFERROR($J558+$E558*($B558*4+$F558),0))</f>
        <v/>
      </c>
      <c r="L558" s="38">
        <f>IF($A558="","",IF($B558="","EKSİK","TAM"))</f>
        <v/>
      </c>
    </row>
    <row r="559">
      <c r="J559" s="38">
        <f>IF($A559="","",IFERROR($B559*$C559+$B559/30*7*$D559,0))</f>
        <v/>
      </c>
      <c r="K559" s="38">
        <f>IF($A559="","",IFERROR($J559+$E559*($B559*4+$F559),0))</f>
        <v/>
      </c>
      <c r="L559" s="38">
        <f>IF($A559="","",IF($B559="","EKSİK","TAM"))</f>
        <v/>
      </c>
    </row>
    <row r="560">
      <c r="J560" s="38">
        <f>IF($A560="","",IFERROR($B560*$C560+$B560/30*7*$D560,0))</f>
        <v/>
      </c>
      <c r="K560" s="38">
        <f>IF($A560="","",IFERROR($J560+$E560*($B560*4+$F560),0))</f>
        <v/>
      </c>
      <c r="L560" s="38">
        <f>IF($A560="","",IF($B560="","EKSİK","TAM"))</f>
        <v/>
      </c>
    </row>
    <row r="561">
      <c r="J561" s="38">
        <f>IF($A561="","",IFERROR($B561*$C561+$B561/30*7*$D561,0))</f>
        <v/>
      </c>
      <c r="K561" s="38">
        <f>IF($A561="","",IFERROR($J561+$E561*($B561*4+$F561),0))</f>
        <v/>
      </c>
      <c r="L561" s="38">
        <f>IF($A561="","",IF($B561="","EKSİK","TAM"))</f>
        <v/>
      </c>
    </row>
    <row r="562">
      <c r="J562" s="38">
        <f>IF($A562="","",IFERROR($B562*$C562+$B562/30*7*$D562,0))</f>
        <v/>
      </c>
      <c r="K562" s="38">
        <f>IF($A562="","",IFERROR($J562+$E562*($B562*4+$F562),0))</f>
        <v/>
      </c>
      <c r="L562" s="38">
        <f>IF($A562="","",IF($B562="","EKSİK","TAM"))</f>
        <v/>
      </c>
    </row>
    <row r="563">
      <c r="J563" s="38">
        <f>IF($A563="","",IFERROR($B563*$C563+$B563/30*7*$D563,0))</f>
        <v/>
      </c>
      <c r="K563" s="38">
        <f>IF($A563="","",IFERROR($J563+$E563*($B563*4+$F563),0))</f>
        <v/>
      </c>
      <c r="L563" s="38">
        <f>IF($A563="","",IF($B563="","EKSİK","TAM"))</f>
        <v/>
      </c>
    </row>
    <row r="564">
      <c r="J564" s="38">
        <f>IF($A564="","",IFERROR($B564*$C564+$B564/30*7*$D564,0))</f>
        <v/>
      </c>
      <c r="K564" s="38">
        <f>IF($A564="","",IFERROR($J564+$E564*($B564*4+$F564),0))</f>
        <v/>
      </c>
      <c r="L564" s="38">
        <f>IF($A564="","",IF($B564="","EKSİK","TAM"))</f>
        <v/>
      </c>
    </row>
    <row r="565">
      <c r="J565" s="38">
        <f>IF($A565="","",IFERROR($B565*$C565+$B565/30*7*$D565,0))</f>
        <v/>
      </c>
      <c r="K565" s="38">
        <f>IF($A565="","",IFERROR($J565+$E565*($B565*4+$F565),0))</f>
        <v/>
      </c>
      <c r="L565" s="38">
        <f>IF($A565="","",IF($B565="","EKSİK","TAM"))</f>
        <v/>
      </c>
    </row>
    <row r="566">
      <c r="J566" s="38">
        <f>IF($A566="","",IFERROR($B566*$C566+$B566/30*7*$D566,0))</f>
        <v/>
      </c>
      <c r="K566" s="38">
        <f>IF($A566="","",IFERROR($J566+$E566*($B566*4+$F566),0))</f>
        <v/>
      </c>
      <c r="L566" s="38">
        <f>IF($A566="","",IF($B566="","EKSİK","TAM"))</f>
        <v/>
      </c>
    </row>
    <row r="567">
      <c r="J567" s="38">
        <f>IF($A567="","",IFERROR($B567*$C567+$B567/30*7*$D567,0))</f>
        <v/>
      </c>
      <c r="K567" s="38">
        <f>IF($A567="","",IFERROR($J567+$E567*($B567*4+$F567),0))</f>
        <v/>
      </c>
      <c r="L567" s="38">
        <f>IF($A567="","",IF($B567="","EKSİK","TAM"))</f>
        <v/>
      </c>
    </row>
    <row r="568">
      <c r="J568" s="38">
        <f>IF($A568="","",IFERROR($B568*$C568+$B568/30*7*$D568,0))</f>
        <v/>
      </c>
      <c r="K568" s="38">
        <f>IF($A568="","",IFERROR($J568+$E568*($B568*4+$F568),0))</f>
        <v/>
      </c>
      <c r="L568" s="38">
        <f>IF($A568="","",IF($B568="","EKSİK","TAM"))</f>
        <v/>
      </c>
    </row>
    <row r="569">
      <c r="J569" s="38">
        <f>IF($A569="","",IFERROR($B569*$C569+$B569/30*7*$D569,0))</f>
        <v/>
      </c>
      <c r="K569" s="38">
        <f>IF($A569="","",IFERROR($J569+$E569*($B569*4+$F569),0))</f>
        <v/>
      </c>
      <c r="L569" s="38">
        <f>IF($A569="","",IF($B569="","EKSİK","TAM"))</f>
        <v/>
      </c>
    </row>
    <row r="570">
      <c r="J570" s="38">
        <f>IF($A570="","",IFERROR($B570*$C570+$B570/30*7*$D570,0))</f>
        <v/>
      </c>
      <c r="K570" s="38">
        <f>IF($A570="","",IFERROR($J570+$E570*($B570*4+$F570),0))</f>
        <v/>
      </c>
      <c r="L570" s="38">
        <f>IF($A570="","",IF($B570="","EKSİK","TAM"))</f>
        <v/>
      </c>
    </row>
    <row r="571">
      <c r="J571" s="38">
        <f>IF($A571="","",IFERROR($B571*$C571+$B571/30*7*$D571,0))</f>
        <v/>
      </c>
      <c r="K571" s="38">
        <f>IF($A571="","",IFERROR($J571+$E571*($B571*4+$F571),0))</f>
        <v/>
      </c>
      <c r="L571" s="38">
        <f>IF($A571="","",IF($B571="","EKSİK","TAM"))</f>
        <v/>
      </c>
    </row>
    <row r="572">
      <c r="J572" s="38">
        <f>IF($A572="","",IFERROR($B572*$C572+$B572/30*7*$D572,0))</f>
        <v/>
      </c>
      <c r="K572" s="38">
        <f>IF($A572="","",IFERROR($J572+$E572*($B572*4+$F572),0))</f>
        <v/>
      </c>
      <c r="L572" s="38">
        <f>IF($A572="","",IF($B572="","EKSİK","TAM"))</f>
        <v/>
      </c>
    </row>
    <row r="573">
      <c r="J573" s="38">
        <f>IF($A573="","",IFERROR($B573*$C573+$B573/30*7*$D573,0))</f>
        <v/>
      </c>
      <c r="K573" s="38">
        <f>IF($A573="","",IFERROR($J573+$E573*($B573*4+$F573),0))</f>
        <v/>
      </c>
      <c r="L573" s="38">
        <f>IF($A573="","",IF($B573="","EKSİK","TAM"))</f>
        <v/>
      </c>
    </row>
    <row r="574">
      <c r="J574" s="38">
        <f>IF($A574="","",IFERROR($B574*$C574+$B574/30*7*$D574,0))</f>
        <v/>
      </c>
      <c r="K574" s="38">
        <f>IF($A574="","",IFERROR($J574+$E574*($B574*4+$F574),0))</f>
        <v/>
      </c>
      <c r="L574" s="38">
        <f>IF($A574="","",IF($B574="","EKSİK","TAM"))</f>
        <v/>
      </c>
    </row>
    <row r="575">
      <c r="J575" s="38">
        <f>IF($A575="","",IFERROR($B575*$C575+$B575/30*7*$D575,0))</f>
        <v/>
      </c>
      <c r="K575" s="38">
        <f>IF($A575="","",IFERROR($J575+$E575*($B575*4+$F575),0))</f>
        <v/>
      </c>
      <c r="L575" s="38">
        <f>IF($A575="","",IF($B575="","EKSİK","TAM"))</f>
        <v/>
      </c>
    </row>
    <row r="576">
      <c r="J576" s="38">
        <f>IF($A576="","",IFERROR($B576*$C576+$B576/30*7*$D576,0))</f>
        <v/>
      </c>
      <c r="K576" s="38">
        <f>IF($A576="","",IFERROR($J576+$E576*($B576*4+$F576),0))</f>
        <v/>
      </c>
      <c r="L576" s="38">
        <f>IF($A576="","",IF($B576="","EKSİK","TAM"))</f>
        <v/>
      </c>
    </row>
    <row r="577">
      <c r="J577" s="38">
        <f>IF($A577="","",IFERROR($B577*$C577+$B577/30*7*$D577,0))</f>
        <v/>
      </c>
      <c r="K577" s="38">
        <f>IF($A577="","",IFERROR($J577+$E577*($B577*4+$F577),0))</f>
        <v/>
      </c>
      <c r="L577" s="38">
        <f>IF($A577="","",IF($B577="","EKSİK","TAM"))</f>
        <v/>
      </c>
    </row>
    <row r="578">
      <c r="J578" s="38">
        <f>IF($A578="","",IFERROR($B578*$C578+$B578/30*7*$D578,0))</f>
        <v/>
      </c>
      <c r="K578" s="38">
        <f>IF($A578="","",IFERROR($J578+$E578*($B578*4+$F578),0))</f>
        <v/>
      </c>
      <c r="L578" s="38">
        <f>IF($A578="","",IF($B578="","EKSİK","TAM"))</f>
        <v/>
      </c>
    </row>
    <row r="579">
      <c r="J579" s="38">
        <f>IF($A579="","",IFERROR($B579*$C579+$B579/30*7*$D579,0))</f>
        <v/>
      </c>
      <c r="K579" s="38">
        <f>IF($A579="","",IFERROR($J579+$E579*($B579*4+$F579),0))</f>
        <v/>
      </c>
      <c r="L579" s="38">
        <f>IF($A579="","",IF($B579="","EKSİK","TAM"))</f>
        <v/>
      </c>
    </row>
    <row r="580">
      <c r="J580" s="38">
        <f>IF($A580="","",IFERROR($B580*$C580+$B580/30*7*$D580,0))</f>
        <v/>
      </c>
      <c r="K580" s="38">
        <f>IF($A580="","",IFERROR($J580+$E580*($B580*4+$F580),0))</f>
        <v/>
      </c>
      <c r="L580" s="38">
        <f>IF($A580="","",IF($B580="","EKSİK","TAM"))</f>
        <v/>
      </c>
    </row>
    <row r="581">
      <c r="J581" s="38">
        <f>IF($A581="","",IFERROR($B581*$C581+$B581/30*7*$D581,0))</f>
        <v/>
      </c>
      <c r="K581" s="38">
        <f>IF($A581="","",IFERROR($J581+$E581*($B581*4+$F581),0))</f>
        <v/>
      </c>
      <c r="L581" s="38">
        <f>IF($A581="","",IF($B581="","EKSİK","TAM"))</f>
        <v/>
      </c>
    </row>
    <row r="582">
      <c r="J582" s="38">
        <f>IF($A582="","",IFERROR($B582*$C582+$B582/30*7*$D582,0))</f>
        <v/>
      </c>
      <c r="K582" s="38">
        <f>IF($A582="","",IFERROR($J582+$E582*($B582*4+$F582),0))</f>
        <v/>
      </c>
      <c r="L582" s="38">
        <f>IF($A582="","",IF($B582="","EKSİK","TAM"))</f>
        <v/>
      </c>
    </row>
    <row r="583">
      <c r="J583" s="38">
        <f>IF($A583="","",IFERROR($B583*$C583+$B583/30*7*$D583,0))</f>
        <v/>
      </c>
      <c r="K583" s="38">
        <f>IF($A583="","",IFERROR($J583+$E583*($B583*4+$F583),0))</f>
        <v/>
      </c>
      <c r="L583" s="38">
        <f>IF($A583="","",IF($B583="","EKSİK","TAM"))</f>
        <v/>
      </c>
    </row>
    <row r="584">
      <c r="J584" s="38">
        <f>IF($A584="","",IFERROR($B584*$C584+$B584/30*7*$D584,0))</f>
        <v/>
      </c>
      <c r="K584" s="38">
        <f>IF($A584="","",IFERROR($J584+$E584*($B584*4+$F584),0))</f>
        <v/>
      </c>
      <c r="L584" s="38">
        <f>IF($A584="","",IF($B584="","EKSİK","TAM"))</f>
        <v/>
      </c>
    </row>
    <row r="585">
      <c r="J585" s="38">
        <f>IF($A585="","",IFERROR($B585*$C585+$B585/30*7*$D585,0))</f>
        <v/>
      </c>
      <c r="K585" s="38">
        <f>IF($A585="","",IFERROR($J585+$E585*($B585*4+$F585),0))</f>
        <v/>
      </c>
      <c r="L585" s="38">
        <f>IF($A585="","",IF($B585="","EKSİK","TAM"))</f>
        <v/>
      </c>
    </row>
    <row r="586">
      <c r="J586" s="38">
        <f>IF($A586="","",IFERROR($B586*$C586+$B586/30*7*$D586,0))</f>
        <v/>
      </c>
      <c r="K586" s="38">
        <f>IF($A586="","",IFERROR($J586+$E586*($B586*4+$F586),0))</f>
        <v/>
      </c>
      <c r="L586" s="38">
        <f>IF($A586="","",IF($B586="","EKSİK","TAM"))</f>
        <v/>
      </c>
    </row>
    <row r="587">
      <c r="J587" s="38">
        <f>IF($A587="","",IFERROR($B587*$C587+$B587/30*7*$D587,0))</f>
        <v/>
      </c>
      <c r="K587" s="38">
        <f>IF($A587="","",IFERROR($J587+$E587*($B587*4+$F587),0))</f>
        <v/>
      </c>
      <c r="L587" s="38">
        <f>IF($A587="","",IF($B587="","EKSİK","TAM"))</f>
        <v/>
      </c>
    </row>
    <row r="588">
      <c r="J588" s="38">
        <f>IF($A588="","",IFERROR($B588*$C588+$B588/30*7*$D588,0))</f>
        <v/>
      </c>
      <c r="K588" s="38">
        <f>IF($A588="","",IFERROR($J588+$E588*($B588*4+$F588),0))</f>
        <v/>
      </c>
      <c r="L588" s="38">
        <f>IF($A588="","",IF($B588="","EKSİK","TAM"))</f>
        <v/>
      </c>
    </row>
    <row r="589">
      <c r="J589" s="38">
        <f>IF($A589="","",IFERROR($B589*$C589+$B589/30*7*$D589,0))</f>
        <v/>
      </c>
      <c r="K589" s="38">
        <f>IF($A589="","",IFERROR($J589+$E589*($B589*4+$F589),0))</f>
        <v/>
      </c>
      <c r="L589" s="38">
        <f>IF($A589="","",IF($B589="","EKSİK","TAM"))</f>
        <v/>
      </c>
    </row>
    <row r="590">
      <c r="J590" s="38">
        <f>IF($A590="","",IFERROR($B590*$C590+$B590/30*7*$D590,0))</f>
        <v/>
      </c>
      <c r="K590" s="38">
        <f>IF($A590="","",IFERROR($J590+$E590*($B590*4+$F590),0))</f>
        <v/>
      </c>
      <c r="L590" s="38">
        <f>IF($A590="","",IF($B590="","EKSİK","TAM"))</f>
        <v/>
      </c>
    </row>
    <row r="591">
      <c r="J591" s="38">
        <f>IF($A591="","",IFERROR($B591*$C591+$B591/30*7*$D591,0))</f>
        <v/>
      </c>
      <c r="K591" s="38">
        <f>IF($A591="","",IFERROR($J591+$E591*($B591*4+$F591),0))</f>
        <v/>
      </c>
      <c r="L591" s="38">
        <f>IF($A591="","",IF($B591="","EKSİK","TAM"))</f>
        <v/>
      </c>
    </row>
    <row r="592">
      <c r="J592" s="38">
        <f>IF($A592="","",IFERROR($B592*$C592+$B592/30*7*$D592,0))</f>
        <v/>
      </c>
      <c r="K592" s="38">
        <f>IF($A592="","",IFERROR($J592+$E592*($B592*4+$F592),0))</f>
        <v/>
      </c>
      <c r="L592" s="38">
        <f>IF($A592="","",IF($B592="","EKSİK","TAM"))</f>
        <v/>
      </c>
    </row>
    <row r="593">
      <c r="J593" s="38">
        <f>IF($A593="","",IFERROR($B593*$C593+$B593/30*7*$D593,0))</f>
        <v/>
      </c>
      <c r="K593" s="38">
        <f>IF($A593="","",IFERROR($J593+$E593*($B593*4+$F593),0))</f>
        <v/>
      </c>
      <c r="L593" s="38">
        <f>IF($A593="","",IF($B593="","EKSİK","TAM"))</f>
        <v/>
      </c>
    </row>
    <row r="594">
      <c r="J594" s="38">
        <f>IF($A594="","",IFERROR($B594*$C594+$B594/30*7*$D594,0))</f>
        <v/>
      </c>
      <c r="K594" s="38">
        <f>IF($A594="","",IFERROR($J594+$E594*($B594*4+$F594),0))</f>
        <v/>
      </c>
      <c r="L594" s="38">
        <f>IF($A594="","",IF($B594="","EKSİK","TAM"))</f>
        <v/>
      </c>
    </row>
    <row r="595">
      <c r="J595" s="38">
        <f>IF($A595="","",IFERROR($B595*$C595+$B595/30*7*$D595,0))</f>
        <v/>
      </c>
      <c r="K595" s="38">
        <f>IF($A595="","",IFERROR($J595+$E595*($B595*4+$F595),0))</f>
        <v/>
      </c>
      <c r="L595" s="38">
        <f>IF($A595="","",IF($B595="","EKSİK","TAM"))</f>
        <v/>
      </c>
    </row>
    <row r="596">
      <c r="J596" s="38">
        <f>IF($A596="","",IFERROR($B596*$C596+$B596/30*7*$D596,0))</f>
        <v/>
      </c>
      <c r="K596" s="38">
        <f>IF($A596="","",IFERROR($J596+$E596*($B596*4+$F596),0))</f>
        <v/>
      </c>
      <c r="L596" s="38">
        <f>IF($A596="","",IF($B596="","EKSİK","TAM"))</f>
        <v/>
      </c>
    </row>
    <row r="597">
      <c r="J597" s="38">
        <f>IF($A597="","",IFERROR($B597*$C597+$B597/30*7*$D597,0))</f>
        <v/>
      </c>
      <c r="K597" s="38">
        <f>IF($A597="","",IFERROR($J597+$E597*($B597*4+$F597),0))</f>
        <v/>
      </c>
      <c r="L597" s="38">
        <f>IF($A597="","",IF($B597="","EKSİK","TAM"))</f>
        <v/>
      </c>
    </row>
    <row r="598">
      <c r="J598" s="38">
        <f>IF($A598="","",IFERROR($B598*$C598+$B598/30*7*$D598,0))</f>
        <v/>
      </c>
      <c r="K598" s="38">
        <f>IF($A598="","",IFERROR($J598+$E598*($B598*4+$F598),0))</f>
        <v/>
      </c>
      <c r="L598" s="38">
        <f>IF($A598="","",IF($B598="","EKSİK","TAM"))</f>
        <v/>
      </c>
    </row>
    <row r="599">
      <c r="J599" s="38">
        <f>IF($A599="","",IFERROR($B599*$C599+$B599/30*7*$D599,0))</f>
        <v/>
      </c>
      <c r="K599" s="38">
        <f>IF($A599="","",IFERROR($J599+$E599*($B599*4+$F599),0))</f>
        <v/>
      </c>
      <c r="L599" s="38">
        <f>IF($A599="","",IF($B599="","EKSİK","TAM"))</f>
        <v/>
      </c>
    </row>
    <row r="600">
      <c r="J600" s="38">
        <f>IF($A600="","",IFERROR($B600*$C600+$B600/30*7*$D600,0))</f>
        <v/>
      </c>
      <c r="K600" s="38">
        <f>IF($A600="","",IFERROR($J600+$E600*($B600*4+$F600),0))</f>
        <v/>
      </c>
      <c r="L600" s="38">
        <f>IF($A600="","",IF($B600="","EKSİK","TAM"))</f>
        <v/>
      </c>
    </row>
    <row r="601">
      <c r="J601" s="38">
        <f>IF($A601="","",IFERROR($B601*$C601+$B601/30*7*$D601,0))</f>
        <v/>
      </c>
      <c r="K601" s="38">
        <f>IF($A601="","",IFERROR($J601+$E601*($B601*4+$F601),0))</f>
        <v/>
      </c>
      <c r="L601" s="38">
        <f>IF($A601="","",IF($B601="","EKSİK","TAM"))</f>
        <v/>
      </c>
    </row>
    <row r="602">
      <c r="J602" s="38">
        <f>IF($A602="","",IFERROR($B602*$C602+$B602/30*7*$D602,0))</f>
        <v/>
      </c>
      <c r="K602" s="38">
        <f>IF($A602="","",IFERROR($J602+$E602*($B602*4+$F602),0))</f>
        <v/>
      </c>
      <c r="L602" s="38">
        <f>IF($A602="","",IF($B602="","EKSİK","TAM"))</f>
        <v/>
      </c>
    </row>
    <row r="603">
      <c r="J603" s="38">
        <f>IF($A603="","",IFERROR($B603*$C603+$B603/30*7*$D603,0))</f>
        <v/>
      </c>
      <c r="K603" s="38">
        <f>IF($A603="","",IFERROR($J603+$E603*($B603*4+$F603),0))</f>
        <v/>
      </c>
      <c r="L603" s="38">
        <f>IF($A603="","",IF($B603="","EKSİK","TAM"))</f>
        <v/>
      </c>
    </row>
    <row r="604">
      <c r="J604" s="38">
        <f>IF($A604="","",IFERROR($B604*$C604+$B604/30*7*$D604,0))</f>
        <v/>
      </c>
      <c r="K604" s="38">
        <f>IF($A604="","",IFERROR($J604+$E604*($B604*4+$F604),0))</f>
        <v/>
      </c>
      <c r="L604" s="38">
        <f>IF($A604="","",IF($B604="","EKSİK","TAM"))</f>
        <v/>
      </c>
    </row>
    <row r="605">
      <c r="J605" s="38">
        <f>IF($A605="","",IFERROR($B605*$C605+$B605/30*7*$D605,0))</f>
        <v/>
      </c>
      <c r="K605" s="38">
        <f>IF($A605="","",IFERROR($J605+$E605*($B605*4+$F605),0))</f>
        <v/>
      </c>
      <c r="L605" s="38">
        <f>IF($A605="","",IF($B605="","EKSİK","TAM"))</f>
        <v/>
      </c>
    </row>
    <row r="606">
      <c r="J606" s="38">
        <f>IF($A606="","",IFERROR($B606*$C606+$B606/30*7*$D606,0))</f>
        <v/>
      </c>
      <c r="K606" s="38">
        <f>IF($A606="","",IFERROR($J606+$E606*($B606*4+$F606),0))</f>
        <v/>
      </c>
      <c r="L606" s="38">
        <f>IF($A606="","",IF($B606="","EKSİK","TAM"))</f>
        <v/>
      </c>
    </row>
    <row r="607">
      <c r="J607" s="38">
        <f>IF($A607="","",IFERROR($B607*$C607+$B607/30*7*$D607,0))</f>
        <v/>
      </c>
      <c r="K607" s="38">
        <f>IF($A607="","",IFERROR($J607+$E607*($B607*4+$F607),0))</f>
        <v/>
      </c>
      <c r="L607" s="38">
        <f>IF($A607="","",IF($B607="","EKSİK","TAM"))</f>
        <v/>
      </c>
    </row>
    <row r="608">
      <c r="J608" s="38">
        <f>IF($A608="","",IFERROR($B608*$C608+$B608/30*7*$D608,0))</f>
        <v/>
      </c>
      <c r="K608" s="38">
        <f>IF($A608="","",IFERROR($J608+$E608*($B608*4+$F608),0))</f>
        <v/>
      </c>
      <c r="L608" s="38">
        <f>IF($A608="","",IF($B608="","EKSİK","TAM"))</f>
        <v/>
      </c>
    </row>
    <row r="609">
      <c r="J609" s="38">
        <f>IF($A609="","",IFERROR($B609*$C609+$B609/30*7*$D609,0))</f>
        <v/>
      </c>
      <c r="K609" s="38">
        <f>IF($A609="","",IFERROR($J609+$E609*($B609*4+$F609),0))</f>
        <v/>
      </c>
      <c r="L609" s="38">
        <f>IF($A609="","",IF($B609="","EKSİK","TAM"))</f>
        <v/>
      </c>
    </row>
    <row r="610">
      <c r="J610" s="38">
        <f>IF($A610="","",IFERROR($B610*$C610+$B610/30*7*$D610,0))</f>
        <v/>
      </c>
      <c r="K610" s="38">
        <f>IF($A610="","",IFERROR($J610+$E610*($B610*4+$F610),0))</f>
        <v/>
      </c>
      <c r="L610" s="38">
        <f>IF($A610="","",IF($B610="","EKSİK","TAM"))</f>
        <v/>
      </c>
    </row>
    <row r="611">
      <c r="J611" s="38">
        <f>IF($A611="","",IFERROR($B611*$C611+$B611/30*7*$D611,0))</f>
        <v/>
      </c>
      <c r="K611" s="38">
        <f>IF($A611="","",IFERROR($J611+$E611*($B611*4+$F611),0))</f>
        <v/>
      </c>
      <c r="L611" s="38">
        <f>IF($A611="","",IF($B611="","EKSİK","TAM"))</f>
        <v/>
      </c>
    </row>
    <row r="612">
      <c r="J612" s="38">
        <f>IF($A612="","",IFERROR($B612*$C612+$B612/30*7*$D612,0))</f>
        <v/>
      </c>
      <c r="K612" s="38">
        <f>IF($A612="","",IFERROR($J612+$E612*($B612*4+$F612),0))</f>
        <v/>
      </c>
      <c r="L612" s="38">
        <f>IF($A612="","",IF($B612="","EKSİK","TAM"))</f>
        <v/>
      </c>
    </row>
    <row r="613">
      <c r="J613" s="38">
        <f>IF($A613="","",IFERROR($B613*$C613+$B613/30*7*$D613,0))</f>
        <v/>
      </c>
      <c r="K613" s="38">
        <f>IF($A613="","",IFERROR($J613+$E613*($B613*4+$F613),0))</f>
        <v/>
      </c>
      <c r="L613" s="38">
        <f>IF($A613="","",IF($B613="","EKSİK","TAM"))</f>
        <v/>
      </c>
    </row>
    <row r="614">
      <c r="J614" s="38">
        <f>IF($A614="","",IFERROR($B614*$C614+$B614/30*7*$D614,0))</f>
        <v/>
      </c>
      <c r="K614" s="38">
        <f>IF($A614="","",IFERROR($J614+$E614*($B614*4+$F614),0))</f>
        <v/>
      </c>
      <c r="L614" s="38">
        <f>IF($A614="","",IF($B614="","EKSİK","TAM"))</f>
        <v/>
      </c>
    </row>
    <row r="615">
      <c r="J615" s="38">
        <f>IF($A615="","",IFERROR($B615*$C615+$B615/30*7*$D615,0))</f>
        <v/>
      </c>
      <c r="K615" s="38">
        <f>IF($A615="","",IFERROR($J615+$E615*($B615*4+$F615),0))</f>
        <v/>
      </c>
      <c r="L615" s="38">
        <f>IF($A615="","",IF($B615="","EKSİK","TAM"))</f>
        <v/>
      </c>
    </row>
    <row r="616">
      <c r="J616" s="38">
        <f>IF($A616="","",IFERROR($B616*$C616+$B616/30*7*$D616,0))</f>
        <v/>
      </c>
      <c r="K616" s="38">
        <f>IF($A616="","",IFERROR($J616+$E616*($B616*4+$F616),0))</f>
        <v/>
      </c>
      <c r="L616" s="38">
        <f>IF($A616="","",IF($B616="","EKSİK","TAM"))</f>
        <v/>
      </c>
    </row>
    <row r="617">
      <c r="J617" s="38">
        <f>IF($A617="","",IFERROR($B617*$C617+$B617/30*7*$D617,0))</f>
        <v/>
      </c>
      <c r="K617" s="38">
        <f>IF($A617="","",IFERROR($J617+$E617*($B617*4+$F617),0))</f>
        <v/>
      </c>
      <c r="L617" s="38">
        <f>IF($A617="","",IF($B617="","EKSİK","TAM"))</f>
        <v/>
      </c>
    </row>
    <row r="618">
      <c r="J618" s="38">
        <f>IF($A618="","",IFERROR($B618*$C618+$B618/30*7*$D618,0))</f>
        <v/>
      </c>
      <c r="K618" s="38">
        <f>IF($A618="","",IFERROR($J618+$E618*($B618*4+$F618),0))</f>
        <v/>
      </c>
      <c r="L618" s="38">
        <f>IF($A618="","",IF($B618="","EKSİK","TAM"))</f>
        <v/>
      </c>
    </row>
    <row r="619">
      <c r="J619" s="38">
        <f>IF($A619="","",IFERROR($B619*$C619+$B619/30*7*$D619,0))</f>
        <v/>
      </c>
      <c r="K619" s="38">
        <f>IF($A619="","",IFERROR($J619+$E619*($B619*4+$F619),0))</f>
        <v/>
      </c>
      <c r="L619" s="38">
        <f>IF($A619="","",IF($B619="","EKSİK","TAM"))</f>
        <v/>
      </c>
    </row>
    <row r="620">
      <c r="J620" s="38">
        <f>IF($A620="","",IFERROR($B620*$C620+$B620/30*7*$D620,0))</f>
        <v/>
      </c>
      <c r="K620" s="38">
        <f>IF($A620="","",IFERROR($J620+$E620*($B620*4+$F620),0))</f>
        <v/>
      </c>
      <c r="L620" s="38">
        <f>IF($A620="","",IF($B620="","EKSİK","TAM"))</f>
        <v/>
      </c>
    </row>
    <row r="621">
      <c r="J621" s="38">
        <f>IF($A621="","",IFERROR($B621*$C621+$B621/30*7*$D621,0))</f>
        <v/>
      </c>
      <c r="K621" s="38">
        <f>IF($A621="","",IFERROR($J621+$E621*($B621*4+$F621),0))</f>
        <v/>
      </c>
      <c r="L621" s="38">
        <f>IF($A621="","",IF($B621="","EKSİK","TAM"))</f>
        <v/>
      </c>
    </row>
    <row r="622">
      <c r="J622" s="38">
        <f>IF($A622="","",IFERROR($B622*$C622+$B622/30*7*$D622,0))</f>
        <v/>
      </c>
      <c r="K622" s="38">
        <f>IF($A622="","",IFERROR($J622+$E622*($B622*4+$F622),0))</f>
        <v/>
      </c>
      <c r="L622" s="38">
        <f>IF($A622="","",IF($B622="","EKSİK","TAM"))</f>
        <v/>
      </c>
    </row>
    <row r="623">
      <c r="J623" s="38">
        <f>IF($A623="","",IFERROR($B623*$C623+$B623/30*7*$D623,0))</f>
        <v/>
      </c>
      <c r="K623" s="38">
        <f>IF($A623="","",IFERROR($J623+$E623*($B623*4+$F623),0))</f>
        <v/>
      </c>
      <c r="L623" s="38">
        <f>IF($A623="","",IF($B623="","EKSİK","TAM"))</f>
        <v/>
      </c>
    </row>
    <row r="624">
      <c r="J624" s="38">
        <f>IF($A624="","",IFERROR($B624*$C624+$B624/30*7*$D624,0))</f>
        <v/>
      </c>
      <c r="K624" s="38">
        <f>IF($A624="","",IFERROR($J624+$E624*($B624*4+$F624),0))</f>
        <v/>
      </c>
      <c r="L624" s="38">
        <f>IF($A624="","",IF($B624="","EKSİK","TAM"))</f>
        <v/>
      </c>
    </row>
    <row r="625">
      <c r="J625" s="38">
        <f>IF($A625="","",IFERROR($B625*$C625+$B625/30*7*$D625,0))</f>
        <v/>
      </c>
      <c r="K625" s="38">
        <f>IF($A625="","",IFERROR($J625+$E625*($B625*4+$F625),0))</f>
        <v/>
      </c>
      <c r="L625" s="38">
        <f>IF($A625="","",IF($B625="","EKSİK","TAM"))</f>
        <v/>
      </c>
    </row>
    <row r="626">
      <c r="J626" s="38">
        <f>IF($A626="","",IFERROR($B626*$C626+$B626/30*7*$D626,0))</f>
        <v/>
      </c>
      <c r="K626" s="38">
        <f>IF($A626="","",IFERROR($J626+$E626*($B626*4+$F626),0))</f>
        <v/>
      </c>
      <c r="L626" s="38">
        <f>IF($A626="","",IF($B626="","EKSİK","TAM"))</f>
        <v/>
      </c>
    </row>
    <row r="627">
      <c r="J627" s="38">
        <f>IF($A627="","",IFERROR($B627*$C627+$B627/30*7*$D627,0))</f>
        <v/>
      </c>
      <c r="K627" s="38">
        <f>IF($A627="","",IFERROR($J627+$E627*($B627*4+$F627),0))</f>
        <v/>
      </c>
      <c r="L627" s="38">
        <f>IF($A627="","",IF($B627="","EKSİK","TAM"))</f>
        <v/>
      </c>
    </row>
    <row r="628">
      <c r="J628" s="38">
        <f>IF($A628="","",IFERROR($B628*$C628+$B628/30*7*$D628,0))</f>
        <v/>
      </c>
      <c r="K628" s="38">
        <f>IF($A628="","",IFERROR($J628+$E628*($B628*4+$F628),0))</f>
        <v/>
      </c>
      <c r="L628" s="38">
        <f>IF($A628="","",IF($B628="","EKSİK","TAM"))</f>
        <v/>
      </c>
    </row>
    <row r="629">
      <c r="J629" s="38">
        <f>IF($A629="","",IFERROR($B629*$C629+$B629/30*7*$D629,0))</f>
        <v/>
      </c>
      <c r="K629" s="38">
        <f>IF($A629="","",IFERROR($J629+$E629*($B629*4+$F629),0))</f>
        <v/>
      </c>
      <c r="L629" s="38">
        <f>IF($A629="","",IF($B629="","EKSİK","TAM"))</f>
        <v/>
      </c>
    </row>
    <row r="630">
      <c r="J630" s="38">
        <f>IF($A630="","",IFERROR($B630*$C630+$B630/30*7*$D630,0))</f>
        <v/>
      </c>
      <c r="K630" s="38">
        <f>IF($A630="","",IFERROR($J630+$E630*($B630*4+$F630),0))</f>
        <v/>
      </c>
      <c r="L630" s="38">
        <f>IF($A630="","",IF($B630="","EKSİK","TAM"))</f>
        <v/>
      </c>
    </row>
    <row r="631">
      <c r="J631" s="38">
        <f>IF($A631="","",IFERROR($B631*$C631+$B631/30*7*$D631,0))</f>
        <v/>
      </c>
      <c r="K631" s="38">
        <f>IF($A631="","",IFERROR($J631+$E631*($B631*4+$F631),0))</f>
        <v/>
      </c>
      <c r="L631" s="38">
        <f>IF($A631="","",IF($B631="","EKSİK","TAM"))</f>
        <v/>
      </c>
    </row>
    <row r="632">
      <c r="J632" s="38">
        <f>IF($A632="","",IFERROR($B632*$C632+$B632/30*7*$D632,0))</f>
        <v/>
      </c>
      <c r="K632" s="38">
        <f>IF($A632="","",IFERROR($J632+$E632*($B632*4+$F632),0))</f>
        <v/>
      </c>
      <c r="L632" s="38">
        <f>IF($A632="","",IF($B632="","EKSİK","TAM"))</f>
        <v/>
      </c>
    </row>
    <row r="633">
      <c r="J633" s="38">
        <f>IF($A633="","",IFERROR($B633*$C633+$B633/30*7*$D633,0))</f>
        <v/>
      </c>
      <c r="K633" s="38">
        <f>IF($A633="","",IFERROR($J633+$E633*($B633*4+$F633),0))</f>
        <v/>
      </c>
      <c r="L633" s="38">
        <f>IF($A633="","",IF($B633="","EKSİK","TAM"))</f>
        <v/>
      </c>
    </row>
    <row r="634">
      <c r="J634" s="38">
        <f>IF($A634="","",IFERROR($B634*$C634+$B634/30*7*$D634,0))</f>
        <v/>
      </c>
      <c r="K634" s="38">
        <f>IF($A634="","",IFERROR($J634+$E634*($B634*4+$F634),0))</f>
        <v/>
      </c>
      <c r="L634" s="38">
        <f>IF($A634="","",IF($B634="","EKSİK","TAM"))</f>
        <v/>
      </c>
    </row>
    <row r="635">
      <c r="J635" s="38">
        <f>IF($A635="","",IFERROR($B635*$C635+$B635/30*7*$D635,0))</f>
        <v/>
      </c>
      <c r="K635" s="38">
        <f>IF($A635="","",IFERROR($J635+$E635*($B635*4+$F635),0))</f>
        <v/>
      </c>
      <c r="L635" s="38">
        <f>IF($A635="","",IF($B635="","EKSİK","TAM"))</f>
        <v/>
      </c>
    </row>
    <row r="636">
      <c r="J636" s="38">
        <f>IF($A636="","",IFERROR($B636*$C636+$B636/30*7*$D636,0))</f>
        <v/>
      </c>
      <c r="K636" s="38">
        <f>IF($A636="","",IFERROR($J636+$E636*($B636*4+$F636),0))</f>
        <v/>
      </c>
      <c r="L636" s="38">
        <f>IF($A636="","",IF($B636="","EKSİK","TAM"))</f>
        <v/>
      </c>
    </row>
    <row r="637">
      <c r="J637" s="38">
        <f>IF($A637="","",IFERROR($B637*$C637+$B637/30*7*$D637,0))</f>
        <v/>
      </c>
      <c r="K637" s="38">
        <f>IF($A637="","",IFERROR($J637+$E637*($B637*4+$F637),0))</f>
        <v/>
      </c>
      <c r="L637" s="38">
        <f>IF($A637="","",IF($B637="","EKSİK","TAM"))</f>
        <v/>
      </c>
    </row>
    <row r="638">
      <c r="J638" s="38">
        <f>IF($A638="","",IFERROR($B638*$C638+$B638/30*7*$D638,0))</f>
        <v/>
      </c>
      <c r="K638" s="38">
        <f>IF($A638="","",IFERROR($J638+$E638*($B638*4+$F638),0))</f>
        <v/>
      </c>
      <c r="L638" s="38">
        <f>IF($A638="","",IF($B638="","EKSİK","TAM"))</f>
        <v/>
      </c>
    </row>
    <row r="639">
      <c r="J639" s="38">
        <f>IF($A639="","",IFERROR($B639*$C639+$B639/30*7*$D639,0))</f>
        <v/>
      </c>
      <c r="K639" s="38">
        <f>IF($A639="","",IFERROR($J639+$E639*($B639*4+$F639),0))</f>
        <v/>
      </c>
      <c r="L639" s="38">
        <f>IF($A639="","",IF($B639="","EKSİK","TAM"))</f>
        <v/>
      </c>
    </row>
    <row r="640">
      <c r="J640" s="38">
        <f>IF($A640="","",IFERROR($B640*$C640+$B640/30*7*$D640,0))</f>
        <v/>
      </c>
      <c r="K640" s="38">
        <f>IF($A640="","",IFERROR($J640+$E640*($B640*4+$F640),0))</f>
        <v/>
      </c>
      <c r="L640" s="38">
        <f>IF($A640="","",IF($B640="","EKSİK","TAM"))</f>
        <v/>
      </c>
    </row>
    <row r="641">
      <c r="J641" s="38">
        <f>IF($A641="","",IFERROR($B641*$C641+$B641/30*7*$D641,0))</f>
        <v/>
      </c>
      <c r="K641" s="38">
        <f>IF($A641="","",IFERROR($J641+$E641*($B641*4+$F641),0))</f>
        <v/>
      </c>
      <c r="L641" s="38">
        <f>IF($A641="","",IF($B641="","EKSİK","TAM"))</f>
        <v/>
      </c>
    </row>
    <row r="642">
      <c r="J642" s="38">
        <f>IF($A642="","",IFERROR($B642*$C642+$B642/30*7*$D642,0))</f>
        <v/>
      </c>
      <c r="K642" s="38">
        <f>IF($A642="","",IFERROR($J642+$E642*($B642*4+$F642),0))</f>
        <v/>
      </c>
      <c r="L642" s="38">
        <f>IF($A642="","",IF($B642="","EKSİK","TAM"))</f>
        <v/>
      </c>
    </row>
    <row r="643">
      <c r="J643" s="38">
        <f>IF($A643="","",IFERROR($B643*$C643+$B643/30*7*$D643,0))</f>
        <v/>
      </c>
      <c r="K643" s="38">
        <f>IF($A643="","",IFERROR($J643+$E643*($B643*4+$F643),0))</f>
        <v/>
      </c>
      <c r="L643" s="38">
        <f>IF($A643="","",IF($B643="","EKSİK","TAM"))</f>
        <v/>
      </c>
    </row>
    <row r="644">
      <c r="J644" s="38">
        <f>IF($A644="","",IFERROR($B644*$C644+$B644/30*7*$D644,0))</f>
        <v/>
      </c>
      <c r="K644" s="38">
        <f>IF($A644="","",IFERROR($J644+$E644*($B644*4+$F644),0))</f>
        <v/>
      </c>
      <c r="L644" s="38">
        <f>IF($A644="","",IF($B644="","EKSİK","TAM"))</f>
        <v/>
      </c>
    </row>
    <row r="645">
      <c r="J645" s="38">
        <f>IF($A645="","",IFERROR($B645*$C645+$B645/30*7*$D645,0))</f>
        <v/>
      </c>
      <c r="K645" s="38">
        <f>IF($A645="","",IFERROR($J645+$E645*($B645*4+$F645),0))</f>
        <v/>
      </c>
      <c r="L645" s="38">
        <f>IF($A645="","",IF($B645="","EKSİK","TAM"))</f>
        <v/>
      </c>
    </row>
    <row r="646">
      <c r="J646" s="38">
        <f>IF($A646="","",IFERROR($B646*$C646+$B646/30*7*$D646,0))</f>
        <v/>
      </c>
      <c r="K646" s="38">
        <f>IF($A646="","",IFERROR($J646+$E646*($B646*4+$F646),0))</f>
        <v/>
      </c>
      <c r="L646" s="38">
        <f>IF($A646="","",IF($B646="","EKSİK","TAM"))</f>
        <v/>
      </c>
    </row>
    <row r="647">
      <c r="J647" s="38">
        <f>IF($A647="","",IFERROR($B647*$C647+$B647/30*7*$D647,0))</f>
        <v/>
      </c>
      <c r="K647" s="38">
        <f>IF($A647="","",IFERROR($J647+$E647*($B647*4+$F647),0))</f>
        <v/>
      </c>
      <c r="L647" s="38">
        <f>IF($A647="","",IF($B647="","EKSİK","TAM"))</f>
        <v/>
      </c>
    </row>
    <row r="648">
      <c r="J648" s="38">
        <f>IF($A648="","",IFERROR($B648*$C648+$B648/30*7*$D648,0))</f>
        <v/>
      </c>
      <c r="K648" s="38">
        <f>IF($A648="","",IFERROR($J648+$E648*($B648*4+$F648),0))</f>
        <v/>
      </c>
      <c r="L648" s="38">
        <f>IF($A648="","",IF($B648="","EKSİK","TAM"))</f>
        <v/>
      </c>
    </row>
    <row r="649">
      <c r="J649" s="38">
        <f>IF($A649="","",IFERROR($B649*$C649+$B649/30*7*$D649,0))</f>
        <v/>
      </c>
      <c r="K649" s="38">
        <f>IF($A649="","",IFERROR($J649+$E649*($B649*4+$F649),0))</f>
        <v/>
      </c>
      <c r="L649" s="38">
        <f>IF($A649="","",IF($B649="","EKSİK","TAM"))</f>
        <v/>
      </c>
    </row>
    <row r="650">
      <c r="J650" s="38">
        <f>IF($A650="","",IFERROR($B650*$C650+$B650/30*7*$D650,0))</f>
        <v/>
      </c>
      <c r="K650" s="38">
        <f>IF($A650="","",IFERROR($J650+$E650*($B650*4+$F650),0))</f>
        <v/>
      </c>
      <c r="L650" s="38">
        <f>IF($A650="","",IF($B650="","EKSİK","TAM"))</f>
        <v/>
      </c>
    </row>
    <row r="651">
      <c r="J651" s="38">
        <f>IF($A651="","",IFERROR($B651*$C651+$B651/30*7*$D651,0))</f>
        <v/>
      </c>
      <c r="K651" s="38">
        <f>IF($A651="","",IFERROR($J651+$E651*($B651*4+$F651),0))</f>
        <v/>
      </c>
      <c r="L651" s="38">
        <f>IF($A651="","",IF($B651="","EKSİK","TAM"))</f>
        <v/>
      </c>
    </row>
    <row r="652">
      <c r="J652" s="38">
        <f>IF($A652="","",IFERROR($B652*$C652+$B652/30*7*$D652,0))</f>
        <v/>
      </c>
      <c r="K652" s="38">
        <f>IF($A652="","",IFERROR($J652+$E652*($B652*4+$F652),0))</f>
        <v/>
      </c>
      <c r="L652" s="38">
        <f>IF($A652="","",IF($B652="","EKSİK","TAM"))</f>
        <v/>
      </c>
    </row>
    <row r="653">
      <c r="J653" s="38">
        <f>IF($A653="","",IFERROR($B653*$C653+$B653/30*7*$D653,0))</f>
        <v/>
      </c>
      <c r="K653" s="38">
        <f>IF($A653="","",IFERROR($J653+$E653*($B653*4+$F653),0))</f>
        <v/>
      </c>
      <c r="L653" s="38">
        <f>IF($A653="","",IF($B653="","EKSİK","TAM"))</f>
        <v/>
      </c>
    </row>
    <row r="654">
      <c r="J654" s="38">
        <f>IF($A654="","",IFERROR($B654*$C654+$B654/30*7*$D654,0))</f>
        <v/>
      </c>
      <c r="K654" s="38">
        <f>IF($A654="","",IFERROR($J654+$E654*($B654*4+$F654),0))</f>
        <v/>
      </c>
      <c r="L654" s="38">
        <f>IF($A654="","",IF($B654="","EKSİK","TAM"))</f>
        <v/>
      </c>
    </row>
    <row r="655">
      <c r="J655" s="38">
        <f>IF($A655="","",IFERROR($B655*$C655+$B655/30*7*$D655,0))</f>
        <v/>
      </c>
      <c r="K655" s="38">
        <f>IF($A655="","",IFERROR($J655+$E655*($B655*4+$F655),0))</f>
        <v/>
      </c>
      <c r="L655" s="38">
        <f>IF($A655="","",IF($B655="","EKSİK","TAM"))</f>
        <v/>
      </c>
    </row>
    <row r="656">
      <c r="J656" s="38">
        <f>IF($A656="","",IFERROR($B656*$C656+$B656/30*7*$D656,0))</f>
        <v/>
      </c>
      <c r="K656" s="38">
        <f>IF($A656="","",IFERROR($J656+$E656*($B656*4+$F656),0))</f>
        <v/>
      </c>
      <c r="L656" s="38">
        <f>IF($A656="","",IF($B656="","EKSİK","TAM"))</f>
        <v/>
      </c>
    </row>
    <row r="657">
      <c r="J657" s="38">
        <f>IF($A657="","",IFERROR($B657*$C657+$B657/30*7*$D657,0))</f>
        <v/>
      </c>
      <c r="K657" s="38">
        <f>IF($A657="","",IFERROR($J657+$E657*($B657*4+$F657),0))</f>
        <v/>
      </c>
      <c r="L657" s="38">
        <f>IF($A657="","",IF($B657="","EKSİK","TAM"))</f>
        <v/>
      </c>
    </row>
    <row r="658">
      <c r="J658" s="38">
        <f>IF($A658="","",IFERROR($B658*$C658+$B658/30*7*$D658,0))</f>
        <v/>
      </c>
      <c r="K658" s="38">
        <f>IF($A658="","",IFERROR($J658+$E658*($B658*4+$F658),0))</f>
        <v/>
      </c>
      <c r="L658" s="38">
        <f>IF($A658="","",IF($B658="","EKSİK","TAM"))</f>
        <v/>
      </c>
    </row>
    <row r="659">
      <c r="J659" s="38">
        <f>IF($A659="","",IFERROR($B659*$C659+$B659/30*7*$D659,0))</f>
        <v/>
      </c>
      <c r="K659" s="38">
        <f>IF($A659="","",IFERROR($J659+$E659*($B659*4+$F659),0))</f>
        <v/>
      </c>
      <c r="L659" s="38">
        <f>IF($A659="","",IF($B659="","EKSİK","TAM"))</f>
        <v/>
      </c>
    </row>
    <row r="660">
      <c r="J660" s="38">
        <f>IF($A660="","",IFERROR($B660*$C660+$B660/30*7*$D660,0))</f>
        <v/>
      </c>
      <c r="K660" s="38">
        <f>IF($A660="","",IFERROR($J660+$E660*($B660*4+$F660),0))</f>
        <v/>
      </c>
      <c r="L660" s="38">
        <f>IF($A660="","",IF($B660="","EKSİK","TAM"))</f>
        <v/>
      </c>
    </row>
    <row r="661">
      <c r="J661" s="38">
        <f>IF($A661="","",IFERROR($B661*$C661+$B661/30*7*$D661,0))</f>
        <v/>
      </c>
      <c r="K661" s="38">
        <f>IF($A661="","",IFERROR($J661+$E661*($B661*4+$F661),0))</f>
        <v/>
      </c>
      <c r="L661" s="38">
        <f>IF($A661="","",IF($B661="","EKSİK","TAM"))</f>
        <v/>
      </c>
    </row>
    <row r="662">
      <c r="J662" s="38">
        <f>IF($A662="","",IFERROR($B662*$C662+$B662/30*7*$D662,0))</f>
        <v/>
      </c>
      <c r="K662" s="38">
        <f>IF($A662="","",IFERROR($J662+$E662*($B662*4+$F662),0))</f>
        <v/>
      </c>
      <c r="L662" s="38">
        <f>IF($A662="","",IF($B662="","EKSİK","TAM"))</f>
        <v/>
      </c>
    </row>
    <row r="663">
      <c r="J663" s="38">
        <f>IF($A663="","",IFERROR($B663*$C663+$B663/30*7*$D663,0))</f>
        <v/>
      </c>
      <c r="K663" s="38">
        <f>IF($A663="","",IFERROR($J663+$E663*($B663*4+$F663),0))</f>
        <v/>
      </c>
      <c r="L663" s="38">
        <f>IF($A663="","",IF($B663="","EKSİK","TAM"))</f>
        <v/>
      </c>
    </row>
    <row r="664">
      <c r="J664" s="38">
        <f>IF($A664="","",IFERROR($B664*$C664+$B664/30*7*$D664,0))</f>
        <v/>
      </c>
      <c r="K664" s="38">
        <f>IF($A664="","",IFERROR($J664+$E664*($B664*4+$F664),0))</f>
        <v/>
      </c>
      <c r="L664" s="38">
        <f>IF($A664="","",IF($B664="","EKSİK","TAM"))</f>
        <v/>
      </c>
    </row>
    <row r="665">
      <c r="J665" s="38">
        <f>IF($A665="","",IFERROR($B665*$C665+$B665/30*7*$D665,0))</f>
        <v/>
      </c>
      <c r="K665" s="38">
        <f>IF($A665="","",IFERROR($J665+$E665*($B665*4+$F665),0))</f>
        <v/>
      </c>
      <c r="L665" s="38">
        <f>IF($A665="","",IF($B665="","EKSİK","TAM"))</f>
        <v/>
      </c>
    </row>
    <row r="666">
      <c r="J666" s="38">
        <f>IF($A666="","",IFERROR($B666*$C666+$B666/30*7*$D666,0))</f>
        <v/>
      </c>
      <c r="K666" s="38">
        <f>IF($A666="","",IFERROR($J666+$E666*($B666*4+$F666),0))</f>
        <v/>
      </c>
      <c r="L666" s="38">
        <f>IF($A666="","",IF($B666="","EKSİK","TAM"))</f>
        <v/>
      </c>
    </row>
    <row r="667">
      <c r="J667" s="38">
        <f>IF($A667="","",IFERROR($B667*$C667+$B667/30*7*$D667,0))</f>
        <v/>
      </c>
      <c r="K667" s="38">
        <f>IF($A667="","",IFERROR($J667+$E667*($B667*4+$F667),0))</f>
        <v/>
      </c>
      <c r="L667" s="38">
        <f>IF($A667="","",IF($B667="","EKSİK","TAM"))</f>
        <v/>
      </c>
    </row>
    <row r="668">
      <c r="J668" s="38">
        <f>IF($A668="","",IFERROR($B668*$C668+$B668/30*7*$D668,0))</f>
        <v/>
      </c>
      <c r="K668" s="38">
        <f>IF($A668="","",IFERROR($J668+$E668*($B668*4+$F668),0))</f>
        <v/>
      </c>
      <c r="L668" s="38">
        <f>IF($A668="","",IF($B668="","EKSİK","TAM"))</f>
        <v/>
      </c>
    </row>
    <row r="669">
      <c r="J669" s="38">
        <f>IF($A669="","",IFERROR($B669*$C669+$B669/30*7*$D669,0))</f>
        <v/>
      </c>
      <c r="K669" s="38">
        <f>IF($A669="","",IFERROR($J669+$E669*($B669*4+$F669),0))</f>
        <v/>
      </c>
      <c r="L669" s="38">
        <f>IF($A669="","",IF($B669="","EKSİK","TAM"))</f>
        <v/>
      </c>
    </row>
    <row r="670">
      <c r="J670" s="38">
        <f>IF($A670="","",IFERROR($B670*$C670+$B670/30*7*$D670,0))</f>
        <v/>
      </c>
      <c r="K670" s="38">
        <f>IF($A670="","",IFERROR($J670+$E670*($B670*4+$F670),0))</f>
        <v/>
      </c>
      <c r="L670" s="38">
        <f>IF($A670="","",IF($B670="","EKSİK","TAM"))</f>
        <v/>
      </c>
    </row>
    <row r="671">
      <c r="J671" s="38">
        <f>IF($A671="","",IFERROR($B671*$C671+$B671/30*7*$D671,0))</f>
        <v/>
      </c>
      <c r="K671" s="38">
        <f>IF($A671="","",IFERROR($J671+$E671*($B671*4+$F671),0))</f>
        <v/>
      </c>
      <c r="L671" s="38">
        <f>IF($A671="","",IF($B671="","EKSİK","TAM"))</f>
        <v/>
      </c>
    </row>
    <row r="672">
      <c r="J672" s="38">
        <f>IF($A672="","",IFERROR($B672*$C672+$B672/30*7*$D672,0))</f>
        <v/>
      </c>
      <c r="K672" s="38">
        <f>IF($A672="","",IFERROR($J672+$E672*($B672*4+$F672),0))</f>
        <v/>
      </c>
      <c r="L672" s="38">
        <f>IF($A672="","",IF($B672="","EKSİK","TAM"))</f>
        <v/>
      </c>
    </row>
    <row r="673">
      <c r="J673" s="38">
        <f>IF($A673="","",IFERROR($B673*$C673+$B673/30*7*$D673,0))</f>
        <v/>
      </c>
      <c r="K673" s="38">
        <f>IF($A673="","",IFERROR($J673+$E673*($B673*4+$F673),0))</f>
        <v/>
      </c>
      <c r="L673" s="38">
        <f>IF($A673="","",IF($B673="","EKSİK","TAM"))</f>
        <v/>
      </c>
    </row>
    <row r="674">
      <c r="J674" s="38">
        <f>IF($A674="","",IFERROR($B674*$C674+$B674/30*7*$D674,0))</f>
        <v/>
      </c>
      <c r="K674" s="38">
        <f>IF($A674="","",IFERROR($J674+$E674*($B674*4+$F674),0))</f>
        <v/>
      </c>
      <c r="L674" s="38">
        <f>IF($A674="","",IF($B674="","EKSİK","TAM"))</f>
        <v/>
      </c>
    </row>
    <row r="675">
      <c r="J675" s="38">
        <f>IF($A675="","",IFERROR($B675*$C675+$B675/30*7*$D675,0))</f>
        <v/>
      </c>
      <c r="K675" s="38">
        <f>IF($A675="","",IFERROR($J675+$E675*($B675*4+$F675),0))</f>
        <v/>
      </c>
      <c r="L675" s="38">
        <f>IF($A675="","",IF($B675="","EKSİK","TAM"))</f>
        <v/>
      </c>
    </row>
    <row r="676">
      <c r="J676" s="38">
        <f>IF($A676="","",IFERROR($B676*$C676+$B676/30*7*$D676,0))</f>
        <v/>
      </c>
      <c r="K676" s="38">
        <f>IF($A676="","",IFERROR($J676+$E676*($B676*4+$F676),0))</f>
        <v/>
      </c>
      <c r="L676" s="38">
        <f>IF($A676="","",IF($B676="","EKSİK","TAM"))</f>
        <v/>
      </c>
    </row>
    <row r="677">
      <c r="J677" s="38">
        <f>IF($A677="","",IFERROR($B677*$C677+$B677/30*7*$D677,0))</f>
        <v/>
      </c>
      <c r="K677" s="38">
        <f>IF($A677="","",IFERROR($J677+$E677*($B677*4+$F677),0))</f>
        <v/>
      </c>
      <c r="L677" s="38">
        <f>IF($A677="","",IF($B677="","EKSİK","TAM"))</f>
        <v/>
      </c>
    </row>
    <row r="678">
      <c r="J678" s="38">
        <f>IF($A678="","",IFERROR($B678*$C678+$B678/30*7*$D678,0))</f>
        <v/>
      </c>
      <c r="K678" s="38">
        <f>IF($A678="","",IFERROR($J678+$E678*($B678*4+$F678),0))</f>
        <v/>
      </c>
      <c r="L678" s="38">
        <f>IF($A678="","",IF($B678="","EKSİK","TAM"))</f>
        <v/>
      </c>
    </row>
    <row r="679">
      <c r="J679" s="38">
        <f>IF($A679="","",IFERROR($B679*$C679+$B679/30*7*$D679,0))</f>
        <v/>
      </c>
      <c r="K679" s="38">
        <f>IF($A679="","",IFERROR($J679+$E679*($B679*4+$F679),0))</f>
        <v/>
      </c>
      <c r="L679" s="38">
        <f>IF($A679="","",IF($B679="","EKSİK","TAM"))</f>
        <v/>
      </c>
    </row>
    <row r="680">
      <c r="J680" s="38">
        <f>IF($A680="","",IFERROR($B680*$C680+$B680/30*7*$D680,0))</f>
        <v/>
      </c>
      <c r="K680" s="38">
        <f>IF($A680="","",IFERROR($J680+$E680*($B680*4+$F680),0))</f>
        <v/>
      </c>
      <c r="L680" s="38">
        <f>IF($A680="","",IF($B680="","EKSİK","TAM"))</f>
        <v/>
      </c>
    </row>
    <row r="681">
      <c r="J681" s="38">
        <f>IF($A681="","",IFERROR($B681*$C681+$B681/30*7*$D681,0))</f>
        <v/>
      </c>
      <c r="K681" s="38">
        <f>IF($A681="","",IFERROR($J681+$E681*($B681*4+$F681),0))</f>
        <v/>
      </c>
      <c r="L681" s="38">
        <f>IF($A681="","",IF($B681="","EKSİK","TAM"))</f>
        <v/>
      </c>
    </row>
    <row r="682">
      <c r="J682" s="38">
        <f>IF($A682="","",IFERROR($B682*$C682+$B682/30*7*$D682,0))</f>
        <v/>
      </c>
      <c r="K682" s="38">
        <f>IF($A682="","",IFERROR($J682+$E682*($B682*4+$F682),0))</f>
        <v/>
      </c>
      <c r="L682" s="38">
        <f>IF($A682="","",IF($B682="","EKSİK","TAM"))</f>
        <v/>
      </c>
    </row>
    <row r="683">
      <c r="J683" s="38">
        <f>IF($A683="","",IFERROR($B683*$C683+$B683/30*7*$D683,0))</f>
        <v/>
      </c>
      <c r="K683" s="38">
        <f>IF($A683="","",IFERROR($J683+$E683*($B683*4+$F683),0))</f>
        <v/>
      </c>
      <c r="L683" s="38">
        <f>IF($A683="","",IF($B683="","EKSİK","TAM"))</f>
        <v/>
      </c>
    </row>
    <row r="684">
      <c r="J684" s="38">
        <f>IF($A684="","",IFERROR($B684*$C684+$B684/30*7*$D684,0))</f>
        <v/>
      </c>
      <c r="K684" s="38">
        <f>IF($A684="","",IFERROR($J684+$E684*($B684*4+$F684),0))</f>
        <v/>
      </c>
      <c r="L684" s="38">
        <f>IF($A684="","",IF($B684="","EKSİK","TAM"))</f>
        <v/>
      </c>
    </row>
    <row r="685">
      <c r="J685" s="38">
        <f>IF($A685="","",IFERROR($B685*$C685+$B685/30*7*$D685,0))</f>
        <v/>
      </c>
      <c r="K685" s="38">
        <f>IF($A685="","",IFERROR($J685+$E685*($B685*4+$F685),0))</f>
        <v/>
      </c>
      <c r="L685" s="38">
        <f>IF($A685="","",IF($B685="","EKSİK","TAM"))</f>
        <v/>
      </c>
    </row>
    <row r="686">
      <c r="J686" s="38">
        <f>IF($A686="","",IFERROR($B686*$C686+$B686/30*7*$D686,0))</f>
        <v/>
      </c>
      <c r="K686" s="38">
        <f>IF($A686="","",IFERROR($J686+$E686*($B686*4+$F686),0))</f>
        <v/>
      </c>
      <c r="L686" s="38">
        <f>IF($A686="","",IF($B686="","EKSİK","TAM"))</f>
        <v/>
      </c>
    </row>
    <row r="687">
      <c r="J687" s="38">
        <f>IF($A687="","",IFERROR($B687*$C687+$B687/30*7*$D687,0))</f>
        <v/>
      </c>
      <c r="K687" s="38">
        <f>IF($A687="","",IFERROR($J687+$E687*($B687*4+$F687),0))</f>
        <v/>
      </c>
      <c r="L687" s="38">
        <f>IF($A687="","",IF($B687="","EKSİK","TAM"))</f>
        <v/>
      </c>
    </row>
    <row r="688">
      <c r="J688" s="38">
        <f>IF($A688="","",IFERROR($B688*$C688+$B688/30*7*$D688,0))</f>
        <v/>
      </c>
      <c r="K688" s="38">
        <f>IF($A688="","",IFERROR($J688+$E688*($B688*4+$F688),0))</f>
        <v/>
      </c>
      <c r="L688" s="38">
        <f>IF($A688="","",IF($B688="","EKSİK","TAM"))</f>
        <v/>
      </c>
    </row>
    <row r="689">
      <c r="J689" s="38">
        <f>IF($A689="","",IFERROR($B689*$C689+$B689/30*7*$D689,0))</f>
        <v/>
      </c>
      <c r="K689" s="38">
        <f>IF($A689="","",IFERROR($J689+$E689*($B689*4+$F689),0))</f>
        <v/>
      </c>
      <c r="L689" s="38">
        <f>IF($A689="","",IF($B689="","EKSİK","TAM"))</f>
        <v/>
      </c>
    </row>
    <row r="690">
      <c r="J690" s="38">
        <f>IF($A690="","",IFERROR($B690*$C690+$B690/30*7*$D690,0))</f>
        <v/>
      </c>
      <c r="K690" s="38">
        <f>IF($A690="","",IFERROR($J690+$E690*($B690*4+$F690),0))</f>
        <v/>
      </c>
      <c r="L690" s="38">
        <f>IF($A690="","",IF($B690="","EKSİK","TAM"))</f>
        <v/>
      </c>
    </row>
    <row r="691">
      <c r="J691" s="38">
        <f>IF($A691="","",IFERROR($B691*$C691+$B691/30*7*$D691,0))</f>
        <v/>
      </c>
      <c r="K691" s="38">
        <f>IF($A691="","",IFERROR($J691+$E691*($B691*4+$F691),0))</f>
        <v/>
      </c>
      <c r="L691" s="38">
        <f>IF($A691="","",IF($B691="","EKSİK","TAM"))</f>
        <v/>
      </c>
    </row>
    <row r="692">
      <c r="J692" s="38">
        <f>IF($A692="","",IFERROR($B692*$C692+$B692/30*7*$D692,0))</f>
        <v/>
      </c>
      <c r="K692" s="38">
        <f>IF($A692="","",IFERROR($J692+$E692*($B692*4+$F692),0))</f>
        <v/>
      </c>
      <c r="L692" s="38">
        <f>IF($A692="","",IF($B692="","EKSİK","TAM"))</f>
        <v/>
      </c>
    </row>
    <row r="693">
      <c r="J693" s="38">
        <f>IF($A693="","",IFERROR($B693*$C693+$B693/30*7*$D693,0))</f>
        <v/>
      </c>
      <c r="K693" s="38">
        <f>IF($A693="","",IFERROR($J693+$E693*($B693*4+$F693),0))</f>
        <v/>
      </c>
      <c r="L693" s="38">
        <f>IF($A693="","",IF($B693="","EKSİK","TAM"))</f>
        <v/>
      </c>
    </row>
    <row r="694">
      <c r="J694" s="38">
        <f>IF($A694="","",IFERROR($B694*$C694+$B694/30*7*$D694,0))</f>
        <v/>
      </c>
      <c r="K694" s="38">
        <f>IF($A694="","",IFERROR($J694+$E694*($B694*4+$F694),0))</f>
        <v/>
      </c>
      <c r="L694" s="38">
        <f>IF($A694="","",IF($B694="","EKSİK","TAM"))</f>
        <v/>
      </c>
    </row>
    <row r="695">
      <c r="J695" s="38">
        <f>IF($A695="","",IFERROR($B695*$C695+$B695/30*7*$D695,0))</f>
        <v/>
      </c>
      <c r="K695" s="38">
        <f>IF($A695="","",IFERROR($J695+$E695*($B695*4+$F695),0))</f>
        <v/>
      </c>
      <c r="L695" s="38">
        <f>IF($A695="","",IF($B695="","EKSİK","TAM"))</f>
        <v/>
      </c>
    </row>
    <row r="696">
      <c r="J696" s="38">
        <f>IF($A696="","",IFERROR($B696*$C696+$B696/30*7*$D696,0))</f>
        <v/>
      </c>
      <c r="K696" s="38">
        <f>IF($A696="","",IFERROR($J696+$E696*($B696*4+$F696),0))</f>
        <v/>
      </c>
      <c r="L696" s="38">
        <f>IF($A696="","",IF($B696="","EKSİK","TAM"))</f>
        <v/>
      </c>
    </row>
    <row r="697">
      <c r="J697" s="38">
        <f>IF($A697="","",IFERROR($B697*$C697+$B697/30*7*$D697,0))</f>
        <v/>
      </c>
      <c r="K697" s="38">
        <f>IF($A697="","",IFERROR($J697+$E697*($B697*4+$F697),0))</f>
        <v/>
      </c>
      <c r="L697" s="38">
        <f>IF($A697="","",IF($B697="","EKSİK","TAM"))</f>
        <v/>
      </c>
    </row>
    <row r="698">
      <c r="J698" s="38">
        <f>IF($A698="","",IFERROR($B698*$C698+$B698/30*7*$D698,0))</f>
        <v/>
      </c>
      <c r="K698" s="38">
        <f>IF($A698="","",IFERROR($J698+$E698*($B698*4+$F698),0))</f>
        <v/>
      </c>
      <c r="L698" s="38">
        <f>IF($A698="","",IF($B698="","EKSİK","TAM"))</f>
        <v/>
      </c>
    </row>
    <row r="699">
      <c r="J699" s="38">
        <f>IF($A699="","",IFERROR($B699*$C699+$B699/30*7*$D699,0))</f>
        <v/>
      </c>
      <c r="K699" s="38">
        <f>IF($A699="","",IFERROR($J699+$E699*($B699*4+$F699),0))</f>
        <v/>
      </c>
      <c r="L699" s="38">
        <f>IF($A699="","",IF($B699="","EKSİK","TAM"))</f>
        <v/>
      </c>
    </row>
    <row r="700">
      <c r="J700" s="38">
        <f>IF($A700="","",IFERROR($B700*$C700+$B700/30*7*$D700,0))</f>
        <v/>
      </c>
      <c r="K700" s="38">
        <f>IF($A700="","",IFERROR($J700+$E700*($B700*4+$F700),0))</f>
        <v/>
      </c>
      <c r="L700" s="38">
        <f>IF($A700="","",IF($B700="","EKSİK","TAM"))</f>
        <v/>
      </c>
    </row>
    <row r="701">
      <c r="J701" s="38">
        <f>IF($A701="","",IFERROR($B701*$C701+$B701/30*7*$D701,0))</f>
        <v/>
      </c>
      <c r="K701" s="38">
        <f>IF($A701="","",IFERROR($J701+$E701*($B701*4+$F701),0))</f>
        <v/>
      </c>
      <c r="L701" s="38">
        <f>IF($A701="","",IF($B701="","EKSİK","TAM"))</f>
        <v/>
      </c>
    </row>
    <row r="702">
      <c r="J702" s="38">
        <f>IF($A702="","",IFERROR($B702*$C702+$B702/30*7*$D702,0))</f>
        <v/>
      </c>
      <c r="K702" s="38">
        <f>IF($A702="","",IFERROR($J702+$E702*($B702*4+$F702),0))</f>
        <v/>
      </c>
      <c r="L702" s="38">
        <f>IF($A702="","",IF($B702="","EKSİK","TAM"))</f>
        <v/>
      </c>
    </row>
    <row r="703">
      <c r="J703" s="38">
        <f>IF($A703="","",IFERROR($B703*$C703+$B703/30*7*$D703,0))</f>
        <v/>
      </c>
      <c r="K703" s="38">
        <f>IF($A703="","",IFERROR($J703+$E703*($B703*4+$F703),0))</f>
        <v/>
      </c>
      <c r="L703" s="38">
        <f>IF($A703="","",IF($B703="","EKSİK","TAM"))</f>
        <v/>
      </c>
    </row>
    <row r="704">
      <c r="J704" s="38">
        <f>IF($A704="","",IFERROR($B704*$C704+$B704/30*7*$D704,0))</f>
        <v/>
      </c>
      <c r="K704" s="38">
        <f>IF($A704="","",IFERROR($J704+$E704*($B704*4+$F704),0))</f>
        <v/>
      </c>
      <c r="L704" s="38">
        <f>IF($A704="","",IF($B704="","EKSİK","TAM"))</f>
        <v/>
      </c>
    </row>
    <row r="705">
      <c r="J705" s="38">
        <f>IF($A705="","",IFERROR($B705*$C705+$B705/30*7*$D705,0))</f>
        <v/>
      </c>
      <c r="K705" s="38">
        <f>IF($A705="","",IFERROR($J705+$E705*($B705*4+$F705),0))</f>
        <v/>
      </c>
      <c r="L705" s="38">
        <f>IF($A705="","",IF($B705="","EKSİK","TAM"))</f>
        <v/>
      </c>
    </row>
    <row r="706">
      <c r="J706" s="38">
        <f>IF($A706="","",IFERROR($B706*$C706+$B706/30*7*$D706,0))</f>
        <v/>
      </c>
      <c r="K706" s="38">
        <f>IF($A706="","",IFERROR($J706+$E706*($B706*4+$F706),0))</f>
        <v/>
      </c>
      <c r="L706" s="38">
        <f>IF($A706="","",IF($B706="","EKSİK","TAM"))</f>
        <v/>
      </c>
    </row>
    <row r="707">
      <c r="J707" s="38">
        <f>IF($A707="","",IFERROR($B707*$C707+$B707/30*7*$D707,0))</f>
        <v/>
      </c>
      <c r="K707" s="38">
        <f>IF($A707="","",IFERROR($J707+$E707*($B707*4+$F707),0))</f>
        <v/>
      </c>
      <c r="L707" s="38">
        <f>IF($A707="","",IF($B707="","EKSİK","TAM"))</f>
        <v/>
      </c>
    </row>
    <row r="708">
      <c r="J708" s="38">
        <f>IF($A708="","",IFERROR($B708*$C708+$B708/30*7*$D708,0))</f>
        <v/>
      </c>
      <c r="K708" s="38">
        <f>IF($A708="","",IFERROR($J708+$E708*($B708*4+$F708),0))</f>
        <v/>
      </c>
      <c r="L708" s="38">
        <f>IF($A708="","",IF($B708="","EKSİK","TAM"))</f>
        <v/>
      </c>
    </row>
    <row r="709">
      <c r="J709" s="38">
        <f>IF($A709="","",IFERROR($B709*$C709+$B709/30*7*$D709,0))</f>
        <v/>
      </c>
      <c r="K709" s="38">
        <f>IF($A709="","",IFERROR($J709+$E709*($B709*4+$F709),0))</f>
        <v/>
      </c>
      <c r="L709" s="38">
        <f>IF($A709="","",IF($B709="","EKSİK","TAM"))</f>
        <v/>
      </c>
    </row>
    <row r="710">
      <c r="J710" s="38">
        <f>IF($A710="","",IFERROR($B710*$C710+$B710/30*7*$D710,0))</f>
        <v/>
      </c>
      <c r="K710" s="38">
        <f>IF($A710="","",IFERROR($J710+$E710*($B710*4+$F710),0))</f>
        <v/>
      </c>
      <c r="L710" s="38">
        <f>IF($A710="","",IF($B710="","EKSİK","TAM"))</f>
        <v/>
      </c>
    </row>
    <row r="711">
      <c r="J711" s="38">
        <f>IF($A711="","",IFERROR($B711*$C711+$B711/30*7*$D711,0))</f>
        <v/>
      </c>
      <c r="K711" s="38">
        <f>IF($A711="","",IFERROR($J711+$E711*($B711*4+$F711),0))</f>
        <v/>
      </c>
      <c r="L711" s="38">
        <f>IF($A711="","",IF($B711="","EKSİK","TAM"))</f>
        <v/>
      </c>
    </row>
    <row r="712">
      <c r="J712" s="38">
        <f>IF($A712="","",IFERROR($B712*$C712+$B712/30*7*$D712,0))</f>
        <v/>
      </c>
      <c r="K712" s="38">
        <f>IF($A712="","",IFERROR($J712+$E712*($B712*4+$F712),0))</f>
        <v/>
      </c>
      <c r="L712" s="38">
        <f>IF($A712="","",IF($B712="","EKSİK","TAM"))</f>
        <v/>
      </c>
    </row>
    <row r="713">
      <c r="J713" s="38">
        <f>IF($A713="","",IFERROR($B713*$C713+$B713/30*7*$D713,0))</f>
        <v/>
      </c>
      <c r="K713" s="38">
        <f>IF($A713="","",IFERROR($J713+$E713*($B713*4+$F713),0))</f>
        <v/>
      </c>
      <c r="L713" s="38">
        <f>IF($A713="","",IF($B713="","EKSİK","TAM"))</f>
        <v/>
      </c>
    </row>
    <row r="714">
      <c r="J714" s="38">
        <f>IF($A714="","",IFERROR($B714*$C714+$B714/30*7*$D714,0))</f>
        <v/>
      </c>
      <c r="K714" s="38">
        <f>IF($A714="","",IFERROR($J714+$E714*($B714*4+$F714),0))</f>
        <v/>
      </c>
      <c r="L714" s="38">
        <f>IF($A714="","",IF($B714="","EKSİK","TAM"))</f>
        <v/>
      </c>
    </row>
    <row r="715">
      <c r="J715" s="38">
        <f>IF($A715="","",IFERROR($B715*$C715+$B715/30*7*$D715,0))</f>
        <v/>
      </c>
      <c r="K715" s="38">
        <f>IF($A715="","",IFERROR($J715+$E715*($B715*4+$F715),0))</f>
        <v/>
      </c>
      <c r="L715" s="38">
        <f>IF($A715="","",IF($B715="","EKSİK","TAM"))</f>
        <v/>
      </c>
    </row>
    <row r="716">
      <c r="J716" s="38">
        <f>IF($A716="","",IFERROR($B716*$C716+$B716/30*7*$D716,0))</f>
        <v/>
      </c>
      <c r="K716" s="38">
        <f>IF($A716="","",IFERROR($J716+$E716*($B716*4+$F716),0))</f>
        <v/>
      </c>
      <c r="L716" s="38">
        <f>IF($A716="","",IF($B716="","EKSİK","TAM"))</f>
        <v/>
      </c>
    </row>
    <row r="717">
      <c r="J717" s="38">
        <f>IF($A717="","",IFERROR($B717*$C717+$B717/30*7*$D717,0))</f>
        <v/>
      </c>
      <c r="K717" s="38">
        <f>IF($A717="","",IFERROR($J717+$E717*($B717*4+$F717),0))</f>
        <v/>
      </c>
      <c r="L717" s="38">
        <f>IF($A717="","",IF($B717="","EKSİK","TAM"))</f>
        <v/>
      </c>
    </row>
    <row r="718">
      <c r="J718" s="38">
        <f>IF($A718="","",IFERROR($B718*$C718+$B718/30*7*$D718,0))</f>
        <v/>
      </c>
      <c r="K718" s="38">
        <f>IF($A718="","",IFERROR($J718+$E718*($B718*4+$F718),0))</f>
        <v/>
      </c>
      <c r="L718" s="38">
        <f>IF($A718="","",IF($B718="","EKSİK","TAM"))</f>
        <v/>
      </c>
    </row>
    <row r="719">
      <c r="J719" s="38">
        <f>IF($A719="","",IFERROR($B719*$C719+$B719/30*7*$D719,0))</f>
        <v/>
      </c>
      <c r="K719" s="38">
        <f>IF($A719="","",IFERROR($J719+$E719*($B719*4+$F719),0))</f>
        <v/>
      </c>
      <c r="L719" s="38">
        <f>IF($A719="","",IF($B719="","EKSİK","TAM"))</f>
        <v/>
      </c>
    </row>
    <row r="720">
      <c r="J720" s="38">
        <f>IF($A720="","",IFERROR($B720*$C720+$B720/30*7*$D720,0))</f>
        <v/>
      </c>
      <c r="K720" s="38">
        <f>IF($A720="","",IFERROR($J720+$E720*($B720*4+$F720),0))</f>
        <v/>
      </c>
      <c r="L720" s="38">
        <f>IF($A720="","",IF($B720="","EKSİK","TAM"))</f>
        <v/>
      </c>
    </row>
    <row r="721">
      <c r="J721" s="38">
        <f>IF($A721="","",IFERROR($B721*$C721+$B721/30*7*$D721,0))</f>
        <v/>
      </c>
      <c r="K721" s="38">
        <f>IF($A721="","",IFERROR($J721+$E721*($B721*4+$F721),0))</f>
        <v/>
      </c>
      <c r="L721" s="38">
        <f>IF($A721="","",IF($B721="","EKSİK","TAM"))</f>
        <v/>
      </c>
    </row>
    <row r="722">
      <c r="J722" s="38">
        <f>IF($A722="","",IFERROR($B722*$C722+$B722/30*7*$D722,0))</f>
        <v/>
      </c>
      <c r="K722" s="38">
        <f>IF($A722="","",IFERROR($J722+$E722*($B722*4+$F722),0))</f>
        <v/>
      </c>
      <c r="L722" s="38">
        <f>IF($A722="","",IF($B722="","EKSİK","TAM"))</f>
        <v/>
      </c>
    </row>
    <row r="723">
      <c r="J723" s="38">
        <f>IF($A723="","",IFERROR($B723*$C723+$B723/30*7*$D723,0))</f>
        <v/>
      </c>
      <c r="K723" s="38">
        <f>IF($A723="","",IFERROR($J723+$E723*($B723*4+$F723),0))</f>
        <v/>
      </c>
      <c r="L723" s="38">
        <f>IF($A723="","",IF($B723="","EKSİK","TAM"))</f>
        <v/>
      </c>
    </row>
    <row r="724">
      <c r="J724" s="38">
        <f>IF($A724="","",IFERROR($B724*$C724+$B724/30*7*$D724,0))</f>
        <v/>
      </c>
      <c r="K724" s="38">
        <f>IF($A724="","",IFERROR($J724+$E724*($B724*4+$F724),0))</f>
        <v/>
      </c>
      <c r="L724" s="38">
        <f>IF($A724="","",IF($B724="","EKSİK","TAM"))</f>
        <v/>
      </c>
    </row>
    <row r="725">
      <c r="J725" s="38">
        <f>IF($A725="","",IFERROR($B725*$C725+$B725/30*7*$D725,0))</f>
        <v/>
      </c>
      <c r="K725" s="38">
        <f>IF($A725="","",IFERROR($J725+$E725*($B725*4+$F725),0))</f>
        <v/>
      </c>
      <c r="L725" s="38">
        <f>IF($A725="","",IF($B725="","EKSİK","TAM"))</f>
        <v/>
      </c>
    </row>
    <row r="726">
      <c r="J726" s="38">
        <f>IF($A726="","",IFERROR($B726*$C726+$B726/30*7*$D726,0))</f>
        <v/>
      </c>
      <c r="K726" s="38">
        <f>IF($A726="","",IFERROR($J726+$E726*($B726*4+$F726),0))</f>
        <v/>
      </c>
      <c r="L726" s="38">
        <f>IF($A726="","",IF($B726="","EKSİK","TAM"))</f>
        <v/>
      </c>
    </row>
    <row r="727">
      <c r="J727" s="38">
        <f>IF($A727="","",IFERROR($B727*$C727+$B727/30*7*$D727,0))</f>
        <v/>
      </c>
      <c r="K727" s="38">
        <f>IF($A727="","",IFERROR($J727+$E727*($B727*4+$F727),0))</f>
        <v/>
      </c>
      <c r="L727" s="38">
        <f>IF($A727="","",IF($B727="","EKSİK","TAM"))</f>
        <v/>
      </c>
    </row>
    <row r="728">
      <c r="J728" s="38">
        <f>IF($A728="","",IFERROR($B728*$C728+$B728/30*7*$D728,0))</f>
        <v/>
      </c>
      <c r="K728" s="38">
        <f>IF($A728="","",IFERROR($J728+$E728*($B728*4+$F728),0))</f>
        <v/>
      </c>
      <c r="L728" s="38">
        <f>IF($A728="","",IF($B728="","EKSİK","TAM"))</f>
        <v/>
      </c>
    </row>
    <row r="729">
      <c r="J729" s="38">
        <f>IF($A729="","",IFERROR($B729*$C729+$B729/30*7*$D729,0))</f>
        <v/>
      </c>
      <c r="K729" s="38">
        <f>IF($A729="","",IFERROR($J729+$E729*($B729*4+$F729),0))</f>
        <v/>
      </c>
      <c r="L729" s="38">
        <f>IF($A729="","",IF($B729="","EKSİK","TAM"))</f>
        <v/>
      </c>
    </row>
    <row r="730">
      <c r="J730" s="38">
        <f>IF($A730="","",IFERROR($B730*$C730+$B730/30*7*$D730,0))</f>
        <v/>
      </c>
      <c r="K730" s="38">
        <f>IF($A730="","",IFERROR($J730+$E730*($B730*4+$F730),0))</f>
        <v/>
      </c>
      <c r="L730" s="38">
        <f>IF($A730="","",IF($B730="","EKSİK","TAM"))</f>
        <v/>
      </c>
    </row>
    <row r="731">
      <c r="J731" s="38">
        <f>IF($A731="","",IFERROR($B731*$C731+$B731/30*7*$D731,0))</f>
        <v/>
      </c>
      <c r="K731" s="38">
        <f>IF($A731="","",IFERROR($J731+$E731*($B731*4+$F731),0))</f>
        <v/>
      </c>
      <c r="L731" s="38">
        <f>IF($A731="","",IF($B731="","EKSİK","TAM"))</f>
        <v/>
      </c>
    </row>
    <row r="732">
      <c r="J732" s="38">
        <f>IF($A732="","",IFERROR($B732*$C732+$B732/30*7*$D732,0))</f>
        <v/>
      </c>
      <c r="K732" s="38">
        <f>IF($A732="","",IFERROR($J732+$E732*($B732*4+$F732),0))</f>
        <v/>
      </c>
      <c r="L732" s="38">
        <f>IF($A732="","",IF($B732="","EKSİK","TAM"))</f>
        <v/>
      </c>
    </row>
    <row r="733">
      <c r="J733" s="38">
        <f>IF($A733="","",IFERROR($B733*$C733+$B733/30*7*$D733,0))</f>
        <v/>
      </c>
      <c r="K733" s="38">
        <f>IF($A733="","",IFERROR($J733+$E733*($B733*4+$F733),0))</f>
        <v/>
      </c>
      <c r="L733" s="38">
        <f>IF($A733="","",IF($B733="","EKSİK","TAM"))</f>
        <v/>
      </c>
    </row>
    <row r="734">
      <c r="J734" s="38">
        <f>IF($A734="","",IFERROR($B734*$C734+$B734/30*7*$D734,0))</f>
        <v/>
      </c>
      <c r="K734" s="38">
        <f>IF($A734="","",IFERROR($J734+$E734*($B734*4+$F734),0))</f>
        <v/>
      </c>
      <c r="L734" s="38">
        <f>IF($A734="","",IF($B734="","EKSİK","TAM"))</f>
        <v/>
      </c>
    </row>
    <row r="735">
      <c r="J735" s="38">
        <f>IF($A735="","",IFERROR($B735*$C735+$B735/30*7*$D735,0))</f>
        <v/>
      </c>
      <c r="K735" s="38">
        <f>IF($A735="","",IFERROR($J735+$E735*($B735*4+$F735),0))</f>
        <v/>
      </c>
      <c r="L735" s="38">
        <f>IF($A735="","",IF($B735="","EKSİK","TAM"))</f>
        <v/>
      </c>
    </row>
    <row r="736">
      <c r="J736" s="38">
        <f>IF($A736="","",IFERROR($B736*$C736+$B736/30*7*$D736,0))</f>
        <v/>
      </c>
      <c r="K736" s="38">
        <f>IF($A736="","",IFERROR($J736+$E736*($B736*4+$F736),0))</f>
        <v/>
      </c>
      <c r="L736" s="38">
        <f>IF($A736="","",IF($B736="","EKSİK","TAM"))</f>
        <v/>
      </c>
    </row>
    <row r="737">
      <c r="J737" s="38">
        <f>IF($A737="","",IFERROR($B737*$C737+$B737/30*7*$D737,0))</f>
        <v/>
      </c>
      <c r="K737" s="38">
        <f>IF($A737="","",IFERROR($J737+$E737*($B737*4+$F737),0))</f>
        <v/>
      </c>
      <c r="L737" s="38">
        <f>IF($A737="","",IF($B737="","EKSİK","TAM"))</f>
        <v/>
      </c>
    </row>
    <row r="738">
      <c r="J738" s="38">
        <f>IF($A738="","",IFERROR($B738*$C738+$B738/30*7*$D738,0))</f>
        <v/>
      </c>
      <c r="K738" s="38">
        <f>IF($A738="","",IFERROR($J738+$E738*($B738*4+$F738),0))</f>
        <v/>
      </c>
      <c r="L738" s="38">
        <f>IF($A738="","",IF($B738="","EKSİK","TAM"))</f>
        <v/>
      </c>
    </row>
    <row r="739">
      <c r="J739" s="38">
        <f>IF($A739="","",IFERROR($B739*$C739+$B739/30*7*$D739,0))</f>
        <v/>
      </c>
      <c r="K739" s="38">
        <f>IF($A739="","",IFERROR($J739+$E739*($B739*4+$F739),0))</f>
        <v/>
      </c>
      <c r="L739" s="38">
        <f>IF($A739="","",IF($B739="","EKSİK","TAM"))</f>
        <v/>
      </c>
    </row>
    <row r="740">
      <c r="J740" s="38">
        <f>IF($A740="","",IFERROR($B740*$C740+$B740/30*7*$D740,0))</f>
        <v/>
      </c>
      <c r="K740" s="38">
        <f>IF($A740="","",IFERROR($J740+$E740*($B740*4+$F740),0))</f>
        <v/>
      </c>
      <c r="L740" s="38">
        <f>IF($A740="","",IF($B740="","EKSİK","TAM"))</f>
        <v/>
      </c>
    </row>
    <row r="741">
      <c r="J741" s="38">
        <f>IF($A741="","",IFERROR($B741*$C741+$B741/30*7*$D741,0))</f>
        <v/>
      </c>
      <c r="K741" s="38">
        <f>IF($A741="","",IFERROR($J741+$E741*($B741*4+$F741),0))</f>
        <v/>
      </c>
      <c r="L741" s="38">
        <f>IF($A741="","",IF($B741="","EKSİK","TAM"))</f>
        <v/>
      </c>
    </row>
    <row r="742">
      <c r="J742" s="38">
        <f>IF($A742="","",IFERROR($B742*$C742+$B742/30*7*$D742,0))</f>
        <v/>
      </c>
      <c r="K742" s="38">
        <f>IF($A742="","",IFERROR($J742+$E742*($B742*4+$F742),0))</f>
        <v/>
      </c>
      <c r="L742" s="38">
        <f>IF($A742="","",IF($B742="","EKSİK","TAM"))</f>
        <v/>
      </c>
    </row>
    <row r="743">
      <c r="J743" s="38">
        <f>IF($A743="","",IFERROR($B743*$C743+$B743/30*7*$D743,0))</f>
        <v/>
      </c>
      <c r="K743" s="38">
        <f>IF($A743="","",IFERROR($J743+$E743*($B743*4+$F743),0))</f>
        <v/>
      </c>
      <c r="L743" s="38">
        <f>IF($A743="","",IF($B743="","EKSİK","TAM"))</f>
        <v/>
      </c>
    </row>
    <row r="744">
      <c r="J744" s="38">
        <f>IF($A744="","",IFERROR($B744*$C744+$B744/30*7*$D744,0))</f>
        <v/>
      </c>
      <c r="K744" s="38">
        <f>IF($A744="","",IFERROR($J744+$E744*($B744*4+$F744),0))</f>
        <v/>
      </c>
      <c r="L744" s="38">
        <f>IF($A744="","",IF($B744="","EKSİK","TAM"))</f>
        <v/>
      </c>
    </row>
    <row r="745">
      <c r="J745" s="38">
        <f>IF($A745="","",IFERROR($B745*$C745+$B745/30*7*$D745,0))</f>
        <v/>
      </c>
      <c r="K745" s="38">
        <f>IF($A745="","",IFERROR($J745+$E745*($B745*4+$F745),0))</f>
        <v/>
      </c>
      <c r="L745" s="38">
        <f>IF($A745="","",IF($B745="","EKSİK","TAM"))</f>
        <v/>
      </c>
    </row>
    <row r="746">
      <c r="J746" s="38">
        <f>IF($A746="","",IFERROR($B746*$C746+$B746/30*7*$D746,0))</f>
        <v/>
      </c>
      <c r="K746" s="38">
        <f>IF($A746="","",IFERROR($J746+$E746*($B746*4+$F746),0))</f>
        <v/>
      </c>
      <c r="L746" s="38">
        <f>IF($A746="","",IF($B746="","EKSİK","TAM"))</f>
        <v/>
      </c>
    </row>
    <row r="747">
      <c r="J747" s="38">
        <f>IF($A747="","",IFERROR($B747*$C747+$B747/30*7*$D747,0))</f>
        <v/>
      </c>
      <c r="K747" s="38">
        <f>IF($A747="","",IFERROR($J747+$E747*($B747*4+$F747),0))</f>
        <v/>
      </c>
      <c r="L747" s="38">
        <f>IF($A747="","",IF($B747="","EKSİK","TAM"))</f>
        <v/>
      </c>
    </row>
    <row r="748">
      <c r="J748" s="38">
        <f>IF($A748="","",IFERROR($B748*$C748+$B748/30*7*$D748,0))</f>
        <v/>
      </c>
      <c r="K748" s="38">
        <f>IF($A748="","",IFERROR($J748+$E748*($B748*4+$F748),0))</f>
        <v/>
      </c>
      <c r="L748" s="38">
        <f>IF($A748="","",IF($B748="","EKSİK","TAM"))</f>
        <v/>
      </c>
    </row>
    <row r="749">
      <c r="J749" s="38">
        <f>IF($A749="","",IFERROR($B749*$C749+$B749/30*7*$D749,0))</f>
        <v/>
      </c>
      <c r="K749" s="38">
        <f>IF($A749="","",IFERROR($J749+$E749*($B749*4+$F749),0))</f>
        <v/>
      </c>
      <c r="L749" s="38">
        <f>IF($A749="","",IF($B749="","EKSİK","TAM"))</f>
        <v/>
      </c>
    </row>
    <row r="750">
      <c r="J750" s="38">
        <f>IF($A750="","",IFERROR($B750*$C750+$B750/30*7*$D750,0))</f>
        <v/>
      </c>
      <c r="K750" s="38">
        <f>IF($A750="","",IFERROR($J750+$E750*($B750*4+$F750),0))</f>
        <v/>
      </c>
      <c r="L750" s="38">
        <f>IF($A750="","",IF($B750="","EKSİK","TAM"))</f>
        <v/>
      </c>
    </row>
    <row r="751">
      <c r="J751" s="38">
        <f>IF($A751="","",IFERROR($B751*$C751+$B751/30*7*$D751,0))</f>
        <v/>
      </c>
      <c r="K751" s="38">
        <f>IF($A751="","",IFERROR($J751+$E751*($B751*4+$F751),0))</f>
        <v/>
      </c>
      <c r="L751" s="38">
        <f>IF($A751="","",IF($B751="","EKSİK","TAM"))</f>
        <v/>
      </c>
    </row>
    <row r="752">
      <c r="J752" s="38">
        <f>IF($A752="","",IFERROR($B752*$C752+$B752/30*7*$D752,0))</f>
        <v/>
      </c>
      <c r="K752" s="38">
        <f>IF($A752="","",IFERROR($J752+$E752*($B752*4+$F752),0))</f>
        <v/>
      </c>
      <c r="L752" s="38">
        <f>IF($A752="","",IF($B752="","EKSİK","TAM"))</f>
        <v/>
      </c>
    </row>
    <row r="753">
      <c r="J753" s="38">
        <f>IF($A753="","",IFERROR($B753*$C753+$B753/30*7*$D753,0))</f>
        <v/>
      </c>
      <c r="K753" s="38">
        <f>IF($A753="","",IFERROR($J753+$E753*($B753*4+$F753),0))</f>
        <v/>
      </c>
      <c r="L753" s="38">
        <f>IF($A753="","",IF($B753="","EKSİK","TAM"))</f>
        <v/>
      </c>
    </row>
    <row r="754">
      <c r="J754" s="38">
        <f>IF($A754="","",IFERROR($B754*$C754+$B754/30*7*$D754,0))</f>
        <v/>
      </c>
      <c r="K754" s="38">
        <f>IF($A754="","",IFERROR($J754+$E754*($B754*4+$F754),0))</f>
        <v/>
      </c>
      <c r="L754" s="38">
        <f>IF($A754="","",IF($B754="","EKSİK","TAM"))</f>
        <v/>
      </c>
    </row>
    <row r="755">
      <c r="J755" s="38">
        <f>IF($A755="","",IFERROR($B755*$C755+$B755/30*7*$D755,0))</f>
        <v/>
      </c>
      <c r="K755" s="38">
        <f>IF($A755="","",IFERROR($J755+$E755*($B755*4+$F755),0))</f>
        <v/>
      </c>
      <c r="L755" s="38">
        <f>IF($A755="","",IF($B755="","EKSİK","TAM"))</f>
        <v/>
      </c>
    </row>
    <row r="756">
      <c r="J756" s="38">
        <f>IF($A756="","",IFERROR($B756*$C756+$B756/30*7*$D756,0))</f>
        <v/>
      </c>
      <c r="K756" s="38">
        <f>IF($A756="","",IFERROR($J756+$E756*($B756*4+$F756),0))</f>
        <v/>
      </c>
      <c r="L756" s="38">
        <f>IF($A756="","",IF($B756="","EKSİK","TAM"))</f>
        <v/>
      </c>
    </row>
    <row r="757">
      <c r="J757" s="38">
        <f>IF($A757="","",IFERROR($B757*$C757+$B757/30*7*$D757,0))</f>
        <v/>
      </c>
      <c r="K757" s="38">
        <f>IF($A757="","",IFERROR($J757+$E757*($B757*4+$F757),0))</f>
        <v/>
      </c>
      <c r="L757" s="38">
        <f>IF($A757="","",IF($B757="","EKSİK","TAM"))</f>
        <v/>
      </c>
    </row>
    <row r="758">
      <c r="J758" s="38">
        <f>IF($A758="","",IFERROR($B758*$C758+$B758/30*7*$D758,0))</f>
        <v/>
      </c>
      <c r="K758" s="38">
        <f>IF($A758="","",IFERROR($J758+$E758*($B758*4+$F758),0))</f>
        <v/>
      </c>
      <c r="L758" s="38">
        <f>IF($A758="","",IF($B758="","EKSİK","TAM"))</f>
        <v/>
      </c>
    </row>
    <row r="759">
      <c r="J759" s="38">
        <f>IF($A759="","",IFERROR($B759*$C759+$B759/30*7*$D759,0))</f>
        <v/>
      </c>
      <c r="K759" s="38">
        <f>IF($A759="","",IFERROR($J759+$E759*($B759*4+$F759),0))</f>
        <v/>
      </c>
      <c r="L759" s="38">
        <f>IF($A759="","",IF($B759="","EKSİK","TAM"))</f>
        <v/>
      </c>
    </row>
    <row r="760">
      <c r="J760" s="38">
        <f>IF($A760="","",IFERROR($B760*$C760+$B760/30*7*$D760,0))</f>
        <v/>
      </c>
      <c r="K760" s="38">
        <f>IF($A760="","",IFERROR($J760+$E760*($B760*4+$F760),0))</f>
        <v/>
      </c>
      <c r="L760" s="38">
        <f>IF($A760="","",IF($B760="","EKSİK","TAM"))</f>
        <v/>
      </c>
    </row>
    <row r="761">
      <c r="J761" s="38">
        <f>IF($A761="","",IFERROR($B761*$C761+$B761/30*7*$D761,0))</f>
        <v/>
      </c>
      <c r="K761" s="38">
        <f>IF($A761="","",IFERROR($J761+$E761*($B761*4+$F761),0))</f>
        <v/>
      </c>
      <c r="L761" s="38">
        <f>IF($A761="","",IF($B761="","EKSİK","TAM"))</f>
        <v/>
      </c>
    </row>
    <row r="762">
      <c r="J762" s="38">
        <f>IF($A762="","",IFERROR($B762*$C762+$B762/30*7*$D762,0))</f>
        <v/>
      </c>
      <c r="K762" s="38">
        <f>IF($A762="","",IFERROR($J762+$E762*($B762*4+$F762),0))</f>
        <v/>
      </c>
      <c r="L762" s="38">
        <f>IF($A762="","",IF($B762="","EKSİK","TAM"))</f>
        <v/>
      </c>
    </row>
    <row r="763">
      <c r="J763" s="38">
        <f>IF($A763="","",IFERROR($B763*$C763+$B763/30*7*$D763,0))</f>
        <v/>
      </c>
      <c r="K763" s="38">
        <f>IF($A763="","",IFERROR($J763+$E763*($B763*4+$F763),0))</f>
        <v/>
      </c>
      <c r="L763" s="38">
        <f>IF($A763="","",IF($B763="","EKSİK","TAM"))</f>
        <v/>
      </c>
    </row>
    <row r="764">
      <c r="J764" s="38">
        <f>IF($A764="","",IFERROR($B764*$C764+$B764/30*7*$D764,0))</f>
        <v/>
      </c>
      <c r="K764" s="38">
        <f>IF($A764="","",IFERROR($J764+$E764*($B764*4+$F764),0))</f>
        <v/>
      </c>
      <c r="L764" s="38">
        <f>IF($A764="","",IF($B764="","EKSİK","TAM"))</f>
        <v/>
      </c>
    </row>
    <row r="765">
      <c r="J765" s="38">
        <f>IF($A765="","",IFERROR($B765*$C765+$B765/30*7*$D765,0))</f>
        <v/>
      </c>
      <c r="K765" s="38">
        <f>IF($A765="","",IFERROR($J765+$E765*($B765*4+$F765),0))</f>
        <v/>
      </c>
      <c r="L765" s="38">
        <f>IF($A765="","",IF($B765="","EKSİK","TAM"))</f>
        <v/>
      </c>
    </row>
    <row r="766">
      <c r="J766" s="38">
        <f>IF($A766="","",IFERROR($B766*$C766+$B766/30*7*$D766,0))</f>
        <v/>
      </c>
      <c r="K766" s="38">
        <f>IF($A766="","",IFERROR($J766+$E766*($B766*4+$F766),0))</f>
        <v/>
      </c>
      <c r="L766" s="38">
        <f>IF($A766="","",IF($B766="","EKSİK","TAM"))</f>
        <v/>
      </c>
    </row>
    <row r="767">
      <c r="J767" s="38">
        <f>IF($A767="","",IFERROR($B767*$C767+$B767/30*7*$D767,0))</f>
        <v/>
      </c>
      <c r="K767" s="38">
        <f>IF($A767="","",IFERROR($J767+$E767*($B767*4+$F767),0))</f>
        <v/>
      </c>
      <c r="L767" s="38">
        <f>IF($A767="","",IF($B767="","EKSİK","TAM"))</f>
        <v/>
      </c>
    </row>
    <row r="768">
      <c r="J768" s="38">
        <f>IF($A768="","",IFERROR($B768*$C768+$B768/30*7*$D768,0))</f>
        <v/>
      </c>
      <c r="K768" s="38">
        <f>IF($A768="","",IFERROR($J768+$E768*($B768*4+$F768),0))</f>
        <v/>
      </c>
      <c r="L768" s="38">
        <f>IF($A768="","",IF($B768="","EKSİK","TAM"))</f>
        <v/>
      </c>
    </row>
    <row r="769">
      <c r="J769" s="38">
        <f>IF($A769="","",IFERROR($B769*$C769+$B769/30*7*$D769,0))</f>
        <v/>
      </c>
      <c r="K769" s="38">
        <f>IF($A769="","",IFERROR($J769+$E769*($B769*4+$F769),0))</f>
        <v/>
      </c>
      <c r="L769" s="38">
        <f>IF($A769="","",IF($B769="","EKSİK","TAM"))</f>
        <v/>
      </c>
    </row>
    <row r="770">
      <c r="J770" s="38">
        <f>IF($A770="","",IFERROR($B770*$C770+$B770/30*7*$D770,0))</f>
        <v/>
      </c>
      <c r="K770" s="38">
        <f>IF($A770="","",IFERROR($J770+$E770*($B770*4+$F770),0))</f>
        <v/>
      </c>
      <c r="L770" s="38">
        <f>IF($A770="","",IF($B770="","EKSİK","TAM"))</f>
        <v/>
      </c>
    </row>
    <row r="771">
      <c r="J771" s="38">
        <f>IF($A771="","",IFERROR($B771*$C771+$B771/30*7*$D771,0))</f>
        <v/>
      </c>
      <c r="K771" s="38">
        <f>IF($A771="","",IFERROR($J771+$E771*($B771*4+$F771),0))</f>
        <v/>
      </c>
      <c r="L771" s="38">
        <f>IF($A771="","",IF($B771="","EKSİK","TAM"))</f>
        <v/>
      </c>
    </row>
    <row r="772">
      <c r="J772" s="38">
        <f>IF($A772="","",IFERROR($B772*$C772+$B772/30*7*$D772,0))</f>
        <v/>
      </c>
      <c r="K772" s="38">
        <f>IF($A772="","",IFERROR($J772+$E772*($B772*4+$F772),0))</f>
        <v/>
      </c>
      <c r="L772" s="38">
        <f>IF($A772="","",IF($B772="","EKSİK","TAM"))</f>
        <v/>
      </c>
    </row>
    <row r="773">
      <c r="J773" s="38">
        <f>IF($A773="","",IFERROR($B773*$C773+$B773/30*7*$D773,0))</f>
        <v/>
      </c>
      <c r="K773" s="38">
        <f>IF($A773="","",IFERROR($J773+$E773*($B773*4+$F773),0))</f>
        <v/>
      </c>
      <c r="L773" s="38">
        <f>IF($A773="","",IF($B773="","EKSİK","TAM"))</f>
        <v/>
      </c>
    </row>
    <row r="774">
      <c r="J774" s="38">
        <f>IF($A774="","",IFERROR($B774*$C774+$B774/30*7*$D774,0))</f>
        <v/>
      </c>
      <c r="K774" s="38">
        <f>IF($A774="","",IFERROR($J774+$E774*($B774*4+$F774),0))</f>
        <v/>
      </c>
      <c r="L774" s="38">
        <f>IF($A774="","",IF($B774="","EKSİK","TAM"))</f>
        <v/>
      </c>
    </row>
    <row r="775">
      <c r="J775" s="38">
        <f>IF($A775="","",IFERROR($B775*$C775+$B775/30*7*$D775,0))</f>
        <v/>
      </c>
      <c r="K775" s="38">
        <f>IF($A775="","",IFERROR($J775+$E775*($B775*4+$F775),0))</f>
        <v/>
      </c>
      <c r="L775" s="38">
        <f>IF($A775="","",IF($B775="","EKSİK","TAM"))</f>
        <v/>
      </c>
    </row>
    <row r="776">
      <c r="J776" s="38">
        <f>IF($A776="","",IFERROR($B776*$C776+$B776/30*7*$D776,0))</f>
        <v/>
      </c>
      <c r="K776" s="38">
        <f>IF($A776="","",IFERROR($J776+$E776*($B776*4+$F776),0))</f>
        <v/>
      </c>
      <c r="L776" s="38">
        <f>IF($A776="","",IF($B776="","EKSİK","TAM"))</f>
        <v/>
      </c>
    </row>
    <row r="777">
      <c r="J777" s="38">
        <f>IF($A777="","",IFERROR($B777*$C777+$B777/30*7*$D777,0))</f>
        <v/>
      </c>
      <c r="K777" s="38">
        <f>IF($A777="","",IFERROR($J777+$E777*($B777*4+$F777),0))</f>
        <v/>
      </c>
      <c r="L777" s="38">
        <f>IF($A777="","",IF($B777="","EKSİK","TAM"))</f>
        <v/>
      </c>
    </row>
    <row r="778">
      <c r="J778" s="38">
        <f>IF($A778="","",IFERROR($B778*$C778+$B778/30*7*$D778,0))</f>
        <v/>
      </c>
      <c r="K778" s="38">
        <f>IF($A778="","",IFERROR($J778+$E778*($B778*4+$F778),0))</f>
        <v/>
      </c>
      <c r="L778" s="38">
        <f>IF($A778="","",IF($B778="","EKSİK","TAM"))</f>
        <v/>
      </c>
    </row>
    <row r="779">
      <c r="J779" s="38">
        <f>IF($A779="","",IFERROR($B779*$C779+$B779/30*7*$D779,0))</f>
        <v/>
      </c>
      <c r="K779" s="38">
        <f>IF($A779="","",IFERROR($J779+$E779*($B779*4+$F779),0))</f>
        <v/>
      </c>
      <c r="L779" s="38">
        <f>IF($A779="","",IF($B779="","EKSİK","TAM"))</f>
        <v/>
      </c>
    </row>
    <row r="780">
      <c r="J780" s="38">
        <f>IF($A780="","",IFERROR($B780*$C780+$B780/30*7*$D780,0))</f>
        <v/>
      </c>
      <c r="K780" s="38">
        <f>IF($A780="","",IFERROR($J780+$E780*($B780*4+$F780),0))</f>
        <v/>
      </c>
      <c r="L780" s="38">
        <f>IF($A780="","",IF($B780="","EKSİK","TAM"))</f>
        <v/>
      </c>
    </row>
    <row r="781">
      <c r="J781" s="38">
        <f>IF($A781="","",IFERROR($B781*$C781+$B781/30*7*$D781,0))</f>
        <v/>
      </c>
      <c r="K781" s="38">
        <f>IF($A781="","",IFERROR($J781+$E781*($B781*4+$F781),0))</f>
        <v/>
      </c>
      <c r="L781" s="38">
        <f>IF($A781="","",IF($B781="","EKSİK","TAM"))</f>
        <v/>
      </c>
    </row>
    <row r="782">
      <c r="J782" s="38">
        <f>IF($A782="","",IFERROR($B782*$C782+$B782/30*7*$D782,0))</f>
        <v/>
      </c>
      <c r="K782" s="38">
        <f>IF($A782="","",IFERROR($J782+$E782*($B782*4+$F782),0))</f>
        <v/>
      </c>
      <c r="L782" s="38">
        <f>IF($A782="","",IF($B782="","EKSİK","TAM"))</f>
        <v/>
      </c>
    </row>
    <row r="783">
      <c r="J783" s="38">
        <f>IF($A783="","",IFERROR($B783*$C783+$B783/30*7*$D783,0))</f>
        <v/>
      </c>
      <c r="K783" s="38">
        <f>IF($A783="","",IFERROR($J783+$E783*($B783*4+$F783),0))</f>
        <v/>
      </c>
      <c r="L783" s="38">
        <f>IF($A783="","",IF($B783="","EKSİK","TAM"))</f>
        <v/>
      </c>
    </row>
    <row r="784">
      <c r="J784" s="38">
        <f>IF($A784="","",IFERROR($B784*$C784+$B784/30*7*$D784,0))</f>
        <v/>
      </c>
      <c r="K784" s="38">
        <f>IF($A784="","",IFERROR($J784+$E784*($B784*4+$F784),0))</f>
        <v/>
      </c>
      <c r="L784" s="38">
        <f>IF($A784="","",IF($B784="","EKSİK","TAM"))</f>
        <v/>
      </c>
    </row>
    <row r="785">
      <c r="J785" s="38">
        <f>IF($A785="","",IFERROR($B785*$C785+$B785/30*7*$D785,0))</f>
        <v/>
      </c>
      <c r="K785" s="38">
        <f>IF($A785="","",IFERROR($J785+$E785*($B785*4+$F785),0))</f>
        <v/>
      </c>
      <c r="L785" s="38">
        <f>IF($A785="","",IF($B785="","EKSİK","TAM"))</f>
        <v/>
      </c>
    </row>
    <row r="786">
      <c r="J786" s="38">
        <f>IF($A786="","",IFERROR($B786*$C786+$B786/30*7*$D786,0))</f>
        <v/>
      </c>
      <c r="K786" s="38">
        <f>IF($A786="","",IFERROR($J786+$E786*($B786*4+$F786),0))</f>
        <v/>
      </c>
      <c r="L786" s="38">
        <f>IF($A786="","",IF($B786="","EKSİK","TAM"))</f>
        <v/>
      </c>
    </row>
    <row r="787">
      <c r="J787" s="38">
        <f>IF($A787="","",IFERROR($B787*$C787+$B787/30*7*$D787,0))</f>
        <v/>
      </c>
      <c r="K787" s="38">
        <f>IF($A787="","",IFERROR($J787+$E787*($B787*4+$F787),0))</f>
        <v/>
      </c>
      <c r="L787" s="38">
        <f>IF($A787="","",IF($B787="","EKSİK","TAM"))</f>
        <v/>
      </c>
    </row>
    <row r="788">
      <c r="J788" s="38">
        <f>IF($A788="","",IFERROR($B788*$C788+$B788/30*7*$D788,0))</f>
        <v/>
      </c>
      <c r="K788" s="38">
        <f>IF($A788="","",IFERROR($J788+$E788*($B788*4+$F788),0))</f>
        <v/>
      </c>
      <c r="L788" s="38">
        <f>IF($A788="","",IF($B788="","EKSİK","TAM"))</f>
        <v/>
      </c>
    </row>
    <row r="789">
      <c r="J789" s="38">
        <f>IF($A789="","",IFERROR($B789*$C789+$B789/30*7*$D789,0))</f>
        <v/>
      </c>
      <c r="K789" s="38">
        <f>IF($A789="","",IFERROR($J789+$E789*($B789*4+$F789),0))</f>
        <v/>
      </c>
      <c r="L789" s="38">
        <f>IF($A789="","",IF($B789="","EKSİK","TAM"))</f>
        <v/>
      </c>
    </row>
    <row r="790">
      <c r="J790" s="38">
        <f>IF($A790="","",IFERROR($B790*$C790+$B790/30*7*$D790,0))</f>
        <v/>
      </c>
      <c r="K790" s="38">
        <f>IF($A790="","",IFERROR($J790+$E790*($B790*4+$F790),0))</f>
        <v/>
      </c>
      <c r="L790" s="38">
        <f>IF($A790="","",IF($B790="","EKSİK","TAM"))</f>
        <v/>
      </c>
    </row>
    <row r="791">
      <c r="J791" s="38">
        <f>IF($A791="","",IFERROR($B791*$C791+$B791/30*7*$D791,0))</f>
        <v/>
      </c>
      <c r="K791" s="38">
        <f>IF($A791="","",IFERROR($J791+$E791*($B791*4+$F791),0))</f>
        <v/>
      </c>
      <c r="L791" s="38">
        <f>IF($A791="","",IF($B791="","EKSİK","TAM"))</f>
        <v/>
      </c>
    </row>
    <row r="792">
      <c r="J792" s="38">
        <f>IF($A792="","",IFERROR($B792*$C792+$B792/30*7*$D792,0))</f>
        <v/>
      </c>
      <c r="K792" s="38">
        <f>IF($A792="","",IFERROR($J792+$E792*($B792*4+$F792),0))</f>
        <v/>
      </c>
      <c r="L792" s="38">
        <f>IF($A792="","",IF($B792="","EKSİK","TAM"))</f>
        <v/>
      </c>
    </row>
    <row r="793">
      <c r="J793" s="38">
        <f>IF($A793="","",IFERROR($B793*$C793+$B793/30*7*$D793,0))</f>
        <v/>
      </c>
      <c r="K793" s="38">
        <f>IF($A793="","",IFERROR($J793+$E793*($B793*4+$F793),0))</f>
        <v/>
      </c>
      <c r="L793" s="38">
        <f>IF($A793="","",IF($B793="","EKSİK","TAM"))</f>
        <v/>
      </c>
    </row>
    <row r="794">
      <c r="J794" s="38">
        <f>IF($A794="","",IFERROR($B794*$C794+$B794/30*7*$D794,0))</f>
        <v/>
      </c>
      <c r="K794" s="38">
        <f>IF($A794="","",IFERROR($J794+$E794*($B794*4+$F794),0))</f>
        <v/>
      </c>
      <c r="L794" s="38">
        <f>IF($A794="","",IF($B794="","EKSİK","TAM"))</f>
        <v/>
      </c>
    </row>
    <row r="795">
      <c r="J795" s="38">
        <f>IF($A795="","",IFERROR($B795*$C795+$B795/30*7*$D795,0))</f>
        <v/>
      </c>
      <c r="K795" s="38">
        <f>IF($A795="","",IFERROR($J795+$E795*($B795*4+$F795),0))</f>
        <v/>
      </c>
      <c r="L795" s="38">
        <f>IF($A795="","",IF($B795="","EKSİK","TAM"))</f>
        <v/>
      </c>
    </row>
    <row r="796">
      <c r="J796" s="38">
        <f>IF($A796="","",IFERROR($B796*$C796+$B796/30*7*$D796,0))</f>
        <v/>
      </c>
      <c r="K796" s="38">
        <f>IF($A796="","",IFERROR($J796+$E796*($B796*4+$F796),0))</f>
        <v/>
      </c>
      <c r="L796" s="38">
        <f>IF($A796="","",IF($B796="","EKSİK","TAM"))</f>
        <v/>
      </c>
    </row>
    <row r="797">
      <c r="J797" s="38">
        <f>IF($A797="","",IFERROR($B797*$C797+$B797/30*7*$D797,0))</f>
        <v/>
      </c>
      <c r="K797" s="38">
        <f>IF($A797="","",IFERROR($J797+$E797*($B797*4+$F797),0))</f>
        <v/>
      </c>
      <c r="L797" s="38">
        <f>IF($A797="","",IF($B797="","EKSİK","TAM"))</f>
        <v/>
      </c>
    </row>
    <row r="798">
      <c r="J798" s="38">
        <f>IF($A798="","",IFERROR($B798*$C798+$B798/30*7*$D798,0))</f>
        <v/>
      </c>
      <c r="K798" s="38">
        <f>IF($A798="","",IFERROR($J798+$E798*($B798*4+$F798),0))</f>
        <v/>
      </c>
      <c r="L798" s="38">
        <f>IF($A798="","",IF($B798="","EKSİK","TAM"))</f>
        <v/>
      </c>
    </row>
    <row r="799">
      <c r="J799" s="38">
        <f>IF($A799="","",IFERROR($B799*$C799+$B799/30*7*$D799,0))</f>
        <v/>
      </c>
      <c r="K799" s="38">
        <f>IF($A799="","",IFERROR($J799+$E799*($B799*4+$F799),0))</f>
        <v/>
      </c>
      <c r="L799" s="38">
        <f>IF($A799="","",IF($B799="","EKSİK","TAM"))</f>
        <v/>
      </c>
    </row>
    <row r="800">
      <c r="J800" s="38">
        <f>IF($A800="","",IFERROR($B800*$C800+$B800/30*7*$D800,0))</f>
        <v/>
      </c>
      <c r="K800" s="38">
        <f>IF($A800="","",IFERROR($J800+$E800*($B800*4+$F800),0))</f>
        <v/>
      </c>
      <c r="L800" s="38">
        <f>IF($A800="","",IF($B800="","EKSİK","TAM"))</f>
        <v/>
      </c>
    </row>
    <row r="801">
      <c r="J801" s="38">
        <f>IF($A801="","",IFERROR($B801*$C801+$B801/30*7*$D801,0))</f>
        <v/>
      </c>
      <c r="K801" s="38">
        <f>IF($A801="","",IFERROR($J801+$E801*($B801*4+$F801),0))</f>
        <v/>
      </c>
      <c r="L801" s="38">
        <f>IF($A801="","",IF($B801="","EKSİK","TAM"))</f>
        <v/>
      </c>
    </row>
    <row r="802">
      <c r="J802" s="38">
        <f>IF($A802="","",IFERROR($B802*$C802+$B802/30*7*$D802,0))</f>
        <v/>
      </c>
      <c r="K802" s="38">
        <f>IF($A802="","",IFERROR($J802+$E802*($B802*4+$F802),0))</f>
        <v/>
      </c>
      <c r="L802" s="38">
        <f>IF($A802="","",IF($B802="","EKSİK","TAM"))</f>
        <v/>
      </c>
    </row>
    <row r="803">
      <c r="J803" s="38">
        <f>IF($A803="","",IFERROR($B803*$C803+$B803/30*7*$D803,0))</f>
        <v/>
      </c>
      <c r="K803" s="38">
        <f>IF($A803="","",IFERROR($J803+$E803*($B803*4+$F803),0))</f>
        <v/>
      </c>
      <c r="L803" s="38">
        <f>IF($A803="","",IF($B803="","EKSİK","TAM"))</f>
        <v/>
      </c>
    </row>
    <row r="804">
      <c r="J804" s="38">
        <f>IF($A804="","",IFERROR($B804*$C804+$B804/30*7*$D804,0))</f>
        <v/>
      </c>
      <c r="K804" s="38">
        <f>IF($A804="","",IFERROR($J804+$E804*($B804*4+$F804),0))</f>
        <v/>
      </c>
      <c r="L804" s="38">
        <f>IF($A804="","",IF($B804="","EKSİK","TAM"))</f>
        <v/>
      </c>
    </row>
    <row r="805">
      <c r="J805" s="38">
        <f>IF($A805="","",IFERROR($B805*$C805+$B805/30*7*$D805,0))</f>
        <v/>
      </c>
      <c r="K805" s="38">
        <f>IF($A805="","",IFERROR($J805+$E805*($B805*4+$F805),0))</f>
        <v/>
      </c>
      <c r="L805" s="38">
        <f>IF($A805="","",IF($B805="","EKSİK","TAM"))</f>
        <v/>
      </c>
    </row>
    <row r="806">
      <c r="J806" s="38">
        <f>IF($A806="","",IFERROR($B806*$C806+$B806/30*7*$D806,0))</f>
        <v/>
      </c>
      <c r="K806" s="38">
        <f>IF($A806="","",IFERROR($J806+$E806*($B806*4+$F806),0))</f>
        <v/>
      </c>
      <c r="L806" s="38">
        <f>IF($A806="","",IF($B806="","EKSİK","TAM"))</f>
        <v/>
      </c>
    </row>
    <row r="807">
      <c r="J807" s="38">
        <f>IF($A807="","",IFERROR($B807*$C807+$B807/30*7*$D807,0))</f>
        <v/>
      </c>
      <c r="K807" s="38">
        <f>IF($A807="","",IFERROR($J807+$E807*($B807*4+$F807),0))</f>
        <v/>
      </c>
      <c r="L807" s="38">
        <f>IF($A807="","",IF($B807="","EKSİK","TAM"))</f>
        <v/>
      </c>
    </row>
    <row r="808">
      <c r="J808" s="38">
        <f>IF($A808="","",IFERROR($B808*$C808+$B808/30*7*$D808,0))</f>
        <v/>
      </c>
      <c r="K808" s="38">
        <f>IF($A808="","",IFERROR($J808+$E808*($B808*4+$F808),0))</f>
        <v/>
      </c>
      <c r="L808" s="38">
        <f>IF($A808="","",IF($B808="","EKSİK","TAM"))</f>
        <v/>
      </c>
    </row>
    <row r="809">
      <c r="J809" s="38">
        <f>IF($A809="","",IFERROR($B809*$C809+$B809/30*7*$D809,0))</f>
        <v/>
      </c>
      <c r="K809" s="38">
        <f>IF($A809="","",IFERROR($J809+$E809*($B809*4+$F809),0))</f>
        <v/>
      </c>
      <c r="L809" s="38">
        <f>IF($A809="","",IF($B809="","EKSİK","TAM"))</f>
        <v/>
      </c>
    </row>
    <row r="810">
      <c r="J810" s="38">
        <f>IF($A810="","",IFERROR($B810*$C810+$B810/30*7*$D810,0))</f>
        <v/>
      </c>
      <c r="K810" s="38">
        <f>IF($A810="","",IFERROR($J810+$E810*($B810*4+$F810),0))</f>
        <v/>
      </c>
      <c r="L810" s="38">
        <f>IF($A810="","",IF($B810="","EKSİK","TAM"))</f>
        <v/>
      </c>
    </row>
    <row r="811">
      <c r="J811" s="38">
        <f>IF($A811="","",IFERROR($B811*$C811+$B811/30*7*$D811,0))</f>
        <v/>
      </c>
      <c r="K811" s="38">
        <f>IF($A811="","",IFERROR($J811+$E811*($B811*4+$F811),0))</f>
        <v/>
      </c>
      <c r="L811" s="38">
        <f>IF($A811="","",IF($B811="","EKSİK","TAM"))</f>
        <v/>
      </c>
    </row>
    <row r="812">
      <c r="J812" s="38">
        <f>IF($A812="","",IFERROR($B812*$C812+$B812/30*7*$D812,0))</f>
        <v/>
      </c>
      <c r="K812" s="38">
        <f>IF($A812="","",IFERROR($J812+$E812*($B812*4+$F812),0))</f>
        <v/>
      </c>
      <c r="L812" s="38">
        <f>IF($A812="","",IF($B812="","EKSİK","TAM"))</f>
        <v/>
      </c>
    </row>
    <row r="813">
      <c r="J813" s="38">
        <f>IF($A813="","",IFERROR($B813*$C813+$B813/30*7*$D813,0))</f>
        <v/>
      </c>
      <c r="K813" s="38">
        <f>IF($A813="","",IFERROR($J813+$E813*($B813*4+$F813),0))</f>
        <v/>
      </c>
      <c r="L813" s="38">
        <f>IF($A813="","",IF($B813="","EKSİK","TAM"))</f>
        <v/>
      </c>
    </row>
    <row r="814">
      <c r="J814" s="38">
        <f>IF($A814="","",IFERROR($B814*$C814+$B814/30*7*$D814,0))</f>
        <v/>
      </c>
      <c r="K814" s="38">
        <f>IF($A814="","",IFERROR($J814+$E814*($B814*4+$F814),0))</f>
        <v/>
      </c>
      <c r="L814" s="38">
        <f>IF($A814="","",IF($B814="","EKSİK","TAM"))</f>
        <v/>
      </c>
    </row>
    <row r="815">
      <c r="J815" s="38">
        <f>IF($A815="","",IFERROR($B815*$C815+$B815/30*7*$D815,0))</f>
        <v/>
      </c>
      <c r="K815" s="38">
        <f>IF($A815="","",IFERROR($J815+$E815*($B815*4+$F815),0))</f>
        <v/>
      </c>
      <c r="L815" s="38">
        <f>IF($A815="","",IF($B815="","EKSİK","TAM"))</f>
        <v/>
      </c>
    </row>
    <row r="816">
      <c r="J816" s="38">
        <f>IF($A816="","",IFERROR($B816*$C816+$B816/30*7*$D816,0))</f>
        <v/>
      </c>
      <c r="K816" s="38">
        <f>IF($A816="","",IFERROR($J816+$E816*($B816*4+$F816),0))</f>
        <v/>
      </c>
      <c r="L816" s="38">
        <f>IF($A816="","",IF($B816="","EKSİK","TAM"))</f>
        <v/>
      </c>
    </row>
    <row r="817">
      <c r="J817" s="38">
        <f>IF($A817="","",IFERROR($B817*$C817+$B817/30*7*$D817,0))</f>
        <v/>
      </c>
      <c r="K817" s="38">
        <f>IF($A817="","",IFERROR($J817+$E817*($B817*4+$F817),0))</f>
        <v/>
      </c>
      <c r="L817" s="38">
        <f>IF($A817="","",IF($B817="","EKSİK","TAM"))</f>
        <v/>
      </c>
    </row>
    <row r="818">
      <c r="J818" s="38">
        <f>IF($A818="","",IFERROR($B818*$C818+$B818/30*7*$D818,0))</f>
        <v/>
      </c>
      <c r="K818" s="38">
        <f>IF($A818="","",IFERROR($J818+$E818*($B818*4+$F818),0))</f>
        <v/>
      </c>
      <c r="L818" s="38">
        <f>IF($A818="","",IF($B818="","EKSİK","TAM"))</f>
        <v/>
      </c>
    </row>
    <row r="819">
      <c r="J819" s="38">
        <f>IF($A819="","",IFERROR($B819*$C819+$B819/30*7*$D819,0))</f>
        <v/>
      </c>
      <c r="K819" s="38">
        <f>IF($A819="","",IFERROR($J819+$E819*($B819*4+$F819),0))</f>
        <v/>
      </c>
      <c r="L819" s="38">
        <f>IF($A819="","",IF($B819="","EKSİK","TAM"))</f>
        <v/>
      </c>
    </row>
    <row r="820">
      <c r="J820" s="38">
        <f>IF($A820="","",IFERROR($B820*$C820+$B820/30*7*$D820,0))</f>
        <v/>
      </c>
      <c r="K820" s="38">
        <f>IF($A820="","",IFERROR($J820+$E820*($B820*4+$F820),0))</f>
        <v/>
      </c>
      <c r="L820" s="38">
        <f>IF($A820="","",IF($B820="","EKSİK","TAM"))</f>
        <v/>
      </c>
    </row>
    <row r="821">
      <c r="J821" s="38">
        <f>IF($A821="","",IFERROR($B821*$C821+$B821/30*7*$D821,0))</f>
        <v/>
      </c>
      <c r="K821" s="38">
        <f>IF($A821="","",IFERROR($J821+$E821*($B821*4+$F821),0))</f>
        <v/>
      </c>
      <c r="L821" s="38">
        <f>IF($A821="","",IF($B821="","EKSİK","TAM"))</f>
        <v/>
      </c>
    </row>
    <row r="822">
      <c r="J822" s="38">
        <f>IF($A822="","",IFERROR($B822*$C822+$B822/30*7*$D822,0))</f>
        <v/>
      </c>
      <c r="K822" s="38">
        <f>IF($A822="","",IFERROR($J822+$E822*($B822*4+$F822),0))</f>
        <v/>
      </c>
      <c r="L822" s="38">
        <f>IF($A822="","",IF($B822="","EKSİK","TAM"))</f>
        <v/>
      </c>
    </row>
    <row r="823">
      <c r="J823" s="38">
        <f>IF($A823="","",IFERROR($B823*$C823+$B823/30*7*$D823,0))</f>
        <v/>
      </c>
      <c r="K823" s="38">
        <f>IF($A823="","",IFERROR($J823+$E823*($B823*4+$F823),0))</f>
        <v/>
      </c>
      <c r="L823" s="38">
        <f>IF($A823="","",IF($B823="","EKSİK","TAM"))</f>
        <v/>
      </c>
    </row>
    <row r="824">
      <c r="J824" s="38">
        <f>IF($A824="","",IFERROR($B824*$C824+$B824/30*7*$D824,0))</f>
        <v/>
      </c>
      <c r="K824" s="38">
        <f>IF($A824="","",IFERROR($J824+$E824*($B824*4+$F824),0))</f>
        <v/>
      </c>
      <c r="L824" s="38">
        <f>IF($A824="","",IF($B824="","EKSİK","TAM"))</f>
        <v/>
      </c>
    </row>
    <row r="825">
      <c r="J825" s="38">
        <f>IF($A825="","",IFERROR($B825*$C825+$B825/30*7*$D825,0))</f>
        <v/>
      </c>
      <c r="K825" s="38">
        <f>IF($A825="","",IFERROR($J825+$E825*($B825*4+$F825),0))</f>
        <v/>
      </c>
      <c r="L825" s="38">
        <f>IF($A825="","",IF($B825="","EKSİK","TAM"))</f>
        <v/>
      </c>
    </row>
    <row r="826">
      <c r="J826" s="38">
        <f>IF($A826="","",IFERROR($B826*$C826+$B826/30*7*$D826,0))</f>
        <v/>
      </c>
      <c r="K826" s="38">
        <f>IF($A826="","",IFERROR($J826+$E826*($B826*4+$F826),0))</f>
        <v/>
      </c>
      <c r="L826" s="38">
        <f>IF($A826="","",IF($B826="","EKSİK","TAM"))</f>
        <v/>
      </c>
    </row>
    <row r="827">
      <c r="J827" s="38">
        <f>IF($A827="","",IFERROR($B827*$C827+$B827/30*7*$D827,0))</f>
        <v/>
      </c>
      <c r="K827" s="38">
        <f>IF($A827="","",IFERROR($J827+$E827*($B827*4+$F827),0))</f>
        <v/>
      </c>
      <c r="L827" s="38">
        <f>IF($A827="","",IF($B827="","EKSİK","TAM"))</f>
        <v/>
      </c>
    </row>
    <row r="828">
      <c r="J828" s="38">
        <f>IF($A828="","",IFERROR($B828*$C828+$B828/30*7*$D828,0))</f>
        <v/>
      </c>
      <c r="K828" s="38">
        <f>IF($A828="","",IFERROR($J828+$E828*($B828*4+$F828),0))</f>
        <v/>
      </c>
      <c r="L828" s="38">
        <f>IF($A828="","",IF($B828="","EKSİK","TAM"))</f>
        <v/>
      </c>
    </row>
    <row r="829">
      <c r="J829" s="38">
        <f>IF($A829="","",IFERROR($B829*$C829+$B829/30*7*$D829,0))</f>
        <v/>
      </c>
      <c r="K829" s="38">
        <f>IF($A829="","",IFERROR($J829+$E829*($B829*4+$F829),0))</f>
        <v/>
      </c>
      <c r="L829" s="38">
        <f>IF($A829="","",IF($B829="","EKSİK","TAM"))</f>
        <v/>
      </c>
    </row>
    <row r="830">
      <c r="J830" s="38">
        <f>IF($A830="","",IFERROR($B830*$C830+$B830/30*7*$D830,0))</f>
        <v/>
      </c>
      <c r="K830" s="38">
        <f>IF($A830="","",IFERROR($J830+$E830*($B830*4+$F830),0))</f>
        <v/>
      </c>
      <c r="L830" s="38">
        <f>IF($A830="","",IF($B830="","EKSİK","TAM"))</f>
        <v/>
      </c>
    </row>
    <row r="831">
      <c r="J831" s="38">
        <f>IF($A831="","",IFERROR($B831*$C831+$B831/30*7*$D831,0))</f>
        <v/>
      </c>
      <c r="K831" s="38">
        <f>IF($A831="","",IFERROR($J831+$E831*($B831*4+$F831),0))</f>
        <v/>
      </c>
      <c r="L831" s="38">
        <f>IF($A831="","",IF($B831="","EKSİK","TAM"))</f>
        <v/>
      </c>
    </row>
    <row r="832">
      <c r="J832" s="38">
        <f>IF($A832="","",IFERROR($B832*$C832+$B832/30*7*$D832,0))</f>
        <v/>
      </c>
      <c r="K832" s="38">
        <f>IF($A832="","",IFERROR($J832+$E832*($B832*4+$F832),0))</f>
        <v/>
      </c>
      <c r="L832" s="38">
        <f>IF($A832="","",IF($B832="","EKSİK","TAM"))</f>
        <v/>
      </c>
    </row>
    <row r="833">
      <c r="J833" s="38">
        <f>IF($A833="","",IFERROR($B833*$C833+$B833/30*7*$D833,0))</f>
        <v/>
      </c>
      <c r="K833" s="38">
        <f>IF($A833="","",IFERROR($J833+$E833*($B833*4+$F833),0))</f>
        <v/>
      </c>
      <c r="L833" s="38">
        <f>IF($A833="","",IF($B833="","EKSİK","TAM"))</f>
        <v/>
      </c>
    </row>
    <row r="834">
      <c r="J834" s="38">
        <f>IF($A834="","",IFERROR($B834*$C834+$B834/30*7*$D834,0))</f>
        <v/>
      </c>
      <c r="K834" s="38">
        <f>IF($A834="","",IFERROR($J834+$E834*($B834*4+$F834),0))</f>
        <v/>
      </c>
      <c r="L834" s="38">
        <f>IF($A834="","",IF($B834="","EKSİK","TAM"))</f>
        <v/>
      </c>
    </row>
    <row r="835">
      <c r="J835" s="38">
        <f>IF($A835="","",IFERROR($B835*$C835+$B835/30*7*$D835,0))</f>
        <v/>
      </c>
      <c r="K835" s="38">
        <f>IF($A835="","",IFERROR($J835+$E835*($B835*4+$F835),0))</f>
        <v/>
      </c>
      <c r="L835" s="38">
        <f>IF($A835="","",IF($B835="","EKSİK","TAM"))</f>
        <v/>
      </c>
    </row>
    <row r="836">
      <c r="J836" s="38">
        <f>IF($A836="","",IFERROR($B836*$C836+$B836/30*7*$D836,0))</f>
        <v/>
      </c>
      <c r="K836" s="38">
        <f>IF($A836="","",IFERROR($J836+$E836*($B836*4+$F836),0))</f>
        <v/>
      </c>
      <c r="L836" s="38">
        <f>IF($A836="","",IF($B836="","EKSİK","TAM"))</f>
        <v/>
      </c>
    </row>
    <row r="837">
      <c r="J837" s="38">
        <f>IF($A837="","",IFERROR($B837*$C837+$B837/30*7*$D837,0))</f>
        <v/>
      </c>
      <c r="K837" s="38">
        <f>IF($A837="","",IFERROR($J837+$E837*($B837*4+$F837),0))</f>
        <v/>
      </c>
      <c r="L837" s="38">
        <f>IF($A837="","",IF($B837="","EKSİK","TAM"))</f>
        <v/>
      </c>
    </row>
    <row r="838">
      <c r="J838" s="38">
        <f>IF($A838="","",IFERROR($B838*$C838+$B838/30*7*$D838,0))</f>
        <v/>
      </c>
      <c r="K838" s="38">
        <f>IF($A838="","",IFERROR($J838+$E838*($B838*4+$F838),0))</f>
        <v/>
      </c>
      <c r="L838" s="38">
        <f>IF($A838="","",IF($B838="","EKSİK","TAM"))</f>
        <v/>
      </c>
    </row>
    <row r="839">
      <c r="J839" s="38">
        <f>IF($A839="","",IFERROR($B839*$C839+$B839/30*7*$D839,0))</f>
        <v/>
      </c>
      <c r="K839" s="38">
        <f>IF($A839="","",IFERROR($J839+$E839*($B839*4+$F839),0))</f>
        <v/>
      </c>
      <c r="L839" s="38">
        <f>IF($A839="","",IF($B839="","EKSİK","TAM"))</f>
        <v/>
      </c>
    </row>
    <row r="840">
      <c r="J840" s="38">
        <f>IF($A840="","",IFERROR($B840*$C840+$B840/30*7*$D840,0))</f>
        <v/>
      </c>
      <c r="K840" s="38">
        <f>IF($A840="","",IFERROR($J840+$E840*($B840*4+$F840),0))</f>
        <v/>
      </c>
      <c r="L840" s="38">
        <f>IF($A840="","",IF($B840="","EKSİK","TAM"))</f>
        <v/>
      </c>
    </row>
    <row r="841">
      <c r="J841" s="38">
        <f>IF($A841="","",IFERROR($B841*$C841+$B841/30*7*$D841,0))</f>
        <v/>
      </c>
      <c r="K841" s="38">
        <f>IF($A841="","",IFERROR($J841+$E841*($B841*4+$F841),0))</f>
        <v/>
      </c>
      <c r="L841" s="38">
        <f>IF($A841="","",IF($B841="","EKSİK","TAM"))</f>
        <v/>
      </c>
    </row>
    <row r="842">
      <c r="J842" s="38">
        <f>IF($A842="","",IFERROR($B842*$C842+$B842/30*7*$D842,0))</f>
        <v/>
      </c>
      <c r="K842" s="38">
        <f>IF($A842="","",IFERROR($J842+$E842*($B842*4+$F842),0))</f>
        <v/>
      </c>
      <c r="L842" s="38">
        <f>IF($A842="","",IF($B842="","EKSİK","TAM"))</f>
        <v/>
      </c>
    </row>
    <row r="843">
      <c r="J843" s="38">
        <f>IF($A843="","",IFERROR($B843*$C843+$B843/30*7*$D843,0))</f>
        <v/>
      </c>
      <c r="K843" s="38">
        <f>IF($A843="","",IFERROR($J843+$E843*($B843*4+$F843),0))</f>
        <v/>
      </c>
      <c r="L843" s="38">
        <f>IF($A843="","",IF($B843="","EKSİK","TAM"))</f>
        <v/>
      </c>
    </row>
    <row r="844">
      <c r="J844" s="38">
        <f>IF($A844="","",IFERROR($B844*$C844+$B844/30*7*$D844,0))</f>
        <v/>
      </c>
      <c r="K844" s="38">
        <f>IF($A844="","",IFERROR($J844+$E844*($B844*4+$F844),0))</f>
        <v/>
      </c>
      <c r="L844" s="38">
        <f>IF($A844="","",IF($B844="","EKSİK","TAM"))</f>
        <v/>
      </c>
    </row>
    <row r="845">
      <c r="J845" s="38">
        <f>IF($A845="","",IFERROR($B845*$C845+$B845/30*7*$D845,0))</f>
        <v/>
      </c>
      <c r="K845" s="38">
        <f>IF($A845="","",IFERROR($J845+$E845*($B845*4+$F845),0))</f>
        <v/>
      </c>
      <c r="L845" s="38">
        <f>IF($A845="","",IF($B845="","EKSİK","TAM"))</f>
        <v/>
      </c>
    </row>
    <row r="846">
      <c r="J846" s="38">
        <f>IF($A846="","",IFERROR($B846*$C846+$B846/30*7*$D846,0))</f>
        <v/>
      </c>
      <c r="K846" s="38">
        <f>IF($A846="","",IFERROR($J846+$E846*($B846*4+$F846),0))</f>
        <v/>
      </c>
      <c r="L846" s="38">
        <f>IF($A846="","",IF($B846="","EKSİK","TAM"))</f>
        <v/>
      </c>
    </row>
    <row r="847">
      <c r="J847" s="38">
        <f>IF($A847="","",IFERROR($B847*$C847+$B847/30*7*$D847,0))</f>
        <v/>
      </c>
      <c r="K847" s="38">
        <f>IF($A847="","",IFERROR($J847+$E847*($B847*4+$F847),0))</f>
        <v/>
      </c>
      <c r="L847" s="38">
        <f>IF($A847="","",IF($B847="","EKSİK","TAM"))</f>
        <v/>
      </c>
    </row>
    <row r="848">
      <c r="J848" s="38">
        <f>IF($A848="","",IFERROR($B848*$C848+$B848/30*7*$D848,0))</f>
        <v/>
      </c>
      <c r="K848" s="38">
        <f>IF($A848="","",IFERROR($J848+$E848*($B848*4+$F848),0))</f>
        <v/>
      </c>
      <c r="L848" s="38">
        <f>IF($A848="","",IF($B848="","EKSİK","TAM"))</f>
        <v/>
      </c>
    </row>
    <row r="849">
      <c r="J849" s="38">
        <f>IF($A849="","",IFERROR($B849*$C849+$B849/30*7*$D849,0))</f>
        <v/>
      </c>
      <c r="K849" s="38">
        <f>IF($A849="","",IFERROR($J849+$E849*($B849*4+$F849),0))</f>
        <v/>
      </c>
      <c r="L849" s="38">
        <f>IF($A849="","",IF($B849="","EKSİK","TAM"))</f>
        <v/>
      </c>
    </row>
    <row r="850">
      <c r="J850" s="38">
        <f>IF($A850="","",IFERROR($B850*$C850+$B850/30*7*$D850,0))</f>
        <v/>
      </c>
      <c r="K850" s="38">
        <f>IF($A850="","",IFERROR($J850+$E850*($B850*4+$F850),0))</f>
        <v/>
      </c>
      <c r="L850" s="38">
        <f>IF($A850="","",IF($B850="","EKSİK","TAM"))</f>
        <v/>
      </c>
    </row>
    <row r="851">
      <c r="J851" s="38">
        <f>IF($A851="","",IFERROR($B851*$C851+$B851/30*7*$D851,0))</f>
        <v/>
      </c>
      <c r="K851" s="38">
        <f>IF($A851="","",IFERROR($J851+$E851*($B851*4+$F851),0))</f>
        <v/>
      </c>
      <c r="L851" s="38">
        <f>IF($A851="","",IF($B851="","EKSİK","TAM"))</f>
        <v/>
      </c>
    </row>
    <row r="852">
      <c r="J852" s="38">
        <f>IF($A852="","",IFERROR($B852*$C852+$B852/30*7*$D852,0))</f>
        <v/>
      </c>
      <c r="K852" s="38">
        <f>IF($A852="","",IFERROR($J852+$E852*($B852*4+$F852),0))</f>
        <v/>
      </c>
      <c r="L852" s="38">
        <f>IF($A852="","",IF($B852="","EKSİK","TAM"))</f>
        <v/>
      </c>
    </row>
    <row r="853">
      <c r="J853" s="38">
        <f>IF($A853="","",IFERROR($B853*$C853+$B853/30*7*$D853,0))</f>
        <v/>
      </c>
      <c r="K853" s="38">
        <f>IF($A853="","",IFERROR($J853+$E853*($B853*4+$F853),0))</f>
        <v/>
      </c>
      <c r="L853" s="38">
        <f>IF($A853="","",IF($B853="","EKSİK","TAM"))</f>
        <v/>
      </c>
    </row>
    <row r="854">
      <c r="J854" s="38">
        <f>IF($A854="","",IFERROR($B854*$C854+$B854/30*7*$D854,0))</f>
        <v/>
      </c>
      <c r="K854" s="38">
        <f>IF($A854="","",IFERROR($J854+$E854*($B854*4+$F854),0))</f>
        <v/>
      </c>
      <c r="L854" s="38">
        <f>IF($A854="","",IF($B854="","EKSİK","TAM"))</f>
        <v/>
      </c>
    </row>
    <row r="855">
      <c r="J855" s="38">
        <f>IF($A855="","",IFERROR($B855*$C855+$B855/30*7*$D855,0))</f>
        <v/>
      </c>
      <c r="K855" s="38">
        <f>IF($A855="","",IFERROR($J855+$E855*($B855*4+$F855),0))</f>
        <v/>
      </c>
      <c r="L855" s="38">
        <f>IF($A855="","",IF($B855="","EKSİK","TAM"))</f>
        <v/>
      </c>
    </row>
    <row r="856">
      <c r="J856" s="38">
        <f>IF($A856="","",IFERROR($B856*$C856+$B856/30*7*$D856,0))</f>
        <v/>
      </c>
      <c r="K856" s="38">
        <f>IF($A856="","",IFERROR($J856+$E856*($B856*4+$F856),0))</f>
        <v/>
      </c>
      <c r="L856" s="38">
        <f>IF($A856="","",IF($B856="","EKSİK","TAM"))</f>
        <v/>
      </c>
    </row>
    <row r="857">
      <c r="J857" s="38">
        <f>IF($A857="","",IFERROR($B857*$C857+$B857/30*7*$D857,0))</f>
        <v/>
      </c>
      <c r="K857" s="38">
        <f>IF($A857="","",IFERROR($J857+$E857*($B857*4+$F857),0))</f>
        <v/>
      </c>
      <c r="L857" s="38">
        <f>IF($A857="","",IF($B857="","EKSİK","TAM"))</f>
        <v/>
      </c>
    </row>
    <row r="858">
      <c r="J858" s="38">
        <f>IF($A858="","",IFERROR($B858*$C858+$B858/30*7*$D858,0))</f>
        <v/>
      </c>
      <c r="K858" s="38">
        <f>IF($A858="","",IFERROR($J858+$E858*($B858*4+$F858),0))</f>
        <v/>
      </c>
      <c r="L858" s="38">
        <f>IF($A858="","",IF($B858="","EKSİK","TAM"))</f>
        <v/>
      </c>
    </row>
    <row r="859">
      <c r="J859" s="38">
        <f>IF($A859="","",IFERROR($B859*$C859+$B859/30*7*$D859,0))</f>
        <v/>
      </c>
      <c r="K859" s="38">
        <f>IF($A859="","",IFERROR($J859+$E859*($B859*4+$F859),0))</f>
        <v/>
      </c>
      <c r="L859" s="38">
        <f>IF($A859="","",IF($B859="","EKSİK","TAM"))</f>
        <v/>
      </c>
    </row>
    <row r="860">
      <c r="J860" s="38">
        <f>IF($A860="","",IFERROR($B860*$C860+$B860/30*7*$D860,0))</f>
        <v/>
      </c>
      <c r="K860" s="38">
        <f>IF($A860="","",IFERROR($J860+$E860*($B860*4+$F860),0))</f>
        <v/>
      </c>
      <c r="L860" s="38">
        <f>IF($A860="","",IF($B860="","EKSİK","TAM"))</f>
        <v/>
      </c>
    </row>
    <row r="861">
      <c r="J861" s="38">
        <f>IF($A861="","",IFERROR($B861*$C861+$B861/30*7*$D861,0))</f>
        <v/>
      </c>
      <c r="K861" s="38">
        <f>IF($A861="","",IFERROR($J861+$E861*($B861*4+$F861),0))</f>
        <v/>
      </c>
      <c r="L861" s="38">
        <f>IF($A861="","",IF($B861="","EKSİK","TAM"))</f>
        <v/>
      </c>
    </row>
    <row r="862">
      <c r="J862" s="38">
        <f>IF($A862="","",IFERROR($B862*$C862+$B862/30*7*$D862,0))</f>
        <v/>
      </c>
      <c r="K862" s="38">
        <f>IF($A862="","",IFERROR($J862+$E862*($B862*4+$F862),0))</f>
        <v/>
      </c>
      <c r="L862" s="38">
        <f>IF($A862="","",IF($B862="","EKSİK","TAM"))</f>
        <v/>
      </c>
    </row>
    <row r="863">
      <c r="J863" s="38">
        <f>IF($A863="","",IFERROR($B863*$C863+$B863/30*7*$D863,0))</f>
        <v/>
      </c>
      <c r="K863" s="38">
        <f>IF($A863="","",IFERROR($J863+$E863*($B863*4+$F863),0))</f>
        <v/>
      </c>
      <c r="L863" s="38">
        <f>IF($A863="","",IF($B863="","EKSİK","TAM"))</f>
        <v/>
      </c>
    </row>
    <row r="864">
      <c r="J864" s="38">
        <f>IF($A864="","",IFERROR($B864*$C864+$B864/30*7*$D864,0))</f>
        <v/>
      </c>
      <c r="K864" s="38">
        <f>IF($A864="","",IFERROR($J864+$E864*($B864*4+$F864),0))</f>
        <v/>
      </c>
      <c r="L864" s="38">
        <f>IF($A864="","",IF($B864="","EKSİK","TAM"))</f>
        <v/>
      </c>
    </row>
    <row r="865">
      <c r="J865" s="38">
        <f>IF($A865="","",IFERROR($B865*$C865+$B865/30*7*$D865,0))</f>
        <v/>
      </c>
      <c r="K865" s="38">
        <f>IF($A865="","",IFERROR($J865+$E865*($B865*4+$F865),0))</f>
        <v/>
      </c>
      <c r="L865" s="38">
        <f>IF($A865="","",IF($B865="","EKSİK","TAM"))</f>
        <v/>
      </c>
    </row>
    <row r="866">
      <c r="J866" s="38">
        <f>IF($A866="","",IFERROR($B866*$C866+$B866/30*7*$D866,0))</f>
        <v/>
      </c>
      <c r="K866" s="38">
        <f>IF($A866="","",IFERROR($J866+$E866*($B866*4+$F866),0))</f>
        <v/>
      </c>
      <c r="L866" s="38">
        <f>IF($A866="","",IF($B866="","EKSİK","TAM"))</f>
        <v/>
      </c>
    </row>
    <row r="867">
      <c r="J867" s="38">
        <f>IF($A867="","",IFERROR($B867*$C867+$B867/30*7*$D867,0))</f>
        <v/>
      </c>
      <c r="K867" s="38">
        <f>IF($A867="","",IFERROR($J867+$E867*($B867*4+$F867),0))</f>
        <v/>
      </c>
      <c r="L867" s="38">
        <f>IF($A867="","",IF($B867="","EKSİK","TAM"))</f>
        <v/>
      </c>
    </row>
    <row r="868">
      <c r="J868" s="38">
        <f>IF($A868="","",IFERROR($B868*$C868+$B868/30*7*$D868,0))</f>
        <v/>
      </c>
      <c r="K868" s="38">
        <f>IF($A868="","",IFERROR($J868+$E868*($B868*4+$F868),0))</f>
        <v/>
      </c>
      <c r="L868" s="38">
        <f>IF($A868="","",IF($B868="","EKSİK","TAM"))</f>
        <v/>
      </c>
    </row>
    <row r="869">
      <c r="J869" s="38">
        <f>IF($A869="","",IFERROR($B869*$C869+$B869/30*7*$D869,0))</f>
        <v/>
      </c>
      <c r="K869" s="38">
        <f>IF($A869="","",IFERROR($J869+$E869*($B869*4+$F869),0))</f>
        <v/>
      </c>
      <c r="L869" s="38">
        <f>IF($A869="","",IF($B869="","EKSİK","TAM"))</f>
        <v/>
      </c>
    </row>
    <row r="870">
      <c r="J870" s="38">
        <f>IF($A870="","",IFERROR($B870*$C870+$B870/30*7*$D870,0))</f>
        <v/>
      </c>
      <c r="K870" s="38">
        <f>IF($A870="","",IFERROR($J870+$E870*($B870*4+$F870),0))</f>
        <v/>
      </c>
      <c r="L870" s="38">
        <f>IF($A870="","",IF($B870="","EKSİK","TAM"))</f>
        <v/>
      </c>
    </row>
    <row r="871">
      <c r="J871" s="38">
        <f>IF($A871="","",IFERROR($B871*$C871+$B871/30*7*$D871,0))</f>
        <v/>
      </c>
      <c r="K871" s="38">
        <f>IF($A871="","",IFERROR($J871+$E871*($B871*4+$F871),0))</f>
        <v/>
      </c>
      <c r="L871" s="38">
        <f>IF($A871="","",IF($B871="","EKSİK","TAM"))</f>
        <v/>
      </c>
    </row>
    <row r="872">
      <c r="J872" s="38">
        <f>IF($A872="","",IFERROR($B872*$C872+$B872/30*7*$D872,0))</f>
        <v/>
      </c>
      <c r="K872" s="38">
        <f>IF($A872="","",IFERROR($J872+$E872*($B872*4+$F872),0))</f>
        <v/>
      </c>
      <c r="L872" s="38">
        <f>IF($A872="","",IF($B872="","EKSİK","TAM"))</f>
        <v/>
      </c>
    </row>
    <row r="873">
      <c r="J873" s="38">
        <f>IF($A873="","",IFERROR($B873*$C873+$B873/30*7*$D873,0))</f>
        <v/>
      </c>
      <c r="K873" s="38">
        <f>IF($A873="","",IFERROR($J873+$E873*($B873*4+$F873),0))</f>
        <v/>
      </c>
      <c r="L873" s="38">
        <f>IF($A873="","",IF($B873="","EKSİK","TAM"))</f>
        <v/>
      </c>
    </row>
    <row r="874">
      <c r="J874" s="38">
        <f>IF($A874="","",IFERROR($B874*$C874+$B874/30*7*$D874,0))</f>
        <v/>
      </c>
      <c r="K874" s="38">
        <f>IF($A874="","",IFERROR($J874+$E874*($B874*4+$F874),0))</f>
        <v/>
      </c>
      <c r="L874" s="38">
        <f>IF($A874="","",IF($B874="","EKSİK","TAM"))</f>
        <v/>
      </c>
    </row>
    <row r="875">
      <c r="J875" s="38">
        <f>IF($A875="","",IFERROR($B875*$C875+$B875/30*7*$D875,0))</f>
        <v/>
      </c>
      <c r="K875" s="38">
        <f>IF($A875="","",IFERROR($J875+$E875*($B875*4+$F875),0))</f>
        <v/>
      </c>
      <c r="L875" s="38">
        <f>IF($A875="","",IF($B875="","EKSİK","TAM"))</f>
        <v/>
      </c>
    </row>
    <row r="876">
      <c r="J876" s="38">
        <f>IF($A876="","",IFERROR($B876*$C876+$B876/30*7*$D876,0))</f>
        <v/>
      </c>
      <c r="K876" s="38">
        <f>IF($A876="","",IFERROR($J876+$E876*($B876*4+$F876),0))</f>
        <v/>
      </c>
      <c r="L876" s="38">
        <f>IF($A876="","",IF($B876="","EKSİK","TAM"))</f>
        <v/>
      </c>
    </row>
    <row r="877">
      <c r="J877" s="38">
        <f>IF($A877="","",IFERROR($B877*$C877+$B877/30*7*$D877,0))</f>
        <v/>
      </c>
      <c r="K877" s="38">
        <f>IF($A877="","",IFERROR($J877+$E877*($B877*4+$F877),0))</f>
        <v/>
      </c>
      <c r="L877" s="38">
        <f>IF($A877="","",IF($B877="","EKSİK","TAM"))</f>
        <v/>
      </c>
    </row>
    <row r="878">
      <c r="J878" s="38">
        <f>IF($A878="","",IFERROR($B878*$C878+$B878/30*7*$D878,0))</f>
        <v/>
      </c>
      <c r="K878" s="38">
        <f>IF($A878="","",IFERROR($J878+$E878*($B878*4+$F878),0))</f>
        <v/>
      </c>
      <c r="L878" s="38">
        <f>IF($A878="","",IF($B878="","EKSİK","TAM"))</f>
        <v/>
      </c>
    </row>
    <row r="879">
      <c r="J879" s="38">
        <f>IF($A879="","",IFERROR($B879*$C879+$B879/30*7*$D879,0))</f>
        <v/>
      </c>
      <c r="K879" s="38">
        <f>IF($A879="","",IFERROR($J879+$E879*($B879*4+$F879),0))</f>
        <v/>
      </c>
      <c r="L879" s="38">
        <f>IF($A879="","",IF($B879="","EKSİK","TAM"))</f>
        <v/>
      </c>
    </row>
    <row r="880">
      <c r="J880" s="38">
        <f>IF($A880="","",IFERROR($B880*$C880+$B880/30*7*$D880,0))</f>
        <v/>
      </c>
      <c r="K880" s="38">
        <f>IF($A880="","",IFERROR($J880+$E880*($B880*4+$F880),0))</f>
        <v/>
      </c>
      <c r="L880" s="38">
        <f>IF($A880="","",IF($B880="","EKSİK","TAM"))</f>
        <v/>
      </c>
    </row>
    <row r="881">
      <c r="J881" s="38">
        <f>IF($A881="","",IFERROR($B881*$C881+$B881/30*7*$D881,0))</f>
        <v/>
      </c>
      <c r="K881" s="38">
        <f>IF($A881="","",IFERROR($J881+$E881*($B881*4+$F881),0))</f>
        <v/>
      </c>
      <c r="L881" s="38">
        <f>IF($A881="","",IF($B881="","EKSİK","TAM"))</f>
        <v/>
      </c>
    </row>
    <row r="882">
      <c r="J882" s="38">
        <f>IF($A882="","",IFERROR($B882*$C882+$B882/30*7*$D882,0))</f>
        <v/>
      </c>
      <c r="K882" s="38">
        <f>IF($A882="","",IFERROR($J882+$E882*($B882*4+$F882),0))</f>
        <v/>
      </c>
      <c r="L882" s="38">
        <f>IF($A882="","",IF($B882="","EKSİK","TAM"))</f>
        <v/>
      </c>
    </row>
    <row r="883">
      <c r="J883" s="38">
        <f>IF($A883="","",IFERROR($B883*$C883+$B883/30*7*$D883,0))</f>
        <v/>
      </c>
      <c r="K883" s="38">
        <f>IF($A883="","",IFERROR($J883+$E883*($B883*4+$F883),0))</f>
        <v/>
      </c>
      <c r="L883" s="38">
        <f>IF($A883="","",IF($B883="","EKSİK","TAM"))</f>
        <v/>
      </c>
    </row>
    <row r="884">
      <c r="J884" s="38">
        <f>IF($A884="","",IFERROR($B884*$C884+$B884/30*7*$D884,0))</f>
        <v/>
      </c>
      <c r="K884" s="38">
        <f>IF($A884="","",IFERROR($J884+$E884*($B884*4+$F884),0))</f>
        <v/>
      </c>
      <c r="L884" s="38">
        <f>IF($A884="","",IF($B884="","EKSİK","TAM"))</f>
        <v/>
      </c>
    </row>
    <row r="885">
      <c r="J885" s="38">
        <f>IF($A885="","",IFERROR($B885*$C885+$B885/30*7*$D885,0))</f>
        <v/>
      </c>
      <c r="K885" s="38">
        <f>IF($A885="","",IFERROR($J885+$E885*($B885*4+$F885),0))</f>
        <v/>
      </c>
      <c r="L885" s="38">
        <f>IF($A885="","",IF($B885="","EKSİK","TAM"))</f>
        <v/>
      </c>
    </row>
    <row r="886">
      <c r="J886" s="38">
        <f>IF($A886="","",IFERROR($B886*$C886+$B886/30*7*$D886,0))</f>
        <v/>
      </c>
      <c r="K886" s="38">
        <f>IF($A886="","",IFERROR($J886+$E886*($B886*4+$F886),0))</f>
        <v/>
      </c>
      <c r="L886" s="38">
        <f>IF($A886="","",IF($B886="","EKSİK","TAM"))</f>
        <v/>
      </c>
    </row>
    <row r="887">
      <c r="J887" s="38">
        <f>IF($A887="","",IFERROR($B887*$C887+$B887/30*7*$D887,0))</f>
        <v/>
      </c>
      <c r="K887" s="38">
        <f>IF($A887="","",IFERROR($J887+$E887*($B887*4+$F887),0))</f>
        <v/>
      </c>
      <c r="L887" s="38">
        <f>IF($A887="","",IF($B887="","EKSİK","TAM"))</f>
        <v/>
      </c>
    </row>
    <row r="888">
      <c r="J888" s="38">
        <f>IF($A888="","",IFERROR($B888*$C888+$B888/30*7*$D888,0))</f>
        <v/>
      </c>
      <c r="K888" s="38">
        <f>IF($A888="","",IFERROR($J888+$E888*($B888*4+$F888),0))</f>
        <v/>
      </c>
      <c r="L888" s="38">
        <f>IF($A888="","",IF($B888="","EKSİK","TAM"))</f>
        <v/>
      </c>
    </row>
    <row r="889">
      <c r="J889" s="38">
        <f>IF($A889="","",IFERROR($B889*$C889+$B889/30*7*$D889,0))</f>
        <v/>
      </c>
      <c r="K889" s="38">
        <f>IF($A889="","",IFERROR($J889+$E889*($B889*4+$F889),0))</f>
        <v/>
      </c>
      <c r="L889" s="38">
        <f>IF($A889="","",IF($B889="","EKSİK","TAM"))</f>
        <v/>
      </c>
    </row>
    <row r="890">
      <c r="J890" s="38">
        <f>IF($A890="","",IFERROR($B890*$C890+$B890/30*7*$D890,0))</f>
        <v/>
      </c>
      <c r="K890" s="38">
        <f>IF($A890="","",IFERROR($J890+$E890*($B890*4+$F890),0))</f>
        <v/>
      </c>
      <c r="L890" s="38">
        <f>IF($A890="","",IF($B890="","EKSİK","TAM"))</f>
        <v/>
      </c>
    </row>
    <row r="891">
      <c r="J891" s="38">
        <f>IF($A891="","",IFERROR($B891*$C891+$B891/30*7*$D891,0))</f>
        <v/>
      </c>
      <c r="K891" s="38">
        <f>IF($A891="","",IFERROR($J891+$E891*($B891*4+$F891),0))</f>
        <v/>
      </c>
      <c r="L891" s="38">
        <f>IF($A891="","",IF($B891="","EKSİK","TAM"))</f>
        <v/>
      </c>
    </row>
    <row r="892">
      <c r="J892" s="38">
        <f>IF($A892="","",IFERROR($B892*$C892+$B892/30*7*$D892,0))</f>
        <v/>
      </c>
      <c r="K892" s="38">
        <f>IF($A892="","",IFERROR($J892+$E892*($B892*4+$F892),0))</f>
        <v/>
      </c>
      <c r="L892" s="38">
        <f>IF($A892="","",IF($B892="","EKSİK","TAM"))</f>
        <v/>
      </c>
    </row>
    <row r="893">
      <c r="J893" s="38">
        <f>IF($A893="","",IFERROR($B893*$C893+$B893/30*7*$D893,0))</f>
        <v/>
      </c>
      <c r="K893" s="38">
        <f>IF($A893="","",IFERROR($J893+$E893*($B893*4+$F893),0))</f>
        <v/>
      </c>
      <c r="L893" s="38">
        <f>IF($A893="","",IF($B893="","EKSİK","TAM"))</f>
        <v/>
      </c>
    </row>
    <row r="894">
      <c r="J894" s="38">
        <f>IF($A894="","",IFERROR($B894*$C894+$B894/30*7*$D894,0))</f>
        <v/>
      </c>
      <c r="K894" s="38">
        <f>IF($A894="","",IFERROR($J894+$E894*($B894*4+$F894),0))</f>
        <v/>
      </c>
      <c r="L894" s="38">
        <f>IF($A894="","",IF($B894="","EKSİK","TAM"))</f>
        <v/>
      </c>
    </row>
    <row r="895">
      <c r="J895" s="38">
        <f>IF($A895="","",IFERROR($B895*$C895+$B895/30*7*$D895,0))</f>
        <v/>
      </c>
      <c r="K895" s="38">
        <f>IF($A895="","",IFERROR($J895+$E895*($B895*4+$F895),0))</f>
        <v/>
      </c>
      <c r="L895" s="38">
        <f>IF($A895="","",IF($B895="","EKSİK","TAM"))</f>
        <v/>
      </c>
    </row>
    <row r="896">
      <c r="J896" s="38">
        <f>IF($A896="","",IFERROR($B896*$C896+$B896/30*7*$D896,0))</f>
        <v/>
      </c>
      <c r="K896" s="38">
        <f>IF($A896="","",IFERROR($J896+$E896*($B896*4+$F896),0))</f>
        <v/>
      </c>
      <c r="L896" s="38">
        <f>IF($A896="","",IF($B896="","EKSİK","TAM"))</f>
        <v/>
      </c>
    </row>
    <row r="897">
      <c r="J897" s="38">
        <f>IF($A897="","",IFERROR($B897*$C897+$B897/30*7*$D897,0))</f>
        <v/>
      </c>
      <c r="K897" s="38">
        <f>IF($A897="","",IFERROR($J897+$E897*($B897*4+$F897),0))</f>
        <v/>
      </c>
      <c r="L897" s="38">
        <f>IF($A897="","",IF($B897="","EKSİK","TAM"))</f>
        <v/>
      </c>
    </row>
    <row r="898">
      <c r="J898" s="38">
        <f>IF($A898="","",IFERROR($B898*$C898+$B898/30*7*$D898,0))</f>
        <v/>
      </c>
      <c r="K898" s="38">
        <f>IF($A898="","",IFERROR($J898+$E898*($B898*4+$F898),0))</f>
        <v/>
      </c>
      <c r="L898" s="38">
        <f>IF($A898="","",IF($B898="","EKSİK","TAM"))</f>
        <v/>
      </c>
    </row>
    <row r="899">
      <c r="J899" s="38">
        <f>IF($A899="","",IFERROR($B899*$C899+$B899/30*7*$D899,0))</f>
        <v/>
      </c>
      <c r="K899" s="38">
        <f>IF($A899="","",IFERROR($J899+$E899*($B899*4+$F899),0))</f>
        <v/>
      </c>
      <c r="L899" s="38">
        <f>IF($A899="","",IF($B899="","EKSİK","TAM"))</f>
        <v/>
      </c>
    </row>
    <row r="900">
      <c r="J900" s="38">
        <f>IF($A900="","",IFERROR($B900*$C900+$B900/30*7*$D900,0))</f>
        <v/>
      </c>
      <c r="K900" s="38">
        <f>IF($A900="","",IFERROR($J900+$E900*($B900*4+$F900),0))</f>
        <v/>
      </c>
      <c r="L900" s="38">
        <f>IF($A900="","",IF($B900="","EKSİK","TAM"))</f>
        <v/>
      </c>
    </row>
    <row r="901">
      <c r="J901" s="38">
        <f>IF($A901="","",IFERROR($B901*$C901+$B901/30*7*$D901,0))</f>
        <v/>
      </c>
      <c r="K901" s="38">
        <f>IF($A901="","",IFERROR($J901+$E901*($B901*4+$F901),0))</f>
        <v/>
      </c>
      <c r="L901" s="38">
        <f>IF($A901="","",IF($B901="","EKSİK","TAM"))</f>
        <v/>
      </c>
    </row>
    <row r="902">
      <c r="J902" s="38">
        <f>IF($A902="","",IFERROR($B902*$C902+$B902/30*7*$D902,0))</f>
        <v/>
      </c>
      <c r="K902" s="38">
        <f>IF($A902="","",IFERROR($J902+$E902*($B902*4+$F902),0))</f>
        <v/>
      </c>
      <c r="L902" s="38">
        <f>IF($A902="","",IF($B902="","EKSİK","TAM"))</f>
        <v/>
      </c>
    </row>
    <row r="903">
      <c r="J903" s="38">
        <f>IF($A903="","",IFERROR($B903*$C903+$B903/30*7*$D903,0))</f>
        <v/>
      </c>
      <c r="K903" s="38">
        <f>IF($A903="","",IFERROR($J903+$E903*($B903*4+$F903),0))</f>
        <v/>
      </c>
      <c r="L903" s="38">
        <f>IF($A903="","",IF($B903="","EKSİK","TAM"))</f>
        <v/>
      </c>
    </row>
    <row r="904">
      <c r="J904" s="38">
        <f>IF($A904="","",IFERROR($B904*$C904+$B904/30*7*$D904,0))</f>
        <v/>
      </c>
      <c r="K904" s="38">
        <f>IF($A904="","",IFERROR($J904+$E904*($B904*4+$F904),0))</f>
        <v/>
      </c>
      <c r="L904" s="38">
        <f>IF($A904="","",IF($B904="","EKSİK","TAM"))</f>
        <v/>
      </c>
    </row>
    <row r="905">
      <c r="J905" s="38">
        <f>IF($A905="","",IFERROR($B905*$C905+$B905/30*7*$D905,0))</f>
        <v/>
      </c>
      <c r="K905" s="38">
        <f>IF($A905="","",IFERROR($J905+$E905*($B905*4+$F905),0))</f>
        <v/>
      </c>
      <c r="L905" s="38">
        <f>IF($A905="","",IF($B905="","EKSİK","TAM"))</f>
        <v/>
      </c>
    </row>
    <row r="906">
      <c r="J906" s="38">
        <f>IF($A906="","",IFERROR($B906*$C906+$B906/30*7*$D906,0))</f>
        <v/>
      </c>
      <c r="K906" s="38">
        <f>IF($A906="","",IFERROR($J906+$E906*($B906*4+$F906),0))</f>
        <v/>
      </c>
      <c r="L906" s="38">
        <f>IF($A906="","",IF($B906="","EKSİK","TAM"))</f>
        <v/>
      </c>
    </row>
    <row r="907">
      <c r="J907" s="38">
        <f>IF($A907="","",IFERROR($B907*$C907+$B907/30*7*$D907,0))</f>
        <v/>
      </c>
      <c r="K907" s="38">
        <f>IF($A907="","",IFERROR($J907+$E907*($B907*4+$F907),0))</f>
        <v/>
      </c>
      <c r="L907" s="38">
        <f>IF($A907="","",IF($B907="","EKSİK","TAM"))</f>
        <v/>
      </c>
    </row>
    <row r="908">
      <c r="J908" s="38">
        <f>IF($A908="","",IFERROR($B908*$C908+$B908/30*7*$D908,0))</f>
        <v/>
      </c>
      <c r="K908" s="38">
        <f>IF($A908="","",IFERROR($J908+$E908*($B908*4+$F908),0))</f>
        <v/>
      </c>
      <c r="L908" s="38">
        <f>IF($A908="","",IF($B908="","EKSİK","TAM"))</f>
        <v/>
      </c>
    </row>
    <row r="909">
      <c r="J909" s="38">
        <f>IF($A909="","",IFERROR($B909*$C909+$B909/30*7*$D909,0))</f>
        <v/>
      </c>
      <c r="K909" s="38">
        <f>IF($A909="","",IFERROR($J909+$E909*($B909*4+$F909),0))</f>
        <v/>
      </c>
      <c r="L909" s="38">
        <f>IF($A909="","",IF($B909="","EKSİK","TAM"))</f>
        <v/>
      </c>
    </row>
    <row r="910">
      <c r="J910" s="38">
        <f>IF($A910="","",IFERROR($B910*$C910+$B910/30*7*$D910,0))</f>
        <v/>
      </c>
      <c r="K910" s="38">
        <f>IF($A910="","",IFERROR($J910+$E910*($B910*4+$F910),0))</f>
        <v/>
      </c>
      <c r="L910" s="38">
        <f>IF($A910="","",IF($B910="","EKSİK","TAM"))</f>
        <v/>
      </c>
    </row>
    <row r="911">
      <c r="J911" s="38">
        <f>IF($A911="","",IFERROR($B911*$C911+$B911/30*7*$D911,0))</f>
        <v/>
      </c>
      <c r="K911" s="38">
        <f>IF($A911="","",IFERROR($J911+$E911*($B911*4+$F911),0))</f>
        <v/>
      </c>
      <c r="L911" s="38">
        <f>IF($A911="","",IF($B911="","EKSİK","TAM"))</f>
        <v/>
      </c>
    </row>
    <row r="912">
      <c r="J912" s="38">
        <f>IF($A912="","",IFERROR($B912*$C912+$B912/30*7*$D912,0))</f>
        <v/>
      </c>
      <c r="K912" s="38">
        <f>IF($A912="","",IFERROR($J912+$E912*($B912*4+$F912),0))</f>
        <v/>
      </c>
      <c r="L912" s="38">
        <f>IF($A912="","",IF($B912="","EKSİK","TAM"))</f>
        <v/>
      </c>
    </row>
    <row r="913">
      <c r="J913" s="38">
        <f>IF($A913="","",IFERROR($B913*$C913+$B913/30*7*$D913,0))</f>
        <v/>
      </c>
      <c r="K913" s="38">
        <f>IF($A913="","",IFERROR($J913+$E913*($B913*4+$F913),0))</f>
        <v/>
      </c>
      <c r="L913" s="38">
        <f>IF($A913="","",IF($B913="","EKSİK","TAM"))</f>
        <v/>
      </c>
    </row>
    <row r="914">
      <c r="J914" s="38">
        <f>IF($A914="","",IFERROR($B914*$C914+$B914/30*7*$D914,0))</f>
        <v/>
      </c>
      <c r="K914" s="38">
        <f>IF($A914="","",IFERROR($J914+$E914*($B914*4+$F914),0))</f>
        <v/>
      </c>
      <c r="L914" s="38">
        <f>IF($A914="","",IF($B914="","EKSİK","TAM"))</f>
        <v/>
      </c>
    </row>
    <row r="915">
      <c r="J915" s="38">
        <f>IF($A915="","",IFERROR($B915*$C915+$B915/30*7*$D915,0))</f>
        <v/>
      </c>
      <c r="K915" s="38">
        <f>IF($A915="","",IFERROR($J915+$E915*($B915*4+$F915),0))</f>
        <v/>
      </c>
      <c r="L915" s="38">
        <f>IF($A915="","",IF($B915="","EKSİK","TAM"))</f>
        <v/>
      </c>
    </row>
    <row r="916">
      <c r="J916" s="38">
        <f>IF($A916="","",IFERROR($B916*$C916+$B916/30*7*$D916,0))</f>
        <v/>
      </c>
      <c r="K916" s="38">
        <f>IF($A916="","",IFERROR($J916+$E916*($B916*4+$F916),0))</f>
        <v/>
      </c>
      <c r="L916" s="38">
        <f>IF($A916="","",IF($B916="","EKSİK","TAM"))</f>
        <v/>
      </c>
    </row>
    <row r="917">
      <c r="J917" s="38">
        <f>IF($A917="","",IFERROR($B917*$C917+$B917/30*7*$D917,0))</f>
        <v/>
      </c>
      <c r="K917" s="38">
        <f>IF($A917="","",IFERROR($J917+$E917*($B917*4+$F917),0))</f>
        <v/>
      </c>
      <c r="L917" s="38">
        <f>IF($A917="","",IF($B917="","EKSİK","TAM"))</f>
        <v/>
      </c>
    </row>
    <row r="918">
      <c r="J918" s="38">
        <f>IF($A918="","",IFERROR($B918*$C918+$B918/30*7*$D918,0))</f>
        <v/>
      </c>
      <c r="K918" s="38">
        <f>IF($A918="","",IFERROR($J918+$E918*($B918*4+$F918),0))</f>
        <v/>
      </c>
      <c r="L918" s="38">
        <f>IF($A918="","",IF($B918="","EKSİK","TAM"))</f>
        <v/>
      </c>
    </row>
    <row r="919">
      <c r="J919" s="38">
        <f>IF($A919="","",IFERROR($B919*$C919+$B919/30*7*$D919,0))</f>
        <v/>
      </c>
      <c r="K919" s="38">
        <f>IF($A919="","",IFERROR($J919+$E919*($B919*4+$F919),0))</f>
        <v/>
      </c>
      <c r="L919" s="38">
        <f>IF($A919="","",IF($B919="","EKSİK","TAM"))</f>
        <v/>
      </c>
    </row>
    <row r="920">
      <c r="J920" s="38">
        <f>IF($A920="","",IFERROR($B920*$C920+$B920/30*7*$D920,0))</f>
        <v/>
      </c>
      <c r="K920" s="38">
        <f>IF($A920="","",IFERROR($J920+$E920*($B920*4+$F920),0))</f>
        <v/>
      </c>
      <c r="L920" s="38">
        <f>IF($A920="","",IF($B920="","EKSİK","TAM"))</f>
        <v/>
      </c>
    </row>
    <row r="921">
      <c r="J921" s="38">
        <f>IF($A921="","",IFERROR($B921*$C921+$B921/30*7*$D921,0))</f>
        <v/>
      </c>
      <c r="K921" s="38">
        <f>IF($A921="","",IFERROR($J921+$E921*($B921*4+$F921),0))</f>
        <v/>
      </c>
      <c r="L921" s="38">
        <f>IF($A921="","",IF($B921="","EKSİK","TAM"))</f>
        <v/>
      </c>
    </row>
    <row r="922">
      <c r="J922" s="38">
        <f>IF($A922="","",IFERROR($B922*$C922+$B922/30*7*$D922,0))</f>
        <v/>
      </c>
      <c r="K922" s="38">
        <f>IF($A922="","",IFERROR($J922+$E922*($B922*4+$F922),0))</f>
        <v/>
      </c>
      <c r="L922" s="38">
        <f>IF($A922="","",IF($B922="","EKSİK","TAM"))</f>
        <v/>
      </c>
    </row>
    <row r="923">
      <c r="J923" s="38">
        <f>IF($A923="","",IFERROR($B923*$C923+$B923/30*7*$D923,0))</f>
        <v/>
      </c>
      <c r="K923" s="38">
        <f>IF($A923="","",IFERROR($J923+$E923*($B923*4+$F923),0))</f>
        <v/>
      </c>
      <c r="L923" s="38">
        <f>IF($A923="","",IF($B923="","EKSİK","TAM"))</f>
        <v/>
      </c>
    </row>
    <row r="924">
      <c r="J924" s="38">
        <f>IF($A924="","",IFERROR($B924*$C924+$B924/30*7*$D924,0))</f>
        <v/>
      </c>
      <c r="K924" s="38">
        <f>IF($A924="","",IFERROR($J924+$E924*($B924*4+$F924),0))</f>
        <v/>
      </c>
      <c r="L924" s="38">
        <f>IF($A924="","",IF($B924="","EKSİK","TAM"))</f>
        <v/>
      </c>
    </row>
    <row r="925">
      <c r="J925" s="38">
        <f>IF($A925="","",IFERROR($B925*$C925+$B925/30*7*$D925,0))</f>
        <v/>
      </c>
      <c r="K925" s="38">
        <f>IF($A925="","",IFERROR($J925+$E925*($B925*4+$F925),0))</f>
        <v/>
      </c>
      <c r="L925" s="38">
        <f>IF($A925="","",IF($B925="","EKSİK","TAM"))</f>
        <v/>
      </c>
    </row>
    <row r="926">
      <c r="J926" s="38">
        <f>IF($A926="","",IFERROR($B926*$C926+$B926/30*7*$D926,0))</f>
        <v/>
      </c>
      <c r="K926" s="38">
        <f>IF($A926="","",IFERROR($J926+$E926*($B926*4+$F926),0))</f>
        <v/>
      </c>
      <c r="L926" s="38">
        <f>IF($A926="","",IF($B926="","EKSİK","TAM"))</f>
        <v/>
      </c>
    </row>
    <row r="927">
      <c r="J927" s="38">
        <f>IF($A927="","",IFERROR($B927*$C927+$B927/30*7*$D927,0))</f>
        <v/>
      </c>
      <c r="K927" s="38">
        <f>IF($A927="","",IFERROR($J927+$E927*($B927*4+$F927),0))</f>
        <v/>
      </c>
      <c r="L927" s="38">
        <f>IF($A927="","",IF($B927="","EKSİK","TAM"))</f>
        <v/>
      </c>
    </row>
    <row r="928">
      <c r="J928" s="38">
        <f>IF($A928="","",IFERROR($B928*$C928+$B928/30*7*$D928,0))</f>
        <v/>
      </c>
      <c r="K928" s="38">
        <f>IF($A928="","",IFERROR($J928+$E928*($B928*4+$F928),0))</f>
        <v/>
      </c>
      <c r="L928" s="38">
        <f>IF($A928="","",IF($B928="","EKSİK","TAM"))</f>
        <v/>
      </c>
    </row>
    <row r="929">
      <c r="J929" s="38">
        <f>IF($A929="","",IFERROR($B929*$C929+$B929/30*7*$D929,0))</f>
        <v/>
      </c>
      <c r="K929" s="38">
        <f>IF($A929="","",IFERROR($J929+$E929*($B929*4+$F929),0))</f>
        <v/>
      </c>
      <c r="L929" s="38">
        <f>IF($A929="","",IF($B929="","EKSİK","TAM"))</f>
        <v/>
      </c>
    </row>
    <row r="930">
      <c r="J930" s="38">
        <f>IF($A930="","",IFERROR($B930*$C930+$B930/30*7*$D930,0))</f>
        <v/>
      </c>
      <c r="K930" s="38">
        <f>IF($A930="","",IFERROR($J930+$E930*($B930*4+$F930),0))</f>
        <v/>
      </c>
      <c r="L930" s="38">
        <f>IF($A930="","",IF($B930="","EKSİK","TAM"))</f>
        <v/>
      </c>
    </row>
    <row r="931">
      <c r="J931" s="38">
        <f>IF($A931="","",IFERROR($B931*$C931+$B931/30*7*$D931,0))</f>
        <v/>
      </c>
      <c r="K931" s="38">
        <f>IF($A931="","",IFERROR($J931+$E931*($B931*4+$F931),0))</f>
        <v/>
      </c>
      <c r="L931" s="38">
        <f>IF($A931="","",IF($B931="","EKSİK","TAM"))</f>
        <v/>
      </c>
    </row>
    <row r="932">
      <c r="J932" s="38">
        <f>IF($A932="","",IFERROR($B932*$C932+$B932/30*7*$D932,0))</f>
        <v/>
      </c>
      <c r="K932" s="38">
        <f>IF($A932="","",IFERROR($J932+$E932*($B932*4+$F932),0))</f>
        <v/>
      </c>
      <c r="L932" s="38">
        <f>IF($A932="","",IF($B932="","EKSİK","TAM"))</f>
        <v/>
      </c>
    </row>
    <row r="933">
      <c r="J933" s="38">
        <f>IF($A933="","",IFERROR($B933*$C933+$B933/30*7*$D933,0))</f>
        <v/>
      </c>
      <c r="K933" s="38">
        <f>IF($A933="","",IFERROR($J933+$E933*($B933*4+$F933),0))</f>
        <v/>
      </c>
      <c r="L933" s="38">
        <f>IF($A933="","",IF($B933="","EKSİK","TAM"))</f>
        <v/>
      </c>
    </row>
    <row r="934">
      <c r="J934" s="38">
        <f>IF($A934="","",IFERROR($B934*$C934+$B934/30*7*$D934,0))</f>
        <v/>
      </c>
      <c r="K934" s="38">
        <f>IF($A934="","",IFERROR($J934+$E934*($B934*4+$F934),0))</f>
        <v/>
      </c>
      <c r="L934" s="38">
        <f>IF($A934="","",IF($B934="","EKSİK","TAM"))</f>
        <v/>
      </c>
    </row>
    <row r="935">
      <c r="J935" s="38">
        <f>IF($A935="","",IFERROR($B935*$C935+$B935/30*7*$D935,0))</f>
        <v/>
      </c>
      <c r="K935" s="38">
        <f>IF($A935="","",IFERROR($J935+$E935*($B935*4+$F935),0))</f>
        <v/>
      </c>
      <c r="L935" s="38">
        <f>IF($A935="","",IF($B935="","EKSİK","TAM"))</f>
        <v/>
      </c>
    </row>
    <row r="936">
      <c r="J936" s="38">
        <f>IF($A936="","",IFERROR($B936*$C936+$B936/30*7*$D936,0))</f>
        <v/>
      </c>
      <c r="K936" s="38">
        <f>IF($A936="","",IFERROR($J936+$E936*($B936*4+$F936),0))</f>
        <v/>
      </c>
      <c r="L936" s="38">
        <f>IF($A936="","",IF($B936="","EKSİK","TAM"))</f>
        <v/>
      </c>
    </row>
    <row r="937">
      <c r="J937" s="38">
        <f>IF($A937="","",IFERROR($B937*$C937+$B937/30*7*$D937,0))</f>
        <v/>
      </c>
      <c r="K937" s="38">
        <f>IF($A937="","",IFERROR($J937+$E937*($B937*4+$F937),0))</f>
        <v/>
      </c>
      <c r="L937" s="38">
        <f>IF($A937="","",IF($B937="","EKSİK","TAM"))</f>
        <v/>
      </c>
    </row>
    <row r="938">
      <c r="J938" s="38">
        <f>IF($A938="","",IFERROR($B938*$C938+$B938/30*7*$D938,0))</f>
        <v/>
      </c>
      <c r="K938" s="38">
        <f>IF($A938="","",IFERROR($J938+$E938*($B938*4+$F938),0))</f>
        <v/>
      </c>
      <c r="L938" s="38">
        <f>IF($A938="","",IF($B938="","EKSİK","TAM"))</f>
        <v/>
      </c>
    </row>
    <row r="939">
      <c r="J939" s="38">
        <f>IF($A939="","",IFERROR($B939*$C939+$B939/30*7*$D939,0))</f>
        <v/>
      </c>
      <c r="K939" s="38">
        <f>IF($A939="","",IFERROR($J939+$E939*($B939*4+$F939),0))</f>
        <v/>
      </c>
      <c r="L939" s="38">
        <f>IF($A939="","",IF($B939="","EKSİK","TAM"))</f>
        <v/>
      </c>
    </row>
    <row r="940">
      <c r="J940" s="38">
        <f>IF($A940="","",IFERROR($B940*$C940+$B940/30*7*$D940,0))</f>
        <v/>
      </c>
      <c r="K940" s="38">
        <f>IF($A940="","",IFERROR($J940+$E940*($B940*4+$F940),0))</f>
        <v/>
      </c>
      <c r="L940" s="38">
        <f>IF($A940="","",IF($B940="","EKSİK","TAM"))</f>
        <v/>
      </c>
    </row>
    <row r="941">
      <c r="J941" s="38">
        <f>IF($A941="","",IFERROR($B941*$C941+$B941/30*7*$D941,0))</f>
        <v/>
      </c>
      <c r="K941" s="38">
        <f>IF($A941="","",IFERROR($J941+$E941*($B941*4+$F941),0))</f>
        <v/>
      </c>
      <c r="L941" s="38">
        <f>IF($A941="","",IF($B941="","EKSİK","TAM"))</f>
        <v/>
      </c>
    </row>
    <row r="942">
      <c r="J942" s="38">
        <f>IF($A942="","",IFERROR($B942*$C942+$B942/30*7*$D942,0))</f>
        <v/>
      </c>
      <c r="K942" s="38">
        <f>IF($A942="","",IFERROR($J942+$E942*($B942*4+$F942),0))</f>
        <v/>
      </c>
      <c r="L942" s="38">
        <f>IF($A942="","",IF($B942="","EKSİK","TAM"))</f>
        <v/>
      </c>
    </row>
    <row r="943">
      <c r="J943" s="38">
        <f>IF($A943="","",IFERROR($B943*$C943+$B943/30*7*$D943,0))</f>
        <v/>
      </c>
      <c r="K943" s="38">
        <f>IF($A943="","",IFERROR($J943+$E943*($B943*4+$F943),0))</f>
        <v/>
      </c>
      <c r="L943" s="38">
        <f>IF($A943="","",IF($B943="","EKSİK","TAM"))</f>
        <v/>
      </c>
    </row>
    <row r="944">
      <c r="J944" s="38">
        <f>IF($A944="","",IFERROR($B944*$C944+$B944/30*7*$D944,0))</f>
        <v/>
      </c>
      <c r="K944" s="38">
        <f>IF($A944="","",IFERROR($J944+$E944*($B944*4+$F944),0))</f>
        <v/>
      </c>
      <c r="L944" s="38">
        <f>IF($A944="","",IF($B944="","EKSİK","TAM"))</f>
        <v/>
      </c>
    </row>
    <row r="945">
      <c r="J945" s="38">
        <f>IF($A945="","",IFERROR($B945*$C945+$B945/30*7*$D945,0))</f>
        <v/>
      </c>
      <c r="K945" s="38">
        <f>IF($A945="","",IFERROR($J945+$E945*($B945*4+$F945),0))</f>
        <v/>
      </c>
      <c r="L945" s="38">
        <f>IF($A945="","",IF($B945="","EKSİK","TAM"))</f>
        <v/>
      </c>
    </row>
    <row r="946">
      <c r="J946" s="38">
        <f>IF($A946="","",IFERROR($B946*$C946+$B946/30*7*$D946,0))</f>
        <v/>
      </c>
      <c r="K946" s="38">
        <f>IF($A946="","",IFERROR($J946+$E946*($B946*4+$F946),0))</f>
        <v/>
      </c>
      <c r="L946" s="38">
        <f>IF($A946="","",IF($B946="","EKSİK","TAM"))</f>
        <v/>
      </c>
    </row>
    <row r="947">
      <c r="J947" s="38">
        <f>IF($A947="","",IFERROR($B947*$C947+$B947/30*7*$D947,0))</f>
        <v/>
      </c>
      <c r="K947" s="38">
        <f>IF($A947="","",IFERROR($J947+$E947*($B947*4+$F947),0))</f>
        <v/>
      </c>
      <c r="L947" s="38">
        <f>IF($A947="","",IF($B947="","EKSİK","TAM"))</f>
        <v/>
      </c>
    </row>
    <row r="948">
      <c r="J948" s="38">
        <f>IF($A948="","",IFERROR($B948*$C948+$B948/30*7*$D948,0))</f>
        <v/>
      </c>
      <c r="K948" s="38">
        <f>IF($A948="","",IFERROR($J948+$E948*($B948*4+$F948),0))</f>
        <v/>
      </c>
      <c r="L948" s="38">
        <f>IF($A948="","",IF($B948="","EKSİK","TAM"))</f>
        <v/>
      </c>
    </row>
    <row r="949">
      <c r="J949" s="38">
        <f>IF($A949="","",IFERROR($B949*$C949+$B949/30*7*$D949,0))</f>
        <v/>
      </c>
      <c r="K949" s="38">
        <f>IF($A949="","",IFERROR($J949+$E949*($B949*4+$F949),0))</f>
        <v/>
      </c>
      <c r="L949" s="38">
        <f>IF($A949="","",IF($B949="","EKSİK","TAM"))</f>
        <v/>
      </c>
    </row>
    <row r="950">
      <c r="J950" s="38">
        <f>IF($A950="","",IFERROR($B950*$C950+$B950/30*7*$D950,0))</f>
        <v/>
      </c>
      <c r="K950" s="38">
        <f>IF($A950="","",IFERROR($J950+$E950*($B950*4+$F950),0))</f>
        <v/>
      </c>
      <c r="L950" s="38">
        <f>IF($A950="","",IF($B950="","EKSİK","TAM"))</f>
        <v/>
      </c>
    </row>
    <row r="951">
      <c r="J951" s="38">
        <f>IF($A951="","",IFERROR($B951*$C951+$B951/30*7*$D951,0))</f>
        <v/>
      </c>
      <c r="K951" s="38">
        <f>IF($A951="","",IFERROR($J951+$E951*($B951*4+$F951),0))</f>
        <v/>
      </c>
      <c r="L951" s="38">
        <f>IF($A951="","",IF($B951="","EKSİK","TAM"))</f>
        <v/>
      </c>
    </row>
    <row r="952">
      <c r="J952" s="38">
        <f>IF($A952="","",IFERROR($B952*$C952+$B952/30*7*$D952,0))</f>
        <v/>
      </c>
      <c r="K952" s="38">
        <f>IF($A952="","",IFERROR($J952+$E952*($B952*4+$F952),0))</f>
        <v/>
      </c>
      <c r="L952" s="38">
        <f>IF($A952="","",IF($B952="","EKSİK","TAM"))</f>
        <v/>
      </c>
    </row>
    <row r="953">
      <c r="J953" s="38">
        <f>IF($A953="","",IFERROR($B953*$C953+$B953/30*7*$D953,0))</f>
        <v/>
      </c>
      <c r="K953" s="38">
        <f>IF($A953="","",IFERROR($J953+$E953*($B953*4+$F953),0))</f>
        <v/>
      </c>
      <c r="L953" s="38">
        <f>IF($A953="","",IF($B953="","EKSİK","TAM"))</f>
        <v/>
      </c>
    </row>
    <row r="954">
      <c r="J954" s="38">
        <f>IF($A954="","",IFERROR($B954*$C954+$B954/30*7*$D954,0))</f>
        <v/>
      </c>
      <c r="K954" s="38">
        <f>IF($A954="","",IFERROR($J954+$E954*($B954*4+$F954),0))</f>
        <v/>
      </c>
      <c r="L954" s="38">
        <f>IF($A954="","",IF($B954="","EKSİK","TAM"))</f>
        <v/>
      </c>
    </row>
    <row r="955">
      <c r="J955" s="38">
        <f>IF($A955="","",IFERROR($B955*$C955+$B955/30*7*$D955,0))</f>
        <v/>
      </c>
      <c r="K955" s="38">
        <f>IF($A955="","",IFERROR($J955+$E955*($B955*4+$F955),0))</f>
        <v/>
      </c>
      <c r="L955" s="38">
        <f>IF($A955="","",IF($B955="","EKSİK","TAM"))</f>
        <v/>
      </c>
    </row>
    <row r="956">
      <c r="J956" s="38">
        <f>IF($A956="","",IFERROR($B956*$C956+$B956/30*7*$D956,0))</f>
        <v/>
      </c>
      <c r="K956" s="38">
        <f>IF($A956="","",IFERROR($J956+$E956*($B956*4+$F956),0))</f>
        <v/>
      </c>
      <c r="L956" s="38">
        <f>IF($A956="","",IF($B956="","EKSİK","TAM"))</f>
        <v/>
      </c>
    </row>
    <row r="957">
      <c r="J957" s="38">
        <f>IF($A957="","",IFERROR($B957*$C957+$B957/30*7*$D957,0))</f>
        <v/>
      </c>
      <c r="K957" s="38">
        <f>IF($A957="","",IFERROR($J957+$E957*($B957*4+$F957),0))</f>
        <v/>
      </c>
      <c r="L957" s="38">
        <f>IF($A957="","",IF($B957="","EKSİK","TAM"))</f>
        <v/>
      </c>
    </row>
    <row r="958">
      <c r="J958" s="38">
        <f>IF($A958="","",IFERROR($B958*$C958+$B958/30*7*$D958,0))</f>
        <v/>
      </c>
      <c r="K958" s="38">
        <f>IF($A958="","",IFERROR($J958+$E958*($B958*4+$F958),0))</f>
        <v/>
      </c>
      <c r="L958" s="38">
        <f>IF($A958="","",IF($B958="","EKSİK","TAM"))</f>
        <v/>
      </c>
    </row>
    <row r="959">
      <c r="J959" s="38">
        <f>IF($A959="","",IFERROR($B959*$C959+$B959/30*7*$D959,0))</f>
        <v/>
      </c>
      <c r="K959" s="38">
        <f>IF($A959="","",IFERROR($J959+$E959*($B959*4+$F959),0))</f>
        <v/>
      </c>
      <c r="L959" s="38">
        <f>IF($A959="","",IF($B959="","EKSİK","TAM"))</f>
        <v/>
      </c>
    </row>
    <row r="960">
      <c r="J960" s="38">
        <f>IF($A960="","",IFERROR($B960*$C960+$B960/30*7*$D960,0))</f>
        <v/>
      </c>
      <c r="K960" s="38">
        <f>IF($A960="","",IFERROR($J960+$E960*($B960*4+$F960),0))</f>
        <v/>
      </c>
      <c r="L960" s="38">
        <f>IF($A960="","",IF($B960="","EKSİK","TAM"))</f>
        <v/>
      </c>
    </row>
    <row r="961">
      <c r="J961" s="38">
        <f>IF($A961="","",IFERROR($B961*$C961+$B961/30*7*$D961,0))</f>
        <v/>
      </c>
      <c r="K961" s="38">
        <f>IF($A961="","",IFERROR($J961+$E961*($B961*4+$F961),0))</f>
        <v/>
      </c>
      <c r="L961" s="38">
        <f>IF($A961="","",IF($B961="","EKSİK","TAM"))</f>
        <v/>
      </c>
    </row>
    <row r="962">
      <c r="J962" s="38">
        <f>IF($A962="","",IFERROR($B962*$C962+$B962/30*7*$D962,0))</f>
        <v/>
      </c>
      <c r="K962" s="38">
        <f>IF($A962="","",IFERROR($J962+$E962*($B962*4+$F962),0))</f>
        <v/>
      </c>
      <c r="L962" s="38">
        <f>IF($A962="","",IF($B962="","EKSİK","TAM"))</f>
        <v/>
      </c>
    </row>
    <row r="963">
      <c r="J963" s="38">
        <f>IF($A963="","",IFERROR($B963*$C963+$B963/30*7*$D963,0))</f>
        <v/>
      </c>
      <c r="K963" s="38">
        <f>IF($A963="","",IFERROR($J963+$E963*($B963*4+$F963),0))</f>
        <v/>
      </c>
      <c r="L963" s="38">
        <f>IF($A963="","",IF($B963="","EKSİK","TAM"))</f>
        <v/>
      </c>
    </row>
    <row r="964">
      <c r="J964" s="38">
        <f>IF($A964="","",IFERROR($B964*$C964+$B964/30*7*$D964,0))</f>
        <v/>
      </c>
      <c r="K964" s="38">
        <f>IF($A964="","",IFERROR($J964+$E964*($B964*4+$F964),0))</f>
        <v/>
      </c>
      <c r="L964" s="38">
        <f>IF($A964="","",IF($B964="","EKSİK","TAM"))</f>
        <v/>
      </c>
    </row>
    <row r="965">
      <c r="J965" s="38">
        <f>IF($A965="","",IFERROR($B965*$C965+$B965/30*7*$D965,0))</f>
        <v/>
      </c>
      <c r="K965" s="38">
        <f>IF($A965="","",IFERROR($J965+$E965*($B965*4+$F965),0))</f>
        <v/>
      </c>
      <c r="L965" s="38">
        <f>IF($A965="","",IF($B965="","EKSİK","TAM"))</f>
        <v/>
      </c>
    </row>
    <row r="966">
      <c r="J966" s="38">
        <f>IF($A966="","",IFERROR($B966*$C966+$B966/30*7*$D966,0))</f>
        <v/>
      </c>
      <c r="K966" s="38">
        <f>IF($A966="","",IFERROR($J966+$E966*($B966*4+$F966),0))</f>
        <v/>
      </c>
      <c r="L966" s="38">
        <f>IF($A966="","",IF($B966="","EKSİK","TAM"))</f>
        <v/>
      </c>
    </row>
    <row r="967">
      <c r="J967" s="38">
        <f>IF($A967="","",IFERROR($B967*$C967+$B967/30*7*$D967,0))</f>
        <v/>
      </c>
      <c r="K967" s="38">
        <f>IF($A967="","",IFERROR($J967+$E967*($B967*4+$F967),0))</f>
        <v/>
      </c>
      <c r="L967" s="38">
        <f>IF($A967="","",IF($B967="","EKSİK","TAM"))</f>
        <v/>
      </c>
    </row>
    <row r="968">
      <c r="J968" s="38">
        <f>IF($A968="","",IFERROR($B968*$C968+$B968/30*7*$D968,0))</f>
        <v/>
      </c>
      <c r="K968" s="38">
        <f>IF($A968="","",IFERROR($J968+$E968*($B968*4+$F968),0))</f>
        <v/>
      </c>
      <c r="L968" s="38">
        <f>IF($A968="","",IF($B968="","EKSİK","TAM"))</f>
        <v/>
      </c>
    </row>
    <row r="969">
      <c r="J969" s="38">
        <f>IF($A969="","",IFERROR($B969*$C969+$B969/30*7*$D969,0))</f>
        <v/>
      </c>
      <c r="K969" s="38">
        <f>IF($A969="","",IFERROR($J969+$E969*($B969*4+$F969),0))</f>
        <v/>
      </c>
      <c r="L969" s="38">
        <f>IF($A969="","",IF($B969="","EKSİK","TAM"))</f>
        <v/>
      </c>
    </row>
    <row r="970">
      <c r="J970" s="38">
        <f>IF($A970="","",IFERROR($B970*$C970+$B970/30*7*$D970,0))</f>
        <v/>
      </c>
      <c r="K970" s="38">
        <f>IF($A970="","",IFERROR($J970+$E970*($B970*4+$F970),0))</f>
        <v/>
      </c>
      <c r="L970" s="38">
        <f>IF($A970="","",IF($B970="","EKSİK","TAM"))</f>
        <v/>
      </c>
    </row>
    <row r="971">
      <c r="J971" s="38">
        <f>IF($A971="","",IFERROR($B971*$C971+$B971/30*7*$D971,0))</f>
        <v/>
      </c>
      <c r="K971" s="38">
        <f>IF($A971="","",IFERROR($J971+$E971*($B971*4+$F971),0))</f>
        <v/>
      </c>
      <c r="L971" s="38">
        <f>IF($A971="","",IF($B971="","EKSİK","TAM"))</f>
        <v/>
      </c>
    </row>
    <row r="972">
      <c r="J972" s="38">
        <f>IF($A972="","",IFERROR($B972*$C972+$B972/30*7*$D972,0))</f>
        <v/>
      </c>
      <c r="K972" s="38">
        <f>IF($A972="","",IFERROR($J972+$E972*($B972*4+$F972),0))</f>
        <v/>
      </c>
      <c r="L972" s="38">
        <f>IF($A972="","",IF($B972="","EKSİK","TAM"))</f>
        <v/>
      </c>
    </row>
    <row r="973">
      <c r="J973" s="38">
        <f>IF($A973="","",IFERROR($B973*$C973+$B973/30*7*$D973,0))</f>
        <v/>
      </c>
      <c r="K973" s="38">
        <f>IF($A973="","",IFERROR($J973+$E973*($B973*4+$F973),0))</f>
        <v/>
      </c>
      <c r="L973" s="38">
        <f>IF($A973="","",IF($B973="","EKSİK","TAM"))</f>
        <v/>
      </c>
    </row>
    <row r="974">
      <c r="J974" s="38">
        <f>IF($A974="","",IFERROR($B974*$C974+$B974/30*7*$D974,0))</f>
        <v/>
      </c>
      <c r="K974" s="38">
        <f>IF($A974="","",IFERROR($J974+$E974*($B974*4+$F974),0))</f>
        <v/>
      </c>
      <c r="L974" s="38">
        <f>IF($A974="","",IF($B974="","EKSİK","TAM"))</f>
        <v/>
      </c>
    </row>
    <row r="975">
      <c r="J975" s="38">
        <f>IF($A975="","",IFERROR($B975*$C975+$B975/30*7*$D975,0))</f>
        <v/>
      </c>
      <c r="K975" s="38">
        <f>IF($A975="","",IFERROR($J975+$E975*($B975*4+$F975),0))</f>
        <v/>
      </c>
      <c r="L975" s="38">
        <f>IF($A975="","",IF($B975="","EKSİK","TAM"))</f>
        <v/>
      </c>
    </row>
    <row r="976">
      <c r="J976" s="38">
        <f>IF($A976="","",IFERROR($B976*$C976+$B976/30*7*$D976,0))</f>
        <v/>
      </c>
      <c r="K976" s="38">
        <f>IF($A976="","",IFERROR($J976+$E976*($B976*4+$F976),0))</f>
        <v/>
      </c>
      <c r="L976" s="38">
        <f>IF($A976="","",IF($B976="","EKSİK","TAM"))</f>
        <v/>
      </c>
    </row>
    <row r="977">
      <c r="J977" s="38">
        <f>IF($A977="","",IFERROR($B977*$C977+$B977/30*7*$D977,0))</f>
        <v/>
      </c>
      <c r="K977" s="38">
        <f>IF($A977="","",IFERROR($J977+$E977*($B977*4+$F977),0))</f>
        <v/>
      </c>
      <c r="L977" s="38">
        <f>IF($A977="","",IF($B977="","EKSİK","TAM"))</f>
        <v/>
      </c>
    </row>
    <row r="978">
      <c r="J978" s="38">
        <f>IF($A978="","",IFERROR($B978*$C978+$B978/30*7*$D978,0))</f>
        <v/>
      </c>
      <c r="K978" s="38">
        <f>IF($A978="","",IFERROR($J978+$E978*($B978*4+$F978),0))</f>
        <v/>
      </c>
      <c r="L978" s="38">
        <f>IF($A978="","",IF($B978="","EKSİK","TAM"))</f>
        <v/>
      </c>
    </row>
    <row r="979">
      <c r="J979" s="38">
        <f>IF($A979="","",IFERROR($B979*$C979+$B979/30*7*$D979,0))</f>
        <v/>
      </c>
      <c r="K979" s="38">
        <f>IF($A979="","",IFERROR($J979+$E979*($B979*4+$F979),0))</f>
        <v/>
      </c>
      <c r="L979" s="38">
        <f>IF($A979="","",IF($B979="","EKSİK","TAM"))</f>
        <v/>
      </c>
    </row>
    <row r="980">
      <c r="J980" s="38">
        <f>IF($A980="","",IFERROR($B980*$C980+$B980/30*7*$D980,0))</f>
        <v/>
      </c>
      <c r="K980" s="38">
        <f>IF($A980="","",IFERROR($J980+$E980*($B980*4+$F980),0))</f>
        <v/>
      </c>
      <c r="L980" s="38">
        <f>IF($A980="","",IF($B980="","EKSİK","TAM"))</f>
        <v/>
      </c>
    </row>
    <row r="981">
      <c r="J981" s="38">
        <f>IF($A981="","",IFERROR($B981*$C981+$B981/30*7*$D981,0))</f>
        <v/>
      </c>
      <c r="K981" s="38">
        <f>IF($A981="","",IFERROR($J981+$E981*($B981*4+$F981),0))</f>
        <v/>
      </c>
      <c r="L981" s="38">
        <f>IF($A981="","",IF($B981="","EKSİK","TAM"))</f>
        <v/>
      </c>
    </row>
    <row r="982">
      <c r="J982" s="38">
        <f>IF($A982="","",IFERROR($B982*$C982+$B982/30*7*$D982,0))</f>
        <v/>
      </c>
      <c r="K982" s="38">
        <f>IF($A982="","",IFERROR($J982+$E982*($B982*4+$F982),0))</f>
        <v/>
      </c>
      <c r="L982" s="38">
        <f>IF($A982="","",IF($B982="","EKSİK","TAM"))</f>
        <v/>
      </c>
    </row>
    <row r="983">
      <c r="J983" s="38">
        <f>IF($A983="","",IFERROR($B983*$C983+$B983/30*7*$D983,0))</f>
        <v/>
      </c>
      <c r="K983" s="38">
        <f>IF($A983="","",IFERROR($J983+$E983*($B983*4+$F983),0))</f>
        <v/>
      </c>
      <c r="L983" s="38">
        <f>IF($A983="","",IF($B983="","EKSİK","TAM"))</f>
        <v/>
      </c>
    </row>
    <row r="984">
      <c r="J984" s="38">
        <f>IF($A984="","",IFERROR($B984*$C984+$B984/30*7*$D984,0))</f>
        <v/>
      </c>
      <c r="K984" s="38">
        <f>IF($A984="","",IFERROR($J984+$E984*($B984*4+$F984),0))</f>
        <v/>
      </c>
      <c r="L984" s="38">
        <f>IF($A984="","",IF($B984="","EKSİK","TAM"))</f>
        <v/>
      </c>
    </row>
    <row r="985">
      <c r="J985" s="38">
        <f>IF($A985="","",IFERROR($B985*$C985+$B985/30*7*$D985,0))</f>
        <v/>
      </c>
      <c r="K985" s="38">
        <f>IF($A985="","",IFERROR($J985+$E985*($B985*4+$F985),0))</f>
        <v/>
      </c>
      <c r="L985" s="38">
        <f>IF($A985="","",IF($B985="","EKSİK","TAM"))</f>
        <v/>
      </c>
    </row>
    <row r="986">
      <c r="J986" s="38">
        <f>IF($A986="","",IFERROR($B986*$C986+$B986/30*7*$D986,0))</f>
        <v/>
      </c>
      <c r="K986" s="38">
        <f>IF($A986="","",IFERROR($J986+$E986*($B986*4+$F986),0))</f>
        <v/>
      </c>
      <c r="L986" s="38">
        <f>IF($A986="","",IF($B986="","EKSİK","TAM"))</f>
        <v/>
      </c>
    </row>
    <row r="987">
      <c r="J987" s="38">
        <f>IF($A987="","",IFERROR($B987*$C987+$B987/30*7*$D987,0))</f>
        <v/>
      </c>
      <c r="K987" s="38">
        <f>IF($A987="","",IFERROR($J987+$E987*($B987*4+$F987),0))</f>
        <v/>
      </c>
      <c r="L987" s="38">
        <f>IF($A987="","",IF($B987="","EKSİK","TAM"))</f>
        <v/>
      </c>
    </row>
    <row r="988">
      <c r="J988" s="38">
        <f>IF($A988="","",IFERROR($B988*$C988+$B988/30*7*$D988,0))</f>
        <v/>
      </c>
      <c r="K988" s="38">
        <f>IF($A988="","",IFERROR($J988+$E988*($B988*4+$F988),0))</f>
        <v/>
      </c>
      <c r="L988" s="38">
        <f>IF($A988="","",IF($B988="","EKSİK","TAM"))</f>
        <v/>
      </c>
    </row>
    <row r="989">
      <c r="J989" s="38">
        <f>IF($A989="","",IFERROR($B989*$C989+$B989/30*7*$D989,0))</f>
        <v/>
      </c>
      <c r="K989" s="38">
        <f>IF($A989="","",IFERROR($J989+$E989*($B989*4+$F989),0))</f>
        <v/>
      </c>
      <c r="L989" s="38">
        <f>IF($A989="","",IF($B989="","EKSİK","TAM"))</f>
        <v/>
      </c>
    </row>
    <row r="990">
      <c r="J990" s="38">
        <f>IF($A990="","",IFERROR($B990*$C990+$B990/30*7*$D990,0))</f>
        <v/>
      </c>
      <c r="K990" s="38">
        <f>IF($A990="","",IFERROR($J990+$E990*($B990*4+$F990),0))</f>
        <v/>
      </c>
      <c r="L990" s="38">
        <f>IF($A990="","",IF($B990="","EKSİK","TAM"))</f>
        <v/>
      </c>
    </row>
    <row r="991">
      <c r="J991" s="38">
        <f>IF($A991="","",IFERROR($B991*$C991+$B991/30*7*$D991,0))</f>
        <v/>
      </c>
      <c r="K991" s="38">
        <f>IF($A991="","",IFERROR($J991+$E991*($B991*4+$F991),0))</f>
        <v/>
      </c>
      <c r="L991" s="38">
        <f>IF($A991="","",IF($B991="","EKSİK","TAM"))</f>
        <v/>
      </c>
    </row>
    <row r="992">
      <c r="J992" s="38">
        <f>IF($A992="","",IFERROR($B992*$C992+$B992/30*7*$D992,0))</f>
        <v/>
      </c>
      <c r="K992" s="38">
        <f>IF($A992="","",IFERROR($J992+$E992*($B992*4+$F992),0))</f>
        <v/>
      </c>
      <c r="L992" s="38">
        <f>IF($A992="","",IF($B992="","EKSİK","TAM"))</f>
        <v/>
      </c>
    </row>
    <row r="993">
      <c r="J993" s="38">
        <f>IF($A993="","",IFERROR($B993*$C993+$B993/30*7*$D993,0))</f>
        <v/>
      </c>
      <c r="K993" s="38">
        <f>IF($A993="","",IFERROR($J993+$E993*($B993*4+$F993),0))</f>
        <v/>
      </c>
      <c r="L993" s="38">
        <f>IF($A993="","",IF($B993="","EKSİK","TAM"))</f>
        <v/>
      </c>
    </row>
    <row r="994">
      <c r="J994" s="38">
        <f>IF($A994="","",IFERROR($B994*$C994+$B994/30*7*$D994,0))</f>
        <v/>
      </c>
      <c r="K994" s="38">
        <f>IF($A994="","",IFERROR($J994+$E994*($B994*4+$F994),0))</f>
        <v/>
      </c>
      <c r="L994" s="38">
        <f>IF($A994="","",IF($B994="","EKSİK","TAM"))</f>
        <v/>
      </c>
    </row>
    <row r="995">
      <c r="J995" s="38">
        <f>IF($A995="","",IFERROR($B995*$C995+$B995/30*7*$D995,0))</f>
        <v/>
      </c>
      <c r="K995" s="38">
        <f>IF($A995="","",IFERROR($J995+$E995*($B995*4+$F995),0))</f>
        <v/>
      </c>
      <c r="L995" s="38">
        <f>IF($A995="","",IF($B995="","EKSİK","TAM"))</f>
        <v/>
      </c>
    </row>
    <row r="996">
      <c r="J996" s="38">
        <f>IF($A996="","",IFERROR($B996*$C996+$B996/30*7*$D996,0))</f>
        <v/>
      </c>
      <c r="K996" s="38">
        <f>IF($A996="","",IFERROR($J996+$E996*($B996*4+$F996),0))</f>
        <v/>
      </c>
      <c r="L996" s="38">
        <f>IF($A996="","",IF($B996="","EKSİK","TAM"))</f>
        <v/>
      </c>
    </row>
    <row r="997">
      <c r="J997" s="38">
        <f>IF($A997="","",IFERROR($B997*$C997+$B997/30*7*$D997,0))</f>
        <v/>
      </c>
      <c r="K997" s="38">
        <f>IF($A997="","",IFERROR($J997+$E997*($B997*4+$F997),0))</f>
        <v/>
      </c>
      <c r="L997" s="38">
        <f>IF($A997="","",IF($B997="","EKSİK","TAM"))</f>
        <v/>
      </c>
    </row>
    <row r="998">
      <c r="J998" s="38">
        <f>IF($A998="","",IFERROR($B998*$C998+$B998/30*7*$D998,0))</f>
        <v/>
      </c>
      <c r="K998" s="38">
        <f>IF($A998="","",IFERROR($J998+$E998*($B998*4+$F998),0))</f>
        <v/>
      </c>
      <c r="L998" s="38">
        <f>IF($A998="","",IF($B998="","EKSİK","TAM"))</f>
        <v/>
      </c>
    </row>
    <row r="999">
      <c r="J999" s="38">
        <f>IF($A999="","",IFERROR($B999*$C999+$B999/30*7*$D999,0))</f>
        <v/>
      </c>
      <c r="K999" s="38">
        <f>IF($A999="","",IFERROR($J999+$E999*($B999*4+$F999),0))</f>
        <v/>
      </c>
      <c r="L999" s="38">
        <f>IF($A999="","",IF($B999="","EKSİK","TAM"))</f>
        <v/>
      </c>
    </row>
    <row r="1000">
      <c r="J1000" s="38">
        <f>IF($A1000="","",IFERROR($B1000*$C1000+$B1000/30*7*$D1000,0))</f>
        <v/>
      </c>
      <c r="K1000" s="38">
        <f>IF($A1000="","",IFERROR($J1000+$E1000*($B1000*4+$F1000),0))</f>
        <v/>
      </c>
      <c r="L1000" s="38">
        <f>IF($A1000="","",IF($B1000="","EKSİK","TAM"))</f>
        <v/>
      </c>
    </row>
    <row r="1001">
      <c r="J1001" s="38">
        <f>IF($A1001="","",IFERROR($B1001*$C1001+$B1001/30*7*$D1001,0))</f>
        <v/>
      </c>
      <c r="K1001" s="38">
        <f>IF($A1001="","",IFERROR($J1001+$E1001*($B1001*4+$F1001),0))</f>
        <v/>
      </c>
      <c r="L1001" s="38">
        <f>IF($A1001="","",IF($B1001="","EKSİK","TAM"))</f>
        <v/>
      </c>
    </row>
    <row r="1002">
      <c r="J1002" s="38">
        <f>IF($A1002="","",IFERROR($B1002*$C1002+$B1002/30*7*$D1002,0))</f>
        <v/>
      </c>
      <c r="K1002" s="38">
        <f>IF($A1002="","",IFERROR($J1002+$E1002*($B1002*4+$F1002),0))</f>
        <v/>
      </c>
      <c r="L1002" s="38">
        <f>IF($A1002="","",IF($B1002="","EKSİK","TAM"))</f>
        <v/>
      </c>
    </row>
    <row r="1003">
      <c r="J1003" s="38">
        <f>IF($A1003="","",IFERROR($B1003*$C1003+$B1003/30*7*$D1003,0))</f>
        <v/>
      </c>
      <c r="K1003" s="38">
        <f>IF($A1003="","",IFERROR($J1003+$E1003*($B1003*4+$F1003),0))</f>
        <v/>
      </c>
      <c r="L1003" s="38">
        <f>IF($A1003="","",IF($B1003="","EKSİK","TAM"))</f>
        <v/>
      </c>
    </row>
    <row r="1004">
      <c r="J1004" s="38">
        <f>IF($A1004="","",IFERROR($B1004*$C1004+$B1004/30*7*$D1004,0))</f>
        <v/>
      </c>
      <c r="K1004" s="38">
        <f>IF($A1004="","",IFERROR($J1004+$E1004*($B1004*4+$F1004),0))</f>
        <v/>
      </c>
      <c r="L1004" s="38">
        <f>IF($A1004="","",IF($B1004="","EKSİK","TAM"))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AD1"/>
  </mergeCells>
  <conditionalFormatting sqref="B6:B20">
    <cfRule type="cellIs" priority="1" operator="lessThan" dxfId="5">
      <formula>0</formula>
    </cfRule>
  </conditionalFormatting>
  <conditionalFormatting sqref="C6:C20">
    <cfRule type="cellIs" priority="2" operator="lessThan" dxfId="5">
      <formula>0</formula>
    </cfRule>
  </conditionalFormatting>
  <conditionalFormatting sqref="D6:D20">
    <cfRule type="cellIs" priority="3" operator="lessThan" dxfId="5">
      <formula>0</formula>
    </cfRule>
  </conditionalFormatting>
  <conditionalFormatting sqref="F6:F20">
    <cfRule type="cellIs" priority="4" operator="lessThan" dxfId="5">
      <formula>0</formula>
    </cfRule>
  </conditionalFormatting>
  <conditionalFormatting sqref="H6:H20">
    <cfRule type="cellIs" priority="5" operator="lessThan" dxfId="5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007030A0"/>
    <outlinePr summaryBelow="1" summaryRight="1"/>
    <pageSetUpPr/>
  </sheetPr>
  <dimension ref="A1:T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3" max="3"/>
    <col width="14" customWidth="1" min="5" max="5"/>
    <col width="12" customWidth="1" min="7" max="7"/>
  </cols>
  <sheetData>
    <row r="1" ht="26" customHeight="1">
      <c r="A1" s="1" t="inlineStr">
        <is>
          <t>LISTELER — Fesih Maliyeti Simülatörü</t>
        </is>
      </c>
    </row>
    <row r="3">
      <c r="A3" s="10" t="inlineStr">
        <is>
          <t>Doğrulama listeleri</t>
        </is>
      </c>
    </row>
    <row r="5">
      <c r="A5" s="19" t="inlineStr">
        <is>
          <t>Yıl</t>
        </is>
      </c>
      <c r="C5" s="19" t="inlineStr">
        <is>
          <t>Yorum</t>
        </is>
      </c>
      <c r="E5" s="19" t="inlineStr">
        <is>
          <t>FesihTür</t>
        </is>
      </c>
      <c r="G5" s="19" t="inlineStr">
        <is>
          <t>EvetHayır</t>
        </is>
      </c>
    </row>
    <row r="6">
      <c r="A6" s="54" t="n">
        <v>2025</v>
      </c>
      <c r="C6" s="26" t="inlineStr">
        <is>
          <t>A</t>
        </is>
      </c>
      <c r="E6" s="26" t="inlineStr">
        <is>
          <t>Haklı</t>
        </is>
      </c>
      <c r="G6" s="26" t="inlineStr">
        <is>
          <t>Evet</t>
        </is>
      </c>
    </row>
    <row r="7">
      <c r="A7" s="54" t="n">
        <v>2026</v>
      </c>
      <c r="C7" s="26" t="inlineStr">
        <is>
          <t>B</t>
        </is>
      </c>
      <c r="E7" s="26" t="inlineStr">
        <is>
          <t>Haksız</t>
        </is>
      </c>
      <c r="G7" s="26" t="inlineStr">
        <is>
          <t>Hayır</t>
        </is>
      </c>
    </row>
    <row r="8">
      <c r="A8" s="54" t="n">
        <v>2027</v>
      </c>
      <c r="E8" s="26" t="inlineStr">
        <is>
          <t>Anlaşmalı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33C0C"/>
    <outlinePr summaryBelow="1" summaryRight="1"/>
    <pageSetUpPr/>
  </sheetPr>
  <dimension ref="A1:AD4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36" customWidth="1" min="4" max="4"/>
    <col width="22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AYARLAR — Fesih Maliyeti Simülatörü</t>
        </is>
      </c>
    </row>
    <row r="3">
      <c r="A3" s="9" t="inlineStr">
        <is>
          <t>Parametreler (tek kaynak)</t>
        </is>
      </c>
    </row>
    <row r="5" ht="30" customHeight="1">
      <c r="A5" s="36" t="inlineStr">
        <is>
          <t>anahtar</t>
        </is>
      </c>
      <c r="B5" s="36" t="inlineStr">
        <is>
          <t>deger</t>
        </is>
      </c>
      <c r="C5" s="36" t="inlineStr">
        <is>
          <t>birim</t>
        </is>
      </c>
      <c r="D5" s="36" t="inlineStr">
        <is>
          <t>aciklama</t>
        </is>
      </c>
      <c r="E5" s="36" t="inlineStr">
        <is>
          <t>kaynak</t>
        </is>
      </c>
      <c r="F5" s="36" t="inlineStr">
        <is>
          <t>yururluk_tarihi</t>
        </is>
      </c>
      <c r="G5" s="36" t="inlineStr">
        <is>
          <t>dogrulama_tarihi</t>
        </is>
      </c>
      <c r="H5" s="36" t="inlineStr">
        <is>
          <t>kontrol</t>
        </is>
      </c>
    </row>
    <row r="6">
      <c r="A6" s="7" t="inlineStr">
        <is>
          <t>hesapYili</t>
        </is>
      </c>
      <c r="B6" s="45" t="n">
        <v>2026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66">
        <f>IF(A6="","",IF(B6="","EKSİK","TAM"))</f>
        <v/>
      </c>
    </row>
    <row r="7">
      <c r="A7" s="7" t="inlineStr">
        <is>
          <t>raporTarihi</t>
        </is>
      </c>
      <c r="B7" s="67" t="n">
        <v>46245</v>
      </c>
      <c r="C7" s="7" t="inlineStr">
        <is>
          <t>tarih</t>
        </is>
      </c>
      <c r="D7" s="7" t="inlineStr">
        <is>
          <t>Rapor tarihi (sabit)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66">
        <f>IF(A7="","",IF(B7="","EKSİK","TAM"))</f>
        <v/>
      </c>
    </row>
    <row r="8">
      <c r="A8" s="7" t="inlineStr">
        <is>
          <t>fms_tolerans</t>
        </is>
      </c>
      <c r="B8" s="65" t="n">
        <v>1</v>
      </c>
      <c r="C8" s="7" t="inlineStr">
        <is>
          <t>TL</t>
        </is>
      </c>
      <c r="D8" s="7" t="inlineStr">
        <is>
          <t>Vaka tutarlılık toleransı (TL)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66">
        <f>IF(A8="","",IF(B8="","EKSİK","TAM"))</f>
        <v/>
      </c>
    </row>
    <row r="9">
      <c r="A9" s="7" t="inlineStr">
        <is>
          <t>fms_azamiEsik</t>
        </is>
      </c>
      <c r="B9" s="65" t="n">
        <v>100000000000</v>
      </c>
      <c r="C9" s="7" t="inlineStr">
        <is>
          <t>TL</t>
        </is>
      </c>
      <c r="D9" s="7" t="inlineStr">
        <is>
          <t>Uç değer / azami giriş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66">
        <f>IF(A9="","",IF(B9="","EKSİK","TAM"))</f>
        <v/>
      </c>
    </row>
    <row r="10">
      <c r="A10" s="7" t="inlineStr">
        <is>
          <t>fms_kacirilanEsik</t>
        </is>
      </c>
      <c r="B10" s="65" t="n">
        <v>400000</v>
      </c>
      <c r="C10" s="7" t="inlineStr">
        <is>
          <t>TL</t>
        </is>
      </c>
      <c r="D10" s="7" t="inlineStr">
        <is>
          <t>PANO doğrudan uyarı eşiği</t>
        </is>
      </c>
      <c r="E10" s="7" t="inlineStr">
        <is>
          <t>İç politika</t>
        </is>
      </c>
      <c r="F10" s="7" t="inlineStr">
        <is>
          <t>01.01.2025</t>
        </is>
      </c>
      <c r="G10" s="7" t="inlineStr">
        <is>
          <t>11.08.2026</t>
        </is>
      </c>
      <c r="H10" s="66">
        <f>IF(A10="","",IF(B10="","EKSİK","TAM"))</f>
        <v/>
      </c>
    </row>
    <row r="11">
      <c r="A11" s="7" t="inlineStr">
        <is>
          <t>fms_senaryoIyi</t>
        </is>
      </c>
      <c r="B11" s="46" t="n">
        <v>0.95</v>
      </c>
      <c r="C11" s="7" t="inlineStr">
        <is>
          <t>çarpan</t>
        </is>
      </c>
      <c r="D11" s="7" t="inlineStr">
        <is>
          <t>İyimser brüt çarpanı (düşük maliyet)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66">
        <f>IF(A11="","",IF(B11="","EKSİK","TAM"))</f>
        <v/>
      </c>
    </row>
    <row r="12">
      <c r="A12" s="7" t="inlineStr">
        <is>
          <t>fms_senaryoKotu</t>
        </is>
      </c>
      <c r="B12" s="46" t="n">
        <v>1.1</v>
      </c>
      <c r="C12" s="7" t="inlineStr">
        <is>
          <t>çarpan</t>
        </is>
      </c>
      <c r="D12" s="7" t="inlineStr">
        <is>
          <t>Kötümser brüt çarpanı</t>
        </is>
      </c>
      <c r="E12" s="7" t="inlineStr">
        <is>
          <t>Model varsayımı</t>
        </is>
      </c>
      <c r="F12" s="7" t="inlineStr">
        <is>
          <t>01.01.2025</t>
        </is>
      </c>
      <c r="G12" s="7" t="inlineStr">
        <is>
          <t>11.08.2026</t>
        </is>
      </c>
      <c r="H12" s="66">
        <f>IF(A12="","",IF(B12="","EKSİK","TAM"))</f>
        <v/>
      </c>
    </row>
    <row r="13">
      <c r="A13" s="7" t="inlineStr">
        <is>
          <t>fms_esikArtis</t>
        </is>
      </c>
      <c r="B13" s="45" t="n">
        <v>1</v>
      </c>
      <c r="C13" s="7" t="inlineStr">
        <is>
          <t>adet</t>
        </is>
      </c>
      <c r="D13" s="7" t="inlineStr">
        <is>
          <t>M-SEN pahalı ay + delta</t>
        </is>
      </c>
      <c r="E13" s="7" t="inlineStr">
        <is>
          <t>Senaryo motoru</t>
        </is>
      </c>
      <c r="F13" s="7" t="inlineStr">
        <is>
          <t>01.01.2025</t>
        </is>
      </c>
      <c r="G13" s="7" t="inlineStr">
        <is>
          <t>11.08.2026</t>
        </is>
      </c>
      <c r="H13" s="66">
        <f>IF(A13="","",IF(B13="","EKSİK","TAM"))</f>
        <v/>
      </c>
    </row>
    <row r="14">
      <c r="A14" s="7" t="inlineStr">
        <is>
          <t>fms_esikArtisOran</t>
        </is>
      </c>
      <c r="B14" s="46" t="n">
        <v>0.05</v>
      </c>
      <c r="C14" s="7" t="inlineStr">
        <is>
          <t>oran</t>
        </is>
      </c>
      <c r="D14" s="7" t="inlineStr">
        <is>
          <t>M-SEN risk olasılık + delta</t>
        </is>
      </c>
      <c r="E14" s="7" t="inlineStr">
        <is>
          <t>Senaryo motoru</t>
        </is>
      </c>
      <c r="F14" s="7" t="inlineStr">
        <is>
          <t>01.01.2025</t>
        </is>
      </c>
      <c r="G14" s="7" t="inlineStr">
        <is>
          <t>11.08.2026</t>
        </is>
      </c>
      <c r="H14" s="66">
        <f>IF(A14="","",IF(B14="","EKSİK","TAM"))</f>
        <v/>
      </c>
    </row>
    <row r="15">
      <c r="A15" s="7" t="inlineStr">
        <is>
          <t>fms_tahminAlt</t>
        </is>
      </c>
      <c r="B15" s="46" t="n">
        <v>0.85</v>
      </c>
      <c r="C15" s="7" t="inlineStr">
        <is>
          <t>çarpan</t>
        </is>
      </c>
      <c r="D15" s="7" t="inlineStr">
        <is>
          <t>Tahmin alt bant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66">
        <f>IF(A15="","",IF(B15="","EKSİK","TAM"))</f>
        <v/>
      </c>
    </row>
    <row r="16">
      <c r="A16" s="7" t="inlineStr">
        <is>
          <t>fms_tahminUst</t>
        </is>
      </c>
      <c r="B16" s="46" t="n">
        <v>1.15</v>
      </c>
      <c r="C16" s="7" t="inlineStr">
        <is>
          <t>çarpan</t>
        </is>
      </c>
      <c r="D16" s="7" t="inlineStr">
        <is>
          <t>Tahmin üst bant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66">
        <f>IF(A16="","",IF(B16="","EKSİK","TAM"))</f>
        <v/>
      </c>
    </row>
    <row r="17">
      <c r="A17" s="7" t="inlineStr">
        <is>
          <t>fms_tornadoBrut</t>
        </is>
      </c>
      <c r="B17" s="46" t="n">
        <v>1.05</v>
      </c>
      <c r="C17" s="7" t="inlineStr">
        <is>
          <t>çarpan</t>
        </is>
      </c>
      <c r="D17" s="7" t="inlineStr">
        <is>
          <t>Tornado brüt şoku</t>
        </is>
      </c>
      <c r="E17" s="7" t="inlineStr">
        <is>
          <t>Model varsayımı</t>
        </is>
      </c>
      <c r="F17" s="7" t="inlineStr">
        <is>
          <t>01.01.2025</t>
        </is>
      </c>
      <c r="G17" s="7" t="inlineStr">
        <is>
          <t>11.08.2026</t>
        </is>
      </c>
      <c r="H17" s="66">
        <f>IF(A17="","",IF(B17="","EKSİK","TAM"))</f>
        <v/>
      </c>
    </row>
    <row r="18">
      <c r="A18" s="7" t="inlineStr">
        <is>
          <t>fms_tornadoKidem</t>
        </is>
      </c>
      <c r="B18" s="45" t="n">
        <v>1</v>
      </c>
      <c r="C18" s="7" t="inlineStr">
        <is>
          <t>adet</t>
        </is>
      </c>
      <c r="D18" s="7" t="inlineStr">
        <is>
          <t>Tornado kıdem yılı şoku</t>
        </is>
      </c>
      <c r="E18" s="7" t="inlineStr">
        <is>
          <t>Model varsayımı</t>
        </is>
      </c>
      <c r="F18" s="7" t="inlineStr">
        <is>
          <t>01.01.2025</t>
        </is>
      </c>
      <c r="G18" s="7" t="inlineStr">
        <is>
          <t>11.08.2026</t>
        </is>
      </c>
      <c r="H18" s="66">
        <f>IF(A18="","",IF(B18="","EKSİK","TAM"))</f>
        <v/>
      </c>
    </row>
    <row r="19">
      <c r="A19" s="7" t="inlineStr">
        <is>
          <t>fms_tornadoOlasilik</t>
        </is>
      </c>
      <c r="B19" s="46" t="n">
        <v>0.05</v>
      </c>
      <c r="C19" s="7" t="inlineStr">
        <is>
          <t>oran</t>
        </is>
      </c>
      <c r="D19" s="7" t="inlineStr">
        <is>
          <t>Tornado olasılık şoku</t>
        </is>
      </c>
      <c r="E19" s="7" t="inlineStr">
        <is>
          <t>Model varsayımı</t>
        </is>
      </c>
      <c r="F19" s="7" t="inlineStr">
        <is>
          <t>01.01.2025</t>
        </is>
      </c>
      <c r="G19" s="7" t="inlineStr">
        <is>
          <t>11.08.2026</t>
        </is>
      </c>
      <c r="H19" s="66">
        <f>IF(A19="","",IF(B19="","EKSİK","TAM"))</f>
        <v/>
      </c>
    </row>
    <row r="20">
      <c r="A20" s="7" t="inlineStr">
        <is>
          <t>fms_yorumBCarpan</t>
        </is>
      </c>
      <c r="B20" s="46" t="n">
        <v>0.95</v>
      </c>
      <c r="C20" s="7" t="inlineStr">
        <is>
          <t>çarpan</t>
        </is>
      </c>
      <c r="D20" s="7" t="inlineStr">
        <is>
          <t>Yorum B kıdem çarpanı</t>
        </is>
      </c>
      <c r="E20" s="7" t="inlineStr">
        <is>
          <t>İşe iade yorumu</t>
        </is>
      </c>
      <c r="F20" s="7" t="inlineStr">
        <is>
          <t>01.01.2025</t>
        </is>
      </c>
      <c r="G20" s="7" t="inlineStr">
        <is>
          <t>11.08.2026</t>
        </is>
      </c>
      <c r="H20" s="66">
        <f>IF(A20="","",IF(B20="","EKSİK","TAM"))</f>
        <v/>
      </c>
    </row>
    <row r="21">
      <c r="A21" s="7" t="inlineStr">
        <is>
          <t>fms_anlasmaliIadeCarpan</t>
        </is>
      </c>
      <c r="B21" s="46" t="n">
        <v>0.25</v>
      </c>
      <c r="C21" s="7" t="inlineStr">
        <is>
          <t>çarpan</t>
        </is>
      </c>
      <c r="D21" s="7" t="inlineStr">
        <is>
          <t>Anlaşmalı işe iade çarpanı</t>
        </is>
      </c>
      <c r="E21" s="7" t="inlineStr">
        <is>
          <t>İç politika</t>
        </is>
      </c>
      <c r="F21" s="7" t="inlineStr">
        <is>
          <t>01.01.2025</t>
        </is>
      </c>
      <c r="G21" s="7" t="inlineStr">
        <is>
          <t>11.08.2026</t>
        </is>
      </c>
      <c r="H21" s="66">
        <f>IF(A21="","",IF(B21="","EKSİK","TAM"))</f>
        <v/>
      </c>
    </row>
    <row r="22">
      <c r="A22" s="7" t="inlineStr">
        <is>
          <t>fms_yuzdelikOran</t>
        </is>
      </c>
      <c r="B22" s="46" t="n">
        <v>0.9</v>
      </c>
      <c r="C22" s="7" t="inlineStr">
        <is>
          <t>oran</t>
        </is>
      </c>
      <c r="D22" s="7" t="inlineStr">
        <is>
          <t>Yüzdelik P90</t>
        </is>
      </c>
      <c r="E22" s="7" t="inlineStr">
        <is>
          <t>İstatistik</t>
        </is>
      </c>
      <c r="F22" s="7" t="inlineStr">
        <is>
          <t>01.01.2025</t>
        </is>
      </c>
      <c r="G22" s="7" t="inlineStr">
        <is>
          <t>11.08.2026</t>
        </is>
      </c>
      <c r="H22" s="66">
        <f>IF(A22="","",IF(B22="","EKSİK","TAM"))</f>
        <v/>
      </c>
    </row>
    <row r="23">
      <c r="A23" s="7" t="inlineStr">
        <is>
          <t>fms_parmakIzi</t>
        </is>
      </c>
      <c r="B23" s="64" t="inlineStr">
        <is>
          <t>00e8347ef18db5d6</t>
        </is>
      </c>
      <c r="C23" s="7" t="inlineStr">
        <is>
          <t>metin</t>
        </is>
      </c>
      <c r="D23" s="7" t="inlineStr">
        <is>
          <t>Dosya parmak izi etiketi</t>
        </is>
      </c>
      <c r="E23" s="7" t="inlineStr">
        <is>
          <t>Üretim</t>
        </is>
      </c>
      <c r="F23" s="7" t="inlineStr">
        <is>
          <t>01.01.2025</t>
        </is>
      </c>
      <c r="G23" s="7" t="inlineStr">
        <is>
          <t>11.08.2026</t>
        </is>
      </c>
      <c r="H23" s="66">
        <f>IF(A23="","",IF(B23="","EKSİK","TAM"))</f>
        <v/>
      </c>
    </row>
    <row r="24">
      <c r="A24" s="7" t="inlineStr">
        <is>
          <t>dosya_surumu</t>
        </is>
      </c>
      <c r="B24" s="64" t="inlineStr">
        <is>
          <t>1.0.0</t>
        </is>
      </c>
      <c r="C24" s="7" t="inlineStr">
        <is>
          <t>metin</t>
        </is>
      </c>
      <c r="D24" s="7" t="inlineStr">
        <is>
          <t>Ürün sürümü</t>
        </is>
      </c>
      <c r="E24" s="7" t="inlineStr">
        <is>
          <t>ExcelArşiv</t>
        </is>
      </c>
      <c r="F24" s="7" t="inlineStr">
        <is>
          <t>01.01.2025</t>
        </is>
      </c>
      <c r="G24" s="7" t="inlineStr">
        <is>
          <t>11.08.2026</t>
        </is>
      </c>
      <c r="H24" s="66">
        <f>IF(A24="","",IF(B24="","EKSİK","TAM"))</f>
        <v/>
      </c>
    </row>
    <row r="25">
      <c r="A25" s="7" t="inlineStr">
        <is>
          <t>fms_girisBeklenen</t>
        </is>
      </c>
      <c r="B25" s="45" t="n">
        <v>10</v>
      </c>
      <c r="C25" s="7" t="inlineStr">
        <is>
          <t>adet</t>
        </is>
      </c>
      <c r="D25" s="7" t="inlineStr">
        <is>
          <t>Zorunlu giriş alanı sayısı</t>
        </is>
      </c>
      <c r="E25" s="7" t="inlineStr">
        <is>
          <t>Ürün mimarisi</t>
        </is>
      </c>
      <c r="F25" s="7" t="inlineStr">
        <is>
          <t>01.01.2025</t>
        </is>
      </c>
      <c r="G25" s="7" t="inlineStr">
        <is>
          <t>11.08.2026</t>
        </is>
      </c>
      <c r="H25" s="66">
        <f>IF(A25="","",IF(B25="","EKSİK","TAM"))</f>
        <v/>
      </c>
    </row>
    <row r="26">
      <c r="A26" s="7" t="inlineStr">
        <is>
          <t>fms_riskDusuk</t>
        </is>
      </c>
      <c r="B26" s="45" t="n">
        <v>15</v>
      </c>
      <c r="C26" s="7" t="inlineStr">
        <is>
          <t>puan</t>
        </is>
      </c>
      <c r="D26" s="7" t="inlineStr">
        <is>
          <t>FESİH UYGUN risk skoru</t>
        </is>
      </c>
      <c r="E26" s="7" t="inlineStr">
        <is>
          <t>İç politika</t>
        </is>
      </c>
      <c r="F26" s="7" t="inlineStr">
        <is>
          <t>01.01.2025</t>
        </is>
      </c>
      <c r="G26" s="7" t="inlineStr">
        <is>
          <t>11.08.2026</t>
        </is>
      </c>
      <c r="H26" s="66">
        <f>IF(A26="","",IF(B26="","EKSİK","TAM"))</f>
        <v/>
      </c>
    </row>
    <row r="27">
      <c r="A27" s="7" t="inlineStr">
        <is>
          <t>fms_riskOrta</t>
        </is>
      </c>
      <c r="B27" s="45" t="n">
        <v>55</v>
      </c>
      <c r="C27" s="7" t="inlineStr">
        <is>
          <t>puan</t>
        </is>
      </c>
      <c r="D27" s="7" t="inlineStr">
        <is>
          <t>PAHALI risk skoru</t>
        </is>
      </c>
      <c r="E27" s="7" t="inlineStr">
        <is>
          <t>İç politika</t>
        </is>
      </c>
      <c r="F27" s="7" t="inlineStr">
        <is>
          <t>01.01.2025</t>
        </is>
      </c>
      <c r="G27" s="7" t="inlineStr">
        <is>
          <t>11.08.2026</t>
        </is>
      </c>
      <c r="H27" s="66">
        <f>IF(A27="","",IF(B27="","EKSİK","TAM"))</f>
        <v/>
      </c>
    </row>
    <row r="28">
      <c r="A28" s="7" t="inlineStr">
        <is>
          <t>fms_riskYuksek</t>
        </is>
      </c>
      <c r="B28" s="45" t="n">
        <v>85</v>
      </c>
      <c r="C28" s="7" t="inlineStr">
        <is>
          <t>puan</t>
        </is>
      </c>
      <c r="D28" s="7" t="inlineStr">
        <is>
          <t>RİSKLİ risk skoru</t>
        </is>
      </c>
      <c r="E28" s="7" t="inlineStr">
        <is>
          <t>İç politika</t>
        </is>
      </c>
      <c r="F28" s="7" t="inlineStr">
        <is>
          <t>01.01.2025</t>
        </is>
      </c>
      <c r="G28" s="7" t="inlineStr">
        <is>
          <t>11.08.2026</t>
        </is>
      </c>
      <c r="H28" s="66">
        <f>IF(A28="","",IF(B28="","EKSİK","TAM"))</f>
        <v/>
      </c>
    </row>
    <row r="29">
      <c r="A29" s="7" t="inlineStr">
        <is>
          <t>fms_riskEsikOran</t>
        </is>
      </c>
      <c r="B29" s="46" t="n">
        <v>0.5</v>
      </c>
      <c r="C29" s="7" t="inlineStr">
        <is>
          <t>oran</t>
        </is>
      </c>
      <c r="D29" s="7" t="inlineStr">
        <is>
          <t>Yedek risk oranı</t>
        </is>
      </c>
      <c r="E29" s="7" t="inlineStr">
        <is>
          <t>İç politika</t>
        </is>
      </c>
      <c r="F29" s="7" t="inlineStr">
        <is>
          <t>01.01.2025</t>
        </is>
      </c>
      <c r="G29" s="7" t="inlineStr">
        <is>
          <t>11.08.2026</t>
        </is>
      </c>
      <c r="H29" s="66">
        <f>IF(A29="","",IF(B29="","EKSİK","TAM"))</f>
        <v/>
      </c>
    </row>
    <row r="30">
      <c r="A30" s="7" t="inlineStr">
        <is>
          <t>fms_yilTaban</t>
        </is>
      </c>
      <c r="B30" s="45" t="n">
        <v>2024</v>
      </c>
      <c r="C30" s="7" t="inlineStr">
        <is>
          <t>yıl</t>
        </is>
      </c>
      <c r="D30" s="7" t="inlineStr">
        <is>
          <t>CHOOSE yıl tabanı</t>
        </is>
      </c>
      <c r="E30" s="7" t="inlineStr">
        <is>
          <t>Ürün mimarisi</t>
        </is>
      </c>
      <c r="F30" s="7" t="inlineStr">
        <is>
          <t>01.01.2025</t>
        </is>
      </c>
      <c r="G30" s="7" t="inlineStr">
        <is>
          <t>11.08.2026</t>
        </is>
      </c>
      <c r="H30" s="66">
        <f>IF(A30="","",IF(B30="","EKSİK","TAM"))</f>
        <v/>
      </c>
    </row>
    <row r="31">
      <c r="A31" s="7" t="inlineStr">
        <is>
          <t>fms_yuvarMax</t>
        </is>
      </c>
      <c r="B31" s="45" t="n">
        <v>10</v>
      </c>
      <c r="C31" s="7" t="inlineStr">
        <is>
          <t>adet</t>
        </is>
      </c>
      <c r="D31" s="7" t="inlineStr">
        <is>
          <t>ROUND basamak tavanı</t>
        </is>
      </c>
      <c r="E31" s="7" t="inlineStr">
        <is>
          <t>Ürün mimarisi</t>
        </is>
      </c>
      <c r="F31" s="7" t="inlineStr">
        <is>
          <t>01.01.2025</t>
        </is>
      </c>
      <c r="G31" s="7" t="inlineStr">
        <is>
          <t>11.08.2026</t>
        </is>
      </c>
      <c r="H31" s="66">
        <f>IF(A31="","",IF(B31="","EKSİK","TAM"))</f>
        <v/>
      </c>
    </row>
    <row r="32">
      <c r="A32" s="7" t="inlineStr">
        <is>
          <t>fms_dayanakCarpan</t>
        </is>
      </c>
      <c r="B32" s="45" t="n">
        <v>10</v>
      </c>
      <c r="C32" s="7" t="inlineStr">
        <is>
          <t>adet</t>
        </is>
      </c>
      <c r="D32" s="7" t="inlineStr">
        <is>
          <t>Yedek çarpan</t>
        </is>
      </c>
      <c r="E32" s="7" t="inlineStr">
        <is>
          <t>Ürün mimarisi</t>
        </is>
      </c>
      <c r="F32" s="7" t="inlineStr">
        <is>
          <t>01.01.2025</t>
        </is>
      </c>
      <c r="G32" s="7" t="inlineStr">
        <is>
          <t>11.08.2026</t>
        </is>
      </c>
      <c r="H32" s="66">
        <f>IF(A32="","",IF(B32="","EKSİK","TAM"))</f>
        <v/>
      </c>
    </row>
    <row r="33">
      <c r="A33" s="7" t="inlineStr">
        <is>
          <t>fms_bazCarpan</t>
        </is>
      </c>
      <c r="B33" s="46" t="n">
        <v>1</v>
      </c>
      <c r="C33" s="7" t="inlineStr">
        <is>
          <t>çarpan</t>
        </is>
      </c>
      <c r="D33" s="7" t="inlineStr">
        <is>
          <t>Baz senaryo çarpanı</t>
        </is>
      </c>
      <c r="E33" s="7" t="inlineStr">
        <is>
          <t>Model varsayımı</t>
        </is>
      </c>
      <c r="F33" s="7" t="inlineStr">
        <is>
          <t>01.01.2025</t>
        </is>
      </c>
      <c r="G33" s="7" t="inlineStr">
        <is>
          <t>11.08.2026</t>
        </is>
      </c>
      <c r="H33" s="66">
        <f>IF(A33="","",IF(B33="","EKSİK","TAM"))</f>
        <v/>
      </c>
    </row>
    <row r="34">
      <c r="A34" s="7" t="inlineStr">
        <is>
          <t>fms_sifirCarpan</t>
        </is>
      </c>
      <c r="B34" s="46" t="n">
        <v>0</v>
      </c>
      <c r="C34" s="7" t="inlineStr">
        <is>
          <t>çarpan</t>
        </is>
      </c>
      <c r="D34" s="7" t="inlineStr">
        <is>
          <t>Nötr çarpan (sıfır)</t>
        </is>
      </c>
      <c r="E34" s="7" t="inlineStr">
        <is>
          <t>Model varsayımı</t>
        </is>
      </c>
      <c r="F34" s="7" t="inlineStr">
        <is>
          <t>01.01.2025</t>
        </is>
      </c>
      <c r="G34" s="7" t="inlineStr">
        <is>
          <t>11.08.2026</t>
        </is>
      </c>
      <c r="H34" s="66">
        <f>IF(A34="","",IF(B34="","EKSİK","TAM"))</f>
        <v/>
      </c>
    </row>
    <row r="35">
      <c r="A35" s="7" t="inlineStr">
        <is>
          <t>fms_siraBir</t>
        </is>
      </c>
      <c r="B35" s="45" t="n">
        <v>1</v>
      </c>
      <c r="C35" s="7" t="inlineStr">
        <is>
          <t>adet</t>
        </is>
      </c>
      <c r="D35" s="7" t="inlineStr">
        <is>
          <t>Tornado sıra 1</t>
        </is>
      </c>
      <c r="E35" s="7" t="inlineStr">
        <is>
          <t>Ürün mimarisi</t>
        </is>
      </c>
      <c r="F35" s="7" t="inlineStr">
        <is>
          <t>01.01.2025</t>
        </is>
      </c>
      <c r="G35" s="7" t="inlineStr">
        <is>
          <t>11.08.2026</t>
        </is>
      </c>
      <c r="H35" s="66">
        <f>IF(A35="","",IF(B35="","EKSİK","TAM"))</f>
        <v/>
      </c>
    </row>
    <row r="36">
      <c r="A36" s="7" t="inlineStr">
        <is>
          <t>fms_siraIki</t>
        </is>
      </c>
      <c r="B36" s="45" t="n">
        <v>2</v>
      </c>
      <c r="C36" s="7" t="inlineStr">
        <is>
          <t>adet</t>
        </is>
      </c>
      <c r="D36" s="7" t="inlineStr">
        <is>
          <t>Tornado sıra 2</t>
        </is>
      </c>
      <c r="E36" s="7" t="inlineStr">
        <is>
          <t>Ürün mimarisi</t>
        </is>
      </c>
      <c r="F36" s="7" t="inlineStr">
        <is>
          <t>01.01.2025</t>
        </is>
      </c>
      <c r="G36" s="7" t="inlineStr">
        <is>
          <t>11.08.2026</t>
        </is>
      </c>
      <c r="H36" s="66">
        <f>IF(A36="","",IF(B36="","EKSİK","TAM"))</f>
        <v/>
      </c>
    </row>
    <row r="37">
      <c r="A37" s="7" t="inlineStr">
        <is>
          <t>fms_siraUc</t>
        </is>
      </c>
      <c r="B37" s="45" t="n">
        <v>3</v>
      </c>
      <c r="C37" s="7" t="inlineStr">
        <is>
          <t>adet</t>
        </is>
      </c>
      <c r="D37" s="7" t="inlineStr">
        <is>
          <t>Tornado sıra 3</t>
        </is>
      </c>
      <c r="E37" s="7" t="inlineStr">
        <is>
          <t>Ürün mimarisi</t>
        </is>
      </c>
      <c r="F37" s="7" t="inlineStr">
        <is>
          <t>01.01.2025</t>
        </is>
      </c>
      <c r="G37" s="7" t="inlineStr">
        <is>
          <t>11.08.2026</t>
        </is>
      </c>
      <c r="H37" s="66">
        <f>IF(A37="","",IF(B37="","EKSİK","TAM"))</f>
        <v/>
      </c>
    </row>
    <row r="38">
      <c r="A38" s="7" t="inlineStr">
        <is>
          <t>fms_tahminX</t>
        </is>
      </c>
      <c r="B38" s="45" t="n">
        <v>5</v>
      </c>
      <c r="C38" s="7" t="inlineStr">
        <is>
          <t>adet</t>
        </is>
      </c>
      <c r="D38" s="7" t="inlineStr">
        <is>
          <t>Tahmin X noktası</t>
        </is>
      </c>
      <c r="E38" s="7" t="inlineStr">
        <is>
          <t>Model varsayımı</t>
        </is>
      </c>
      <c r="F38" s="7" t="inlineStr">
        <is>
          <t>01.01.2025</t>
        </is>
      </c>
      <c r="G38" s="7" t="inlineStr">
        <is>
          <t>11.08.2026</t>
        </is>
      </c>
      <c r="H38" s="66">
        <f>IF(A38="","",IF(B38="","EKSİK","TAM"))</f>
        <v/>
      </c>
    </row>
    <row r="39">
      <c r="A39" s="7" t="inlineStr">
        <is>
          <t>vaka_brut_1</t>
        </is>
      </c>
      <c r="B39" s="65" t="n">
        <v>50000</v>
      </c>
      <c r="C39" s="7" t="inlineStr">
        <is>
          <t>TL</t>
        </is>
      </c>
      <c r="D39" s="7" t="inlineStr">
        <is>
          <t>Vaka brüt ücret</t>
        </is>
      </c>
      <c r="E39" s="7" t="inlineStr">
        <is>
          <t>Altın vaka</t>
        </is>
      </c>
      <c r="F39" s="7" t="inlineStr">
        <is>
          <t>01.01.2025</t>
        </is>
      </c>
      <c r="G39" s="7" t="inlineStr">
        <is>
          <t>11.08.2026</t>
        </is>
      </c>
      <c r="H39" s="66">
        <f>IF(A39="","",IF(B39="","EKSİK","TAM"))</f>
        <v/>
      </c>
    </row>
    <row r="40">
      <c r="A40" s="7" t="inlineStr">
        <is>
          <t>vaka_yil_1</t>
        </is>
      </c>
      <c r="B40" s="45" t="n">
        <v>5</v>
      </c>
      <c r="C40" s="7" t="inlineStr">
        <is>
          <t>adet</t>
        </is>
      </c>
      <c r="D40" s="7" t="inlineStr">
        <is>
          <t>Vaka kıdem yılı</t>
        </is>
      </c>
      <c r="E40" s="7" t="inlineStr">
        <is>
          <t>Altın vaka</t>
        </is>
      </c>
      <c r="F40" s="7" t="inlineStr">
        <is>
          <t>01.01.2025</t>
        </is>
      </c>
      <c r="G40" s="7" t="inlineStr">
        <is>
          <t>11.08.2026</t>
        </is>
      </c>
      <c r="H40" s="66">
        <f>IF(A40="","",IF(B40="","EKSİK","TAM"))</f>
        <v/>
      </c>
    </row>
    <row r="41">
      <c r="A41" s="7" t="inlineStr">
        <is>
          <t>vaka_hafta_1</t>
        </is>
      </c>
      <c r="B41" s="45" t="n">
        <v>8</v>
      </c>
      <c r="C41" s="7" t="inlineStr">
        <is>
          <t>adet</t>
        </is>
      </c>
      <c r="D41" s="7" t="inlineStr">
        <is>
          <t>Vaka ihbar hafta</t>
        </is>
      </c>
      <c r="E41" s="7" t="inlineStr">
        <is>
          <t>Altın vaka</t>
        </is>
      </c>
      <c r="F41" s="7" t="inlineStr">
        <is>
          <t>01.01.2025</t>
        </is>
      </c>
      <c r="G41" s="7" t="inlineStr">
        <is>
          <t>11.08.2026</t>
        </is>
      </c>
      <c r="H41" s="66">
        <f>IF(A41="","",IF(B41="","EKSİK","TAM"))</f>
        <v/>
      </c>
    </row>
    <row r="42">
      <c r="A42" s="7" t="inlineStr">
        <is>
          <t>vaka_olasilik_1</t>
        </is>
      </c>
      <c r="B42" s="46" t="n">
        <v>0.2</v>
      </c>
      <c r="C42" s="7" t="inlineStr">
        <is>
          <t>oran</t>
        </is>
      </c>
      <c r="D42" s="7" t="inlineStr">
        <is>
          <t>Vaka işe iade olasılık</t>
        </is>
      </c>
      <c r="E42" s="7" t="inlineStr">
        <is>
          <t>Altın vaka</t>
        </is>
      </c>
      <c r="F42" s="7" t="inlineStr">
        <is>
          <t>01.01.2025</t>
        </is>
      </c>
      <c r="G42" s="7" t="inlineStr">
        <is>
          <t>11.08.2026</t>
        </is>
      </c>
      <c r="H42" s="66">
        <f>IF(A42="","",IF(B42="","EKSİK","TAM"))</f>
        <v/>
      </c>
    </row>
    <row r="43">
      <c r="A43" s="7" t="inlineStr">
        <is>
          <t>vaka_dava_1</t>
        </is>
      </c>
      <c r="B43" s="65" t="n">
        <v>30000</v>
      </c>
      <c r="C43" s="7" t="inlineStr">
        <is>
          <t>TL</t>
        </is>
      </c>
      <c r="D43" s="7" t="inlineStr">
        <is>
          <t>Vaka dava masrafı</t>
        </is>
      </c>
      <c r="E43" s="7" t="inlineStr">
        <is>
          <t>Altın vaka</t>
        </is>
      </c>
      <c r="F43" s="7" t="inlineStr">
        <is>
          <t>01.01.2025</t>
        </is>
      </c>
      <c r="G43" s="7" t="inlineStr">
        <is>
          <t>11.08.2026</t>
        </is>
      </c>
      <c r="H43" s="66">
        <f>IF(A43="","",IF(B43="","EKSİK","TAM"))</f>
        <v/>
      </c>
    </row>
    <row r="45">
      <c r="B45" s="68" t="inlineStr">
        <is>
          <t>Parametre satırları yukarıda; ad tanımları B kolonuna bağlı.</t>
        </is>
      </c>
    </row>
    <row r="47">
      <c r="B47" s="63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H6:H50">
    <cfRule type="expression" priority="1" dxfId="0">
      <formula>H6="EKSİK"</formula>
    </cfRule>
    <cfRule type="expression" priority="2" dxfId="1">
      <formula>H6="TAM"</formula>
    </cfRule>
  </conditionalFormatting>
  <dataValidations count="3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11" showDropDown="0" showInputMessage="1" showErrorMessage="1" allowBlank="1" errorTitle="Geçersiz" error="0-2." promptTitle="İyimser çarpan" prompt="0-2 aralığı." type="decimal" errorStyle="stop" operator="between">
      <formula1>0</formula1>
      <formula2>2</formula2>
    </dataValidation>
    <dataValidation sqref="B12" showDropDown="0" showInputMessage="1" showErrorMessage="1" allowBlank="1" errorTitle="Geçersiz" error="0-2." promptTitle="Kötümser çarpan" prompt="0-2 aralığı." type="decimal" errorStyle="stop" operator="between">
      <formula1>0</formula1>
      <formula2>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 ht="26" customHeight="1">
      <c r="A1" s="1" t="inlineStr">
        <is>
          <t>KILAVUZ — Fesih Maliyeti Simülatörü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FESİH UYGUN — doğrudan maliyet pahalı eşiğin altında ve işe iade riski düşük.</t>
        </is>
      </c>
    </row>
    <row r="7">
      <c r="A7" s="6" t="inlineStr">
        <is>
          <t>• PAHALI — kıdem+ihbar doğrudan maliyeti pahalı eşiğin üzerinde.</t>
        </is>
      </c>
    </row>
    <row r="8">
      <c r="A8" s="6" t="inlineStr">
        <is>
          <t>• RİSKLİ — işe iade olasılığı veya beklenen toplam maliyet risk eşiğinin üzerinde.</t>
        </is>
      </c>
    </row>
    <row r="10">
      <c r="A10" s="69" t="inlineStr">
        <is>
          <t>Belirsizlik beyanları (M05)</t>
        </is>
      </c>
    </row>
    <row r="11">
      <c r="A11" s="70" t="inlineStr">
        <is>
          <t>Bu nokta mevzuatta tartışmalıdır; dosya yorum A ve yorum B sonucunu yan yana gösterir: ise_iade_yorumu</t>
        </is>
      </c>
    </row>
    <row r="13">
      <c r="A13" s="10" t="inlineStr">
        <is>
          <t>Yorum A</t>
        </is>
      </c>
      <c r="B13" s="6" t="inlineStr">
        <is>
          <t>Standart hesap: kıdem = brüt × yıl × (katsayı/30); ihbar = brüt/30 × günlük çarpan × hafta. İşe iade beklenen ek = olasılık × (brüt × iade ayı + dava). Haklı fesihte kıdem/ihbar sıfırlanır.</t>
        </is>
      </c>
    </row>
    <row r="14">
      <c r="A14" s="10" t="inlineStr">
        <is>
          <t>Yorum B</t>
        </is>
      </c>
      <c r="B14" s="6" t="inlineStr">
        <is>
          <t>Yorum B, kıdem tutarına tavan çarpanı uygular (daha düşük kıdem → daha düşük doğrudan maliyet). Dosya her iki yorumun sonucunu MOTOR'da üretir.</t>
        </is>
      </c>
    </row>
    <row r="16">
      <c r="A16" s="10" t="inlineStr">
        <is>
          <t>Kullanım sırası</t>
        </is>
      </c>
    </row>
    <row r="17">
      <c r="A17" s="6" t="inlineStr">
        <is>
          <t>GIRDI → KURALLAR (gerekirse) → MOTOR (inceleme) → SENARYO → VAKALAR → PANO → KANIT_RAPORU → AYARLAR.</t>
        </is>
      </c>
    </row>
    <row r="19">
      <c r="A19" s="8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T5"/>
    <mergeCell ref="A8:T8"/>
    <mergeCell ref="A6:T6"/>
    <mergeCell ref="A17:J17"/>
    <mergeCell ref="B14:J14"/>
    <mergeCell ref="A7:T7"/>
    <mergeCell ref="B13:J13"/>
    <mergeCell ref="A11:T11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2026-08-11T11:50:55Z</dcterms:created>
  <dcterms:modified xmlns:dcterms="http://purl.org/dc/terms/" xmlns:xsi="http://www.w3.org/2001/XMLSchema-instance" xsi:type="dcterms:W3CDTF">2026-09-25T14:11:58Z</dcterms:modified>
</cp:coreProperties>
</file>