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worksheets/sheet20.xml" ContentType="application/vnd.openxmlformats-officedocument.spreadsheetml.worksheet+xml"/>
  <Override PartName="/xl/comments/comment4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ARLIKLAR" sheetId="11" state="visible" r:id="rId11"/>
    <sheet xmlns:r="http://schemas.openxmlformats.org/officeDocument/2006/relationships" name="GUNLUK_GIRIS" sheetId="12" state="visible" r:id="rId12"/>
    <sheet xmlns:r="http://schemas.openxmlformats.org/officeDocument/2006/relationships" name="DONEM_ANALIZ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ALARMLAR" sheetId="15" state="visible" r:id="rId15"/>
    <sheet xmlns:r="http://schemas.openxmlformats.org/officeDocument/2006/relationships" name="RAPOR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raporTarihi">AYARLAR!$B$6</definedName>
    <definedName name="fam_yakitBirimFiyat">AYARLAR!$B$7</definedName>
    <definedName name="fam_amortismanTlKm">AYARLAR!$B$8</definedName>
    <definedName name="fam_sigortaYillik">AYARLAR!$B$9</definedName>
    <definedName name="fam_sigortaGunPay">AYARLAR!$B$10</definedName>
    <definedName name="fam_esikKmBasi">AYARLAR!$B$11</definedName>
    <definedName name="fam_esikBakimTl">AYARLAR!$B$12</definedName>
    <definedName name="fam_esikSaglik">AYARLAR!$B$13</definedName>
    <definedName name="fam_aylikCarpan">AYARLAR!$B$14</definedName>
    <definedName name="fam_senaryoTemkinli">AYARLAR!$B$15</definedName>
    <definedName name="fam_senaryoBaz">AYARLAR!$B$16</definedName>
    <definedName name="fam_senaryoIyimser">AYARLAR!$B$17</definedName>
    <definedName name="fam_tornadoOran">AYARLAR!$B$18</definedName>
    <definedName name="fam_yuzdelikOran">AYARLAR!$B$19</definedName>
    <definedName name="fam_percentileOran">AYARLAR!$B$20</definedName>
    <definedName name="fam_tahminCarpan">AYARLAR!$B$21</definedName>
    <definedName name="fam_olcekHedef">AYARLAR!$B$22</definedName>
    <definedName name="fam_kaliteTaban">AYARLAR!$B$23</definedName>
    <definedName name="fam_kaliteCeza">AYARLAR!$B$24</definedName>
    <definedName name="fam_kaliteSapma">AYARLAR!$B$25</definedName>
    <definedName name="fam_dosyaSurumu">AYARLAR!$B$26</definedName>
    <definedName name="fam_firmaUnvan">AYARLAR!$B$27</definedName>
    <definedName name="fam_alarmEsikMetin">AYARLAR!$B$28</definedName>
    <definedName name="fam_doluKayit">AYARLAR!$I$32</definedName>
    <definedName name="fam_toplamKm">AYARLAR!$I$33</definedName>
    <definedName name="fam_toplamMaliyet">AYARLAR!$I$34</definedName>
    <definedName name="fam_kmBasiMaliyet">AYARLAR!$I$35</definedName>
    <definedName name="fam_yakitToplam">AYARLAR!$I$36</definedName>
    <definedName name="fam_bakimToplam">AYARLAR!$I$37</definedName>
    <definedName name="fam_amortToplam">AYARLAR!$I$38</definedName>
    <definedName name="fam_sigortaToplam">AYARLAR!$I$39</definedName>
    <definedName name="fam_saglikSkor">AYARLAR!$I$40</definedName>
    <definedName name="fam_alarmAdet">AYARLAR!$I$41</definedName>
    <definedName name="fam_yetimAdet">AYARLAR!$I$42</definedName>
    <definedName name="fam_gunlukKmOrt">AYARLAR!$I$43</definedName>
    <definedName name="fam_aylikMaliyetTrend">AYARLAR!$I$44</definedName>
    <definedName name="fam_kmBasiSapma">AYARLAR!$I$45</definedName>
    <definedName name="fam_tornadoZirve">AYARLAR!$I$46</definedName>
    <definedName name="fam_senaryoKarsilastirma">AYARLAR!$I$47</definedName>
    <definedName name="fam_hhi">AYARLAR!$I$48</definedName>
    <definedName name="fam_kaliteSkor">AYARLAR!$I$49</definedName>
    <definedName name="fam_senaryoMotor">AYARLAR!$I$50</definedName>
    <definedName name="fam_tahminAralik">AYARLAR!$I$51</definedName>
    <definedName name="fam_yuzdelikP90">AYARLAR!$I$52</definedName>
    <definedName name="fam_sezonsalTrend">AYARLAR!$I$53</definedName>
    <definedName name="fam_alarmListesi">AYARLAR!$I$54</definedName>
    <definedName name="fam_kararKapi">AYARLAR!$I$55</definedName>
    <definedName name="fam_kararGerekce">AYARLAR!$I$56</definedName>
    <definedName name="fam_sonrakiKimlik">AYARLAR!$I$57</definedName>
    <definedName name="fam_yorumGunluk">AYARLAR!$I$60</definedName>
    <definedName name="fam_yorumAylik">AYARLAR!$I$61</definedName>
    <definedName name="fam_yorumSapma">AYARLAR!$I$62</definedName>
    <definedName name="fam_yorumTornado">AYARLAR!$I$63</definedName>
    <definedName name="fam_yorumSenaryo">AYARLAR!$I$64</definedName>
    <definedName name="fam_yorumHhi">AYARLAR!$I$65</definedName>
    <definedName name="fam_yorumKalite">AYARLAR!$I$66</definedName>
    <definedName name="fam_yorumSenMotor">AYARLAR!$I$67</definedName>
    <definedName name="fam_yorumTahmin">AYARLAR!$I$68</definedName>
    <definedName name="fam_yorumP90">AYARLAR!$I$69</definedName>
    <definedName name="ListeEvetHayir">LISTELER!$A$7:$A$8</definedName>
    <definedName name="ListeOlayTuru">LISTELER!$C$7:$C$12</definedName>
    <definedName name="ListeAracTipi">LISTELER!$E$7:$E$9</definedName>
    <definedName name="_xlnm.Print_Area" localSheetId="15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₺ #,##0;[Red](₺ #,##0);-"/>
    <numFmt numFmtId="166" formatCode="dd.mm.yyyy"/>
    <numFmt numFmtId="167" formatCode="0.0%;[Red](0.0%);-"/>
    <numFmt numFmtId="168" formatCode="#,##0 &quot;TL&quot;"/>
    <numFmt numFmtId="169" formatCode="0.0%"/>
    <numFmt numFmtId="170" formatCode="₺#,##0"/>
    <numFmt numFmtId="171" formatCode="0.00&quot;x&quot;"/>
  </numFmts>
  <fonts count="8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6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6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7" borderId="0" applyAlignment="1" pivotButton="0" quotePrefix="0" xfId="0">
      <alignment horizontal="center" vertical="center"/>
    </xf>
    <xf numFmtId="0" fontId="27" fillId="0" borderId="0" pivotButton="0" quotePrefix="0" xfId="0"/>
    <xf numFmtId="168" fontId="27" fillId="0" borderId="0" pivotButton="0" quotePrefix="0" xfId="0"/>
    <xf numFmtId="168" fontId="28" fillId="0" borderId="0" pivotButton="0" quotePrefix="0" xfId="0"/>
    <xf numFmtId="169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/>
    </xf>
    <xf numFmtId="0" fontId="28" fillId="0" borderId="0" pivotButton="0" quotePrefix="0" xfId="0"/>
    <xf numFmtId="0" fontId="32" fillId="9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6" fontId="8" fillId="5" borderId="0" applyAlignment="1" applyProtection="1" pivotButton="0" quotePrefix="0" xfId="0">
      <alignment horizontal="left" vertical="center"/>
      <protection locked="0" hidden="0"/>
    </xf>
    <xf numFmtId="167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35" fillId="0" borderId="0" pivotButton="0" quotePrefix="0" xfId="0"/>
    <xf numFmtId="0" fontId="36" fillId="0" borderId="2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3" pivotButton="0" quotePrefix="0" xfId="0"/>
    <xf numFmtId="0" fontId="0" fillId="0" borderId="2" pivotButton="0" quotePrefix="0" xfId="0"/>
    <xf numFmtId="0" fontId="37" fillId="11" borderId="2" applyAlignment="1" pivotButton="0" quotePrefix="0" xfId="0">
      <alignment horizontal="center"/>
    </xf>
    <xf numFmtId="0" fontId="23" fillId="0" borderId="4" pivotButton="0" quotePrefix="0" xfId="0"/>
    <xf numFmtId="0" fontId="39" fillId="12" borderId="2" applyAlignment="1" pivotButton="0" quotePrefix="0" xfId="0">
      <alignment horizontal="center"/>
    </xf>
    <xf numFmtId="0" fontId="38" fillId="13" borderId="2" applyAlignment="1" pivotButton="0" quotePrefix="0" xfId="0">
      <alignment horizontal="center"/>
    </xf>
    <xf numFmtId="0" fontId="2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9" fillId="0" borderId="3" pivotButton="0" quotePrefix="0" xfId="0"/>
    <xf numFmtId="0" fontId="40" fillId="0" borderId="4" pivotButton="0" quotePrefix="0" xfId="0"/>
    <xf numFmtId="0" fontId="41" fillId="0" borderId="5" pivotButton="0" quotePrefix="0" xfId="0"/>
    <xf numFmtId="0" fontId="38" fillId="0" borderId="3" pivotButton="0" quotePrefix="0" xfId="0"/>
    <xf numFmtId="0" fontId="33" fillId="0" borderId="4" pivotButton="0" quotePrefix="0" xfId="0"/>
    <xf numFmtId="0" fontId="38" fillId="0" borderId="5" pivotButton="0" quotePrefix="0" xfId="0"/>
    <xf numFmtId="0" fontId="42" fillId="14" borderId="0" applyAlignment="1" pivotButton="0" quotePrefix="0" xfId="0">
      <alignment horizontal="center"/>
    </xf>
    <xf numFmtId="0" fontId="43" fillId="0" borderId="0" pivotButton="0" quotePrefix="0" xfId="0"/>
    <xf numFmtId="0" fontId="42" fillId="15" borderId="0" applyAlignment="1" pivotButton="0" quotePrefix="0" xfId="0">
      <alignment horizontal="center" vertical="center"/>
    </xf>
    <xf numFmtId="0" fontId="43" fillId="0" borderId="2" pivotButton="0" quotePrefix="0" xfId="0"/>
    <xf numFmtId="0" fontId="44" fillId="0" borderId="2" pivotButton="0" quotePrefix="0" xfId="0"/>
    <xf numFmtId="0" fontId="45" fillId="0" borderId="2" pivotButton="0" quotePrefix="0" xfId="0"/>
    <xf numFmtId="0" fontId="46" fillId="16" borderId="2" applyAlignment="1" pivotButton="0" quotePrefix="0" xfId="0">
      <alignment horizontal="center"/>
    </xf>
    <xf numFmtId="0" fontId="42" fillId="7" borderId="0" pivotButton="0" quotePrefix="0" xfId="0"/>
    <xf numFmtId="0" fontId="47" fillId="7" borderId="0" pivotButton="0" quotePrefix="0" xfId="0"/>
    <xf numFmtId="0" fontId="48" fillId="7" borderId="0" pivotButton="0" quotePrefix="0" xfId="0"/>
    <xf numFmtId="0" fontId="0" fillId="7" borderId="0" pivotButton="0" quotePrefix="0" xfId="0"/>
    <xf numFmtId="0" fontId="20" fillId="7" borderId="0" applyAlignment="1" pivotButton="0" quotePrefix="0" xfId="0">
      <alignment horizontal="center"/>
    </xf>
    <xf numFmtId="0" fontId="36" fillId="0" borderId="0" pivotButton="0" quotePrefix="0" xfId="0"/>
    <xf numFmtId="0" fontId="51" fillId="17" borderId="0" pivotButton="0" quotePrefix="0" xfId="0"/>
    <xf numFmtId="0" fontId="0" fillId="17" borderId="0" pivotButton="0" quotePrefix="0" xfId="0"/>
    <xf numFmtId="0" fontId="38" fillId="0" borderId="0" pivotButton="0" quotePrefix="0" xfId="0"/>
    <xf numFmtId="0" fontId="26" fillId="17" borderId="0" pivotButton="0" quotePrefix="0" xfId="0"/>
    <xf numFmtId="0" fontId="52" fillId="17" borderId="0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38" fillId="13" borderId="6" applyAlignment="1" pivotButton="0" quotePrefix="0" xfId="0">
      <alignment horizontal="center" vertical="center"/>
    </xf>
    <xf numFmtId="0" fontId="53" fillId="18" borderId="0" applyAlignment="1" pivotButton="0" quotePrefix="0" xfId="0">
      <alignment horizontal="center" vertical="center"/>
    </xf>
    <xf numFmtId="0" fontId="17" fillId="19" borderId="2" applyAlignment="1" pivotButton="0" quotePrefix="0" xfId="0">
      <alignment vertical="center"/>
    </xf>
    <xf numFmtId="0" fontId="37" fillId="11" borderId="0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54" fillId="7" borderId="0" applyAlignment="1" pivotButton="0" quotePrefix="0" xfId="0">
      <alignment horizontal="center" vertical="center"/>
    </xf>
    <xf numFmtId="0" fontId="55" fillId="19" borderId="2" applyAlignment="1" pivotButton="0" quotePrefix="0" xfId="0">
      <alignment horizontal="center"/>
    </xf>
    <xf numFmtId="0" fontId="56" fillId="19" borderId="2" applyAlignment="1" pivotButton="0" quotePrefix="0" xfId="0">
      <alignment horizontal="center"/>
    </xf>
    <xf numFmtId="0" fontId="55" fillId="19" borderId="2" pivotButton="0" quotePrefix="0" xfId="0"/>
    <xf numFmtId="170" fontId="56" fillId="19" borderId="2" applyAlignment="1" pivotButton="0" quotePrefix="0" xfId="0">
      <alignment horizontal="right"/>
    </xf>
    <xf numFmtId="9" fontId="55" fillId="19" borderId="2" applyAlignment="1" pivotButton="0" quotePrefix="0" xfId="0">
      <alignment horizontal="center"/>
    </xf>
    <xf numFmtId="170" fontId="55" fillId="19" borderId="2" applyAlignment="1" pivotButton="0" quotePrefix="0" xfId="0">
      <alignment horizontal="right"/>
    </xf>
    <xf numFmtId="0" fontId="38" fillId="19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6" fillId="18" borderId="2" applyAlignment="1" pivotButton="0" quotePrefix="0" xfId="0">
      <alignment horizontal="center"/>
    </xf>
    <xf numFmtId="0" fontId="55" fillId="18" borderId="2" pivotButton="0" quotePrefix="0" xfId="0"/>
    <xf numFmtId="170" fontId="56" fillId="18" borderId="2" applyAlignment="1" pivotButton="0" quotePrefix="0" xfId="0">
      <alignment horizontal="right"/>
    </xf>
    <xf numFmtId="9" fontId="55" fillId="18" borderId="2" applyAlignment="1" pivotButton="0" quotePrefix="0" xfId="0">
      <alignment horizontal="center"/>
    </xf>
    <xf numFmtId="170" fontId="55" fillId="18" borderId="2" applyAlignment="1" pivotButton="0" quotePrefix="0" xfId="0">
      <alignment horizontal="right"/>
    </xf>
    <xf numFmtId="0" fontId="43" fillId="18" borderId="2" applyAlignment="1" pivotButton="0" quotePrefix="0" xfId="0">
      <alignment horizontal="center"/>
    </xf>
    <xf numFmtId="0" fontId="38" fillId="18" borderId="2" applyAlignment="1" pivotButton="0" quotePrefix="0" xfId="0">
      <alignment horizontal="center"/>
    </xf>
    <xf numFmtId="0" fontId="39" fillId="18" borderId="2" applyAlignment="1" pivotButton="0" quotePrefix="0" xfId="0">
      <alignment horizontal="center"/>
    </xf>
    <xf numFmtId="0" fontId="26" fillId="7" borderId="0" applyAlignment="1" pivotButton="0" quotePrefix="0" xfId="0">
      <alignment vertical="center" indent="1"/>
    </xf>
    <xf numFmtId="170" fontId="57" fillId="7" borderId="0" applyAlignment="1" pivotButton="0" quotePrefix="0" xfId="0">
      <alignment horizontal="right" vertical="center"/>
    </xf>
    <xf numFmtId="0" fontId="58" fillId="0" borderId="7" pivotButton="0" quotePrefix="0" xfId="0"/>
    <xf numFmtId="0" fontId="59" fillId="0" borderId="7" pivotButton="0" quotePrefix="0" xfId="0"/>
    <xf numFmtId="0" fontId="60" fillId="0" borderId="7" pivotButton="0" quotePrefix="0" xfId="0"/>
    <xf numFmtId="0" fontId="61" fillId="20" borderId="2" applyAlignment="1" pivotButton="0" quotePrefix="0" xfId="0">
      <alignment horizontal="center" vertical="center"/>
    </xf>
    <xf numFmtId="0" fontId="65" fillId="11" borderId="2" applyAlignment="1" pivotButton="0" quotePrefix="0" xfId="0">
      <alignment horizontal="center" vertical="center"/>
    </xf>
    <xf numFmtId="0" fontId="62" fillId="0" borderId="2" pivotButton="0" quotePrefix="0" xfId="0"/>
    <xf numFmtId="0" fontId="61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36" fillId="0" borderId="2" applyAlignment="1" pivotButton="0" quotePrefix="0" xfId="0">
      <alignment horizontal="right"/>
    </xf>
    <xf numFmtId="0" fontId="63" fillId="0" borderId="2" applyAlignment="1" pivotButton="0" quotePrefix="0" xfId="0">
      <alignment horizontal="right"/>
    </xf>
    <xf numFmtId="0" fontId="64" fillId="12" borderId="8" applyAlignment="1" pivotButton="0" quotePrefix="0" xfId="0">
      <alignment horizontal="center" vertical="center"/>
    </xf>
    <xf numFmtId="0" fontId="66" fillId="11" borderId="9" applyAlignment="1" pivotButton="0" quotePrefix="0" xfId="0">
      <alignment horizontal="center" vertical="center"/>
    </xf>
    <xf numFmtId="0" fontId="62" fillId="0" borderId="0" pivotButton="0" quotePrefix="0" xfId="0"/>
    <xf numFmtId="0" fontId="67" fillId="21" borderId="0" applyAlignment="1" pivotButton="0" quotePrefix="0" xfId="0">
      <alignment horizontal="left" vertical="center" wrapText="1"/>
    </xf>
    <xf numFmtId="0" fontId="68" fillId="22" borderId="0" applyAlignment="1" pivotButton="0" quotePrefix="0" xfId="0">
      <alignment vertical="center" wrapText="1"/>
    </xf>
    <xf numFmtId="0" fontId="69" fillId="23" borderId="0" applyAlignment="1" pivotButton="0" quotePrefix="0" xfId="0">
      <alignment vertical="top" wrapText="1"/>
    </xf>
    <xf numFmtId="0" fontId="70" fillId="0" borderId="0" applyAlignment="1" pivotButton="0" quotePrefix="0" xfId="0">
      <alignment vertical="top" wrapText="1"/>
    </xf>
    <xf numFmtId="0" fontId="71" fillId="21" borderId="0" applyAlignment="1" pivotButton="0" quotePrefix="0" xfId="0">
      <alignment horizontal="left" vertical="center" wrapText="1"/>
    </xf>
    <xf numFmtId="0" fontId="67" fillId="24" borderId="0" applyAlignment="1" pivotButton="0" quotePrefix="0" xfId="0">
      <alignment horizontal="left" vertical="center" wrapText="1"/>
    </xf>
    <xf numFmtId="0" fontId="68" fillId="24" borderId="0" applyAlignment="1" pivotButton="0" quotePrefix="0" xfId="0">
      <alignment vertical="center" wrapText="1"/>
    </xf>
    <xf numFmtId="0" fontId="72" fillId="25" borderId="0" applyAlignment="1" pivotButton="0" quotePrefix="0" xfId="0">
      <alignment vertical="top" wrapText="1"/>
    </xf>
    <xf numFmtId="0" fontId="67" fillId="26" borderId="0" applyAlignment="1" pivotButton="0" quotePrefix="0" xfId="0">
      <alignment horizontal="left" vertical="center" wrapText="1"/>
    </xf>
    <xf numFmtId="0" fontId="68" fillId="26" borderId="0" applyAlignment="1" pivotButton="0" quotePrefix="0" xfId="0">
      <alignment vertical="center" wrapText="1"/>
    </xf>
    <xf numFmtId="0" fontId="73" fillId="27" borderId="0" applyAlignment="1" pivotButton="0" quotePrefix="0" xfId="0">
      <alignment vertical="top" wrapText="1"/>
    </xf>
    <xf numFmtId="0" fontId="74" fillId="25" borderId="0" applyAlignment="1" pivotButton="0" quotePrefix="0" xfId="0">
      <alignment vertical="top" wrapText="1"/>
    </xf>
    <xf numFmtId="0" fontId="75" fillId="0" borderId="0" applyAlignment="1" pivotButton="0" quotePrefix="0" xfId="0">
      <alignment vertical="top" wrapText="1"/>
    </xf>
    <xf numFmtId="0" fontId="67" fillId="28" borderId="0" applyAlignment="1" pivotButton="0" quotePrefix="0" xfId="0">
      <alignment horizontal="left" vertical="center"/>
    </xf>
    <xf numFmtId="0" fontId="68" fillId="28" borderId="0" applyAlignment="1" pivotButton="0" quotePrefix="0" xfId="0">
      <alignment vertical="center" wrapText="1"/>
    </xf>
    <xf numFmtId="0" fontId="76" fillId="29" borderId="0" applyAlignment="1" pivotButton="0" quotePrefix="0" xfId="0">
      <alignment vertical="top" wrapText="1"/>
    </xf>
    <xf numFmtId="0" fontId="77" fillId="30" borderId="0" applyAlignment="1" pivotButton="0" quotePrefix="0" xfId="0">
      <alignment vertical="top" wrapText="1"/>
    </xf>
    <xf numFmtId="0" fontId="67" fillId="31" borderId="0" applyAlignment="1" pivotButton="0" quotePrefix="0" xfId="0">
      <alignment horizontal="left" vertical="center"/>
    </xf>
    <xf numFmtId="0" fontId="68" fillId="31" borderId="0" applyAlignment="1" pivotButton="0" quotePrefix="0" xfId="0">
      <alignment vertical="center" wrapText="1"/>
    </xf>
    <xf numFmtId="0" fontId="78" fillId="30" borderId="0" applyAlignment="1" pivotButton="0" quotePrefix="0" xfId="0">
      <alignment vertical="top" wrapText="1"/>
    </xf>
    <xf numFmtId="0" fontId="67" fillId="32" borderId="0" applyAlignment="1" pivotButton="0" quotePrefix="0" xfId="0">
      <alignment horizontal="left" vertical="center"/>
    </xf>
    <xf numFmtId="0" fontId="68" fillId="32" borderId="0" applyAlignment="1" pivotButton="0" quotePrefix="0" xfId="0">
      <alignment vertical="center" wrapText="1"/>
    </xf>
    <xf numFmtId="0" fontId="79" fillId="33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170" fontId="19" fillId="0" borderId="3" pivotButton="0" quotePrefix="0" xfId="0"/>
    <xf numFmtId="170" fontId="40" fillId="0" borderId="4" pivotButton="0" quotePrefix="0" xfId="0"/>
    <xf numFmtId="170" fontId="43" fillId="0" borderId="2" pivotButton="0" quotePrefix="0" xfId="0"/>
    <xf numFmtId="170" fontId="44" fillId="0" borderId="2" pivotButton="0" quotePrefix="0" xfId="0"/>
    <xf numFmtId="170" fontId="47" fillId="7" borderId="0" pivotButton="0" quotePrefix="0" xfId="0"/>
    <xf numFmtId="170" fontId="48" fillId="7" borderId="0" pivotButton="0" quotePrefix="0" xfId="0"/>
    <xf numFmtId="170" fontId="66" fillId="9" borderId="2" applyAlignment="1" pivotButton="0" quotePrefix="0" xfId="0">
      <alignment horizontal="right"/>
    </xf>
    <xf numFmtId="170" fontId="36" fillId="0" borderId="2" applyAlignment="1" pivotButton="0" quotePrefix="0" xfId="0">
      <alignment horizontal="right"/>
    </xf>
    <xf numFmtId="170" fontId="63" fillId="0" borderId="2" applyAlignment="1" pivotButton="0" quotePrefix="0" xfId="0">
      <alignment horizontal="right"/>
    </xf>
    <xf numFmtId="171" fontId="63" fillId="0" borderId="2" applyAlignment="1" pivotButton="0" quotePrefix="0" xfId="0">
      <alignment horizontal="right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Maliyet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'DONEM_ANALIZ'!$D$6:$D$17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Km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ARC-00009 | Risk: Elle çakışma</t>
      </text>
    </comment>
    <comment ref="A6" authorId="0" shapeId="0">
      <text>
        <t>Tanım: Varlık Kimliği | Neden önemli: Filo km maliyeti ve sağlık skorunu etkiler | Doğru kullanım: ARC-##### formatında | Örnek: hücredeki örnek değere bakın | Risk: Yanlış giriş hatalı karar üretir</t>
      </text>
    </comment>
    <comment ref="B6" authorId="0" shapeId="0">
      <text>
        <t>Tanım: Plaka / Ad | Neden önemli: Filo km maliyeti ve sağlık skorunu etkiler | Doğru kullanım: Araç adı veya plaka | Örnek: hücredeki örnek değere bakın | Risk: Yanlış giriş hatalı karar üretir</t>
      </text>
    </comment>
    <comment ref="C6" authorId="0" shapeId="0">
      <text>
        <t>Tanım: Tip | Neden önemli: Filo km maliyeti ve sağlık skorunu etkiler | Doğru kullanım: Panelvan/Kamyonet/Kamyon | Örnek: hücredeki örnek değere bakın | Risk: Yanlış giriş hatalı karar üretir</t>
      </text>
    </comment>
    <comment ref="D6" authorId="0" shapeId="0">
      <text>
        <t>Tanım: Yakıt Türü | Neden önemli: Filo km maliyeti ve sağlık skorunu etkiler | Doğru kullanım: Dizel/Benzin/LPG | Örnek: hücredeki örnek değere bakın | Risk: Yanlış giriş hatalı karar üretir</t>
      </text>
    </comment>
    <comment ref="E6" authorId="0" shapeId="0">
      <text>
        <t>Tanım: Tüketim Lt/100km | Neden önemli: Filo km maliyeti ve sağlık skorunu etkiler | Doğru kullanım: Lt/100 km | Örnek: hücredeki örnek değere bakın | Risk: Yanlış giriş hatalı karar üretir</t>
      </text>
    </comment>
    <comment ref="F6" authorId="0" shapeId="0">
      <text>
        <t>Tanım: Amortisman TL/km | Neden önemli: Filo km maliyeti ve sağlık skorunu etkiler | Doğru kullanım: TL/km | Örnek: hücredeki örnek değere bakın | Risk: Yanlış giriş hatalı karar üretir</t>
      </text>
    </comment>
    <comment ref="G6" authorId="0" shapeId="0">
      <text>
        <t>Tanım: Sigorta Yıllık | Neden önemli: Filo km maliyeti ve sağlık skorunu etkiler | Doğru kullanım: Yıllık sigorta TL | Örnek: hücredeki örnek değere bakın | Risk: Yanlış giriş hatalı karar üretir</t>
      </text>
    </comment>
    <comment ref="H6" authorId="0" shapeId="0">
      <text>
        <t>Tanım: Aktif | Neden önemli: Filo km maliyeti ve sağlık skorunu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Filo km maliyeti ve sağlık skorunu etkiler | Doğru kullanım: ARC-##### formatında | Örnek: hücredeki örnek değere bakın | Risk: Yanlış giriş hatalı karar üretir</t>
      </text>
    </comment>
    <comment ref="B7" authorId="0" shapeId="0">
      <text>
        <t>Tanım: Plaka / Ad | Neden önemli: Filo km maliyeti ve sağlık skorunu etkiler | Doğru kullanım: Araç adı veya plaka | Örnek: hücredeki örnek değere bakın | Risk: Yanlış giriş hatalı karar üretir</t>
      </text>
    </comment>
    <comment ref="C7" authorId="0" shapeId="0">
      <text>
        <t>Tanım: Tip | Neden önemli: Filo km maliyeti ve sağlık skorunu etkiler | Doğru kullanım: Panelvan/Kamyonet/Kamyon | Örnek: hücredeki örnek değere bakın | Risk: Yanlış giriş hatalı karar üretir</t>
      </text>
    </comment>
    <comment ref="D7" authorId="0" shapeId="0">
      <text>
        <t>Tanım: Yakıt Türü | Neden önemli: Filo km maliyeti ve sağlık skorunu etkiler | Doğru kullanım: Dizel/Benzin/LPG | Örnek: hücredeki örnek değere bakın | Risk: Yanlış giriş hatalı karar üretir</t>
      </text>
    </comment>
    <comment ref="E7" authorId="0" shapeId="0">
      <text>
        <t>Tanım: Tüketim Lt/100km | Neden önemli: Filo km maliyeti ve sağlık skorunu etkiler | Doğru kullanım: Lt/100 km | Örnek: hücredeki örnek değere bakın | Risk: Yanlış giriş hatalı karar üretir</t>
      </text>
    </comment>
    <comment ref="F7" authorId="0" shapeId="0">
      <text>
        <t>Tanım: Amortisman TL/km | Neden önemli: Filo km maliyeti ve sağlık skorunu etkiler | Doğru kullanım: TL/km | Örnek: hücredeki örnek değere bakın | Risk: Yanlış giriş hatalı karar üretir</t>
      </text>
    </comment>
    <comment ref="G7" authorId="0" shapeId="0">
      <text>
        <t>Tanım: Sigorta Yıllık | Neden önemli: Filo km maliyeti ve sağlık skorunu etkiler | Doğru kullanım: Yıllık sigorta TL | Örnek: hücredeki örnek değere bakın | Risk: Yanlış giriş hatalı karar üretir</t>
      </text>
    </comment>
    <comment ref="H7" authorId="0" shapeId="0">
      <text>
        <t>Tanım: Aktif | Neden önemli: Filo km maliyeti ve sağlık skorunu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Filo km maliyeti ve sağlık skorunu etkiler | Doğru kullanım: ARC-##### formatında | Örnek: hücredeki örnek değere bakın | Risk: Yanlış giriş hatalı karar üretir</t>
      </text>
    </comment>
    <comment ref="B8" authorId="0" shapeId="0">
      <text>
        <t>Tanım: Plaka / Ad | Neden önemli: Filo km maliyeti ve sağlık skorunu etkiler | Doğru kullanım: Araç adı veya plaka | Örnek: hücredeki örnek değere bakın | Risk: Yanlış giriş hatalı karar üretir</t>
      </text>
    </comment>
    <comment ref="C8" authorId="0" shapeId="0">
      <text>
        <t>Tanım: Tip | Neden önemli: Filo km maliyeti ve sağlık skorunu etkiler | Doğru kullanım: Panelvan/Kamyonet/Kamyon | Örnek: hücredeki örnek değere bakın | Risk: Yanlış giriş hatalı karar üretir</t>
      </text>
    </comment>
    <comment ref="D8" authorId="0" shapeId="0">
      <text>
        <t>Tanım: Yakıt Türü | Neden önemli: Filo km maliyeti ve sağlık skorunu etkiler | Doğru kullanım: Dizel/Benzin/LPG | Örnek: hücredeki örnek değere bakın | Risk: Yanlış giriş hatalı karar üretir</t>
      </text>
    </comment>
    <comment ref="E8" authorId="0" shapeId="0">
      <text>
        <t>Tanım: Tüketim Lt/100km | Neden önemli: Filo km maliyeti ve sağlık skorunu etkiler | Doğru kullanım: Lt/100 km | Örnek: hücredeki örnek değere bakın | Risk: Yanlış giriş hatalı karar üretir</t>
      </text>
    </comment>
    <comment ref="F8" authorId="0" shapeId="0">
      <text>
        <t>Tanım: Amortisman TL/km | Neden önemli: Filo km maliyeti ve sağlık skorunu etkiler | Doğru kullanım: TL/km | Örnek: hücredeki örnek değere bakın | Risk: Yanlış giriş hatalı karar üretir</t>
      </text>
    </comment>
    <comment ref="G8" authorId="0" shapeId="0">
      <text>
        <t>Tanım: Sigorta Yıllık | Neden önemli: Filo km maliyeti ve sağlık skorunu etkiler | Doğru kullanım: Yıllık sigorta TL | Örnek: hücredeki örnek değere bakın | Risk: Yanlış giriş hatalı karar üretir</t>
      </text>
    </comment>
    <comment ref="H8" authorId="0" shapeId="0">
      <text>
        <t>Tanım: Aktif | Neden önemli: Filo km maliyeti ve sağlık skorunu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Filo km maliyeti ve sağlık skorunu etkiler | Doğru kullanım: ARC-##### formatında | Örnek: hücredeki örnek değere bakın | Risk: Yanlış giriş hatalı karar üretir</t>
      </text>
    </comment>
    <comment ref="B9" authorId="0" shapeId="0">
      <text>
        <t>Tanım: Plaka / Ad | Neden önemli: Filo km maliyeti ve sağlık skorunu etkiler | Doğru kullanım: Araç adı veya plaka | Örnek: hücredeki örnek değere bakın | Risk: Yanlış giriş hatalı karar üretir</t>
      </text>
    </comment>
    <comment ref="C9" authorId="0" shapeId="0">
      <text>
        <t>Tanım: Tip | Neden önemli: Filo km maliyeti ve sağlık skorunu etkiler | Doğru kullanım: Panelvan/Kamyonet/Kamyon | Örnek: hücredeki örnek değere bakın | Risk: Yanlış giriş hatalı karar üretir</t>
      </text>
    </comment>
    <comment ref="D9" authorId="0" shapeId="0">
      <text>
        <t>Tanım: Yakıt Türü | Neden önemli: Filo km maliyeti ve sağlık skorunu etkiler | Doğru kullanım: Dizel/Benzin/LPG | Örnek: hücredeki örnek değere bakın | Risk: Yanlış giriş hatalı karar üretir</t>
      </text>
    </comment>
    <comment ref="E9" authorId="0" shapeId="0">
      <text>
        <t>Tanım: Tüketim Lt/100km | Neden önemli: Filo km maliyeti ve sağlık skorunu etkiler | Doğru kullanım: Lt/100 km | Örnek: hücredeki örnek değere bakın | Risk: Yanlış giriş hatalı karar üretir</t>
      </text>
    </comment>
    <comment ref="F9" authorId="0" shapeId="0">
      <text>
        <t>Tanım: Amortisman TL/km | Neden önemli: Filo km maliyeti ve sağlık skorunu etkiler | Doğru kullanım: TL/km | Örnek: hücredeki örnek değere bakın | Risk: Yanlış giriş hatalı karar üretir</t>
      </text>
    </comment>
    <comment ref="G9" authorId="0" shapeId="0">
      <text>
        <t>Tanım: Sigorta Yıllık | Neden önemli: Filo km maliyeti ve sağlık skorunu etkiler | Doğru kullanım: Yıllık sigorta TL | Örnek: hücredeki örnek değere bakın | Risk: Yanlış giriş hatalı karar üretir</t>
      </text>
    </comment>
    <comment ref="H9" authorId="0" shapeId="0">
      <text>
        <t>Tanım: Aktif | Neden önemli: Filo km maliyeti ve sağlık skorunu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Filo km maliyeti ve sağlık skorunu etkiler | Doğru kullanım: ARC-##### formatında | Örnek: hücredeki örnek değere bakın | Risk: Yanlış giriş hatalı karar üretir</t>
      </text>
    </comment>
    <comment ref="B10" authorId="0" shapeId="0">
      <text>
        <t>Tanım: Plaka / Ad | Neden önemli: Filo km maliyeti ve sağlık skorunu etkiler | Doğru kullanım: Araç adı veya plaka | Örnek: hücredeki örnek değere bakın | Risk: Yanlış giriş hatalı karar üretir</t>
      </text>
    </comment>
    <comment ref="C10" authorId="0" shapeId="0">
      <text>
        <t>Tanım: Tip | Neden önemli: Filo km maliyeti ve sağlık skorunu etkiler | Doğru kullanım: Panelvan/Kamyonet/Kamyon | Örnek: hücredeki örnek değere bakın | Risk: Yanlış giriş hatalı karar üretir</t>
      </text>
    </comment>
    <comment ref="D10" authorId="0" shapeId="0">
      <text>
        <t>Tanım: Yakıt Türü | Neden önemli: Filo km maliyeti ve sağlık skorunu etkiler | Doğru kullanım: Dizel/Benzin/LPG | Örnek: hücredeki örnek değere bakın | Risk: Yanlış giriş hatalı karar üretir</t>
      </text>
    </comment>
    <comment ref="E10" authorId="0" shapeId="0">
      <text>
        <t>Tanım: Tüketim Lt/100km | Neden önemli: Filo km maliyeti ve sağlık skorunu etkiler | Doğru kullanım: Lt/100 km | Örnek: hücredeki örnek değere bakın | Risk: Yanlış giriş hatalı karar üretir</t>
      </text>
    </comment>
    <comment ref="F10" authorId="0" shapeId="0">
      <text>
        <t>Tanım: Amortisman TL/km | Neden önemli: Filo km maliyeti ve sağlık skorunu etkiler | Doğru kullanım: TL/km | Örnek: hücredeki örnek değere bakın | Risk: Yanlış giriş hatalı karar üretir</t>
      </text>
    </comment>
    <comment ref="G10" authorId="0" shapeId="0">
      <text>
        <t>Tanım: Sigorta Yıllık | Neden önemli: Filo km maliyeti ve sağlık skorunu etkiler | Doğru kullanım: Yıllık sigorta TL | Örnek: hücredeki örnek değere bakın | Risk: Yanlış giriş hatalı karar üretir</t>
      </text>
    </comment>
    <comment ref="H10" authorId="0" shapeId="0">
      <text>
        <t>Tanım: Aktif | Neden önemli: Filo km maliyeti ve sağlık skorunu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Filo km maliyeti ve sağlık skorunu etkiler | Doğru kullanım: ARC-##### formatında | Örnek: hücredeki örnek değere bakın | Risk: Yanlış giriş hatalı karar üretir</t>
      </text>
    </comment>
    <comment ref="B11" authorId="0" shapeId="0">
      <text>
        <t>Tanım: Plaka / Ad | Neden önemli: Filo km maliyeti ve sağlık skorunu etkiler | Doğru kullanım: Araç adı veya plaka | Örnek: hücredeki örnek değere bakın | Risk: Yanlış giriş hatalı karar üretir</t>
      </text>
    </comment>
    <comment ref="C11" authorId="0" shapeId="0">
      <text>
        <t>Tanım: Tip | Neden önemli: Filo km maliyeti ve sağlık skorunu etkiler | Doğru kullanım: Panelvan/Kamyonet/Kamyon | Örnek: hücredeki örnek değere bakın | Risk: Yanlış giriş hatalı karar üretir</t>
      </text>
    </comment>
    <comment ref="D11" authorId="0" shapeId="0">
      <text>
        <t>Tanım: Yakıt Türü | Neden önemli: Filo km maliyeti ve sağlık skorunu etkiler | Doğru kullanım: Dizel/Benzin/LPG | Örnek: hücredeki örnek değere bakın | Risk: Yanlış giriş hatalı karar üretir</t>
      </text>
    </comment>
    <comment ref="E11" authorId="0" shapeId="0">
      <text>
        <t>Tanım: Tüketim Lt/100km | Neden önemli: Filo km maliyeti ve sağlık skorunu etkiler | Doğru kullanım: Lt/100 km | Örnek: hücredeki örnek değere bakın | Risk: Yanlış giriş hatalı karar üretir</t>
      </text>
    </comment>
    <comment ref="F11" authorId="0" shapeId="0">
      <text>
        <t>Tanım: Amortisman TL/km | Neden önemli: Filo km maliyeti ve sağlık skorunu etkiler | Doğru kullanım: TL/km | Örnek: hücredeki örnek değere bakın | Risk: Yanlış giriş hatalı karar üretir</t>
      </text>
    </comment>
    <comment ref="G11" authorId="0" shapeId="0">
      <text>
        <t>Tanım: Sigorta Yıllık | Neden önemli: Filo km maliyeti ve sağlık skorunu etkiler | Doğru kullanım: Yıllık sigorta TL | Örnek: hücredeki örnek değere bakın | Risk: Yanlış giriş hatalı karar üretir</t>
      </text>
    </comment>
    <comment ref="H11" authorId="0" shapeId="0">
      <text>
        <t>Tanım: Aktif | Neden önemli: Filo km maliyeti ve sağlık skorunu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Filo km maliyeti ve sağlık skorunu etkiler | Doğru kullanım: ARC-##### formatında | Örnek: hücredeki örnek değere bakın | Risk: Yanlış giriş hatalı karar üretir</t>
      </text>
    </comment>
    <comment ref="B12" authorId="0" shapeId="0">
      <text>
        <t>Tanım: Plaka / Ad | Neden önemli: Filo km maliyeti ve sağlık skorunu etkiler | Doğru kullanım: Araç adı veya plaka | Örnek: hücredeki örnek değere bakın | Risk: Yanlış giriş hatalı karar üretir</t>
      </text>
    </comment>
    <comment ref="C12" authorId="0" shapeId="0">
      <text>
        <t>Tanım: Tip | Neden önemli: Filo km maliyeti ve sağlık skorunu etkiler | Doğru kullanım: Panelvan/Kamyonet/Kamyon | Örnek: hücredeki örnek değere bakın | Risk: Yanlış giriş hatalı karar üretir</t>
      </text>
    </comment>
    <comment ref="D12" authorId="0" shapeId="0">
      <text>
        <t>Tanım: Yakıt Türü | Neden önemli: Filo km maliyeti ve sağlık skorunu etkiler | Doğru kullanım: Dizel/Benzin/LPG | Örnek: hücredeki örnek değere bakın | Risk: Yanlış giriş hatalı karar üretir</t>
      </text>
    </comment>
    <comment ref="E12" authorId="0" shapeId="0">
      <text>
        <t>Tanım: Tüketim Lt/100km | Neden önemli: Filo km maliyeti ve sağlık skorunu etkiler | Doğru kullanım: Lt/100 km | Örnek: hücredeki örnek değere bakın | Risk: Yanlış giriş hatalı karar üretir</t>
      </text>
    </comment>
    <comment ref="F12" authorId="0" shapeId="0">
      <text>
        <t>Tanım: Amortisman TL/km | Neden önemli: Filo km maliyeti ve sağlık skorunu etkiler | Doğru kullanım: TL/km | Örnek: hücredeki örnek değere bakın | Risk: Yanlış giriş hatalı karar üretir</t>
      </text>
    </comment>
    <comment ref="G12" authorId="0" shapeId="0">
      <text>
        <t>Tanım: Sigorta Yıllık | Neden önemli: Filo km maliyeti ve sağlık skorunu etkiler | Doğru kullanım: Yıllık sigorta TL | Örnek: hücredeki örnek değere bakın | Risk: Yanlış giriş hatalı karar üretir</t>
      </text>
    </comment>
    <comment ref="H12" authorId="0" shapeId="0">
      <text>
        <t>Tanım: Aktif | Neden önemli: Filo km maliyeti ve sağlık skorunu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Filo km maliyeti ve sağlık skorunu etkiler | Doğru kullanım: ARC-##### formatında | Örnek: hücredeki örnek değere bakın | Risk: Yanlış giriş hatalı karar üretir</t>
      </text>
    </comment>
    <comment ref="B13" authorId="0" shapeId="0">
      <text>
        <t>Tanım: Plaka / Ad | Neden önemli: Filo km maliyeti ve sağlık skorunu etkiler | Doğru kullanım: Araç adı veya plaka | Örnek: hücredeki örnek değere bakın | Risk: Yanlış giriş hatalı karar üretir</t>
      </text>
    </comment>
    <comment ref="C13" authorId="0" shapeId="0">
      <text>
        <t>Tanım: Tip | Neden önemli: Filo km maliyeti ve sağlık skorunu etkiler | Doğru kullanım: Panelvan/Kamyonet/Kamyon | Örnek: hücredeki örnek değere bakın | Risk: Yanlış giriş hatalı karar üretir</t>
      </text>
    </comment>
    <comment ref="D13" authorId="0" shapeId="0">
      <text>
        <t>Tanım: Yakıt Türü | Neden önemli: Filo km maliyeti ve sağlık skorunu etkiler | Doğru kullanım: Dizel/Benzin/LPG | Örnek: hücredeki örnek değere bakın | Risk: Yanlış giriş hatalı karar üretir</t>
      </text>
    </comment>
    <comment ref="E13" authorId="0" shapeId="0">
      <text>
        <t>Tanım: Tüketim Lt/100km | Neden önemli: Filo km maliyeti ve sağlık skorunu etkiler | Doğru kullanım: Lt/100 km | Örnek: hücredeki örnek değere bakın | Risk: Yanlış giriş hatalı karar üretir</t>
      </text>
    </comment>
    <comment ref="F13" authorId="0" shapeId="0">
      <text>
        <t>Tanım: Amortisman TL/km | Neden önemli: Filo km maliyeti ve sağlık skorunu etkiler | Doğru kullanım: TL/km | Örnek: hücredeki örnek değere bakın | Risk: Yanlış giriş hatalı karar üretir</t>
      </text>
    </comment>
    <comment ref="G13" authorId="0" shapeId="0">
      <text>
        <t>Tanım: Sigorta Yıllık | Neden önemli: Filo km maliyeti ve sağlık skorunu etkiler | Doğru kullanım: Yıllık sigorta TL | Örnek: hücredeki örnek değere bakın | Risk: Yanlış giriş hatalı karar üretir</t>
      </text>
    </comment>
    <comment ref="H13" authorId="0" shapeId="0">
      <text>
        <t>Tanım: Aktif | Neden önemli: Filo km maliyeti ve sağlık skorunu etkiler | Doğru kullanım: EVET veya HAYIR | Örnek: hücredeki örnek değere bakın | Risk: Yanlış giriş hatalı karar üretir</t>
      </text>
    </comment>
    <comment ref="A1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3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3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3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3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3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3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3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3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4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4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4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4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4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4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4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4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5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5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5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5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5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5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5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5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6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6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6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6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6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6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6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6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7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7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7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7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7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7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7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7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8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8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8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8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8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8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8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8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9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9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9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9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9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9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9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9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0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0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0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0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0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0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0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0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1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1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1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1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1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1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1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1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2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2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2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2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2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2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2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2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3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3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3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3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3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3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3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3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4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4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4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4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4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4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4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4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5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5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5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5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5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5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5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5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6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6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6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6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6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6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6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6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7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7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7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7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7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7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7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7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8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8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8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8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8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8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8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8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19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19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19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19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19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19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19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19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0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0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0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0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0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0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0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0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1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1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1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1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1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1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1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1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2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2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2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2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2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2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2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2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3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3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3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3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3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3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3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3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6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6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6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6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6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6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6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7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7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7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7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7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7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7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8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8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8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8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8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8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8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4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49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49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49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49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49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49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49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5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50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50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50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50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50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50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50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5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51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51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51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51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51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51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51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5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52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52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52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52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52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52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52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5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53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53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53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53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53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53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53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5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54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54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54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54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54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54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54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  <comment ref="A25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B255" authorId="0" shapeId="0">
      <text>
        <t>Tanım: PlakaAd | Neden önemli: Filo km maliyeti ve sağlık skorunu etkiler | Doğru kullanım: Manuel giriş | Örnek: hücredeki örnek değere bakın | Risk: Yanlış giriş hatalı karar üretir</t>
      </text>
    </comment>
    <comment ref="C255" authorId="0" shapeId="0">
      <text>
        <t>Tanım: Tip | Neden önemli: Filo km maliyeti ve sağlık skorunu etkiler | Doğru kullanım: Manuel giriş | Örnek: hücredeki örnek değere bakın | Risk: Yanlış giriş hatalı karar üretir</t>
      </text>
    </comment>
    <comment ref="D255" authorId="0" shapeId="0">
      <text>
        <t>Tanım: YakitTuru | Neden önemli: Filo km maliyeti ve sağlık skorunu etkiler | Doğru kullanım: Manuel giriş | Örnek: hücredeki örnek değere bakın | Risk: Yanlış giriş hatalı karar üretir</t>
      </text>
    </comment>
    <comment ref="E255" authorId="0" shapeId="0">
      <text>
        <t>Tanım: TuketimLt100km | Neden önemli: Filo km maliyeti ve sağlık skorunu etkiler | Doğru kullanım: Manuel giriş | Örnek: hücredeki örnek değere bakın | Risk: Yanlış giriş hatalı karar üretir</t>
      </text>
    </comment>
    <comment ref="F255" authorId="0" shapeId="0">
      <text>
        <t>Tanım: AmortismanTlKm | Neden önemli: Filo km maliyeti ve sağlık skorunu etkiler | Doğru kullanım: Manuel giriş | Örnek: hücredeki örnek değere bakın | Risk: Yanlış giriş hatalı karar üretir</t>
      </text>
    </comment>
    <comment ref="G255" authorId="0" shapeId="0">
      <text>
        <t>Tanım: SigortaYillikTl | Neden önemli: Filo km maliyeti ve sağlık skorunu etkiler | Doğru kullanım: Manuel giriş | Örnek: hücredeki örnek değere bakın | Risk: Yanlış giriş hatalı karar üretir</t>
      </text>
    </comment>
    <comment ref="H255" authorId="0" shapeId="0">
      <text>
        <t>Tanım: Aktif | Neden önemli: Filo km maliyeti ve sağlık skorunu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6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6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6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6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6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6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7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7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7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7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7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7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7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8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8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8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8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8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8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8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9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9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9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9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9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9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9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0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0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0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0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0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0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0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1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1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1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1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1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1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1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2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2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2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2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2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2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2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3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3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3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3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3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3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3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4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4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4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4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4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4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4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5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5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5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5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5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5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5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6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6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6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6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6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6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6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7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7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7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7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7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7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7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8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8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8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8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8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8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8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19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19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19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19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19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19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19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0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0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0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0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0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0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0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1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1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1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1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1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1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1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2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2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2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2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2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2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2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3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3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3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3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3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3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3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4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4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4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4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4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4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4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5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5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5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5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5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5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5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6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6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6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6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6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6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6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7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7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7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7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7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7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7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8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8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8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8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8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8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8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29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29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29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29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29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29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29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0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0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0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0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0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0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0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1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1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1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1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1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1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1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2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2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2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2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2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2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2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3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3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3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3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3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3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3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4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4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4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4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4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4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4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5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5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5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5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5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5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5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6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6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6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6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6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6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6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7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7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7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7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7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7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7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8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8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8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8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8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8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8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39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39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39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39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39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39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39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40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40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40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40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40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40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40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41" authorId="0" shapeId="0">
      <text>
        <t>Tanım: Günlük Kimlik | Neden önemli: Filo km maliyeti ve sağlık skorunu etkiler | Doğru kullanım: GLG-##### | Örnek: hücredeki örnek değere bakın | Risk: Yanlış giriş hatalı karar üretir</t>
      </text>
    </comment>
    <comment ref="B41" authorId="0" shapeId="0">
      <text>
        <t>Tanım: Varlık Kimliği | Neden önemli: Filo km maliyeti ve sağlık skorunu etkiler | Doğru kullanım: ARC listesinden | Örnek: hücredeki örnek değere bakın | Risk: Yanlış giriş hatalı karar üretir</t>
      </text>
    </comment>
    <comment ref="C41" authorId="0" shapeId="0">
      <text>
        <t>Tanım: Tarih | Neden önemli: Filo km maliyeti ve sağlık skorunu etkiler | Doğru kullanım: GG.AA.YYYY | Örnek: hücredeki örnek değere bakın | Risk: Yanlış giriş hatalı karar üretir</t>
      </text>
    </comment>
    <comment ref="D41" authorId="0" shapeId="0">
      <text>
        <t>Tanım: Km [km] | Neden önemli: Filo km maliyeti ve sağlık skorunu etkiler | Doğru kullanım: Günlük km | Örnek: hücredeki örnek değere bakın | Risk: Yanlış giriş hatalı karar üretir</t>
      </text>
    </comment>
    <comment ref="E41" authorId="0" shapeId="0">
      <text>
        <t>Tanım: Yakıt [lt] | Neden önemli: Filo km maliyeti ve sağlık skorunu etkiler | Doğru kullanım: Litre | Örnek: hücredeki örnek değere bakın | Risk: Yanlış giriş hatalı karar üretir</t>
      </text>
    </comment>
    <comment ref="F41" authorId="0" shapeId="0">
      <text>
        <t>Tanım: Bakım [TL] | Neden önemli: Filo km maliyeti ve sağlık skorunu etkiler | Doğru kullanım: Bakım tutarı TL | Örnek: hücredeki örnek değere bakın | Risk: Yanlış giriş hatalı karar üretir</t>
      </text>
    </comment>
    <comment ref="G41" authorId="0" shapeId="0">
      <text>
        <t>Tanım: Olay Türü | Neden önemli: Filo km maliyeti ve sağlık skorunu etkiler | Doğru kullanım: Listeden seçin | Örnek: hücredeki örnek değere bakın | Risk: Yanlış giriş hatalı karar üretir</t>
      </text>
    </comment>
    <comment ref="A4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4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4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4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4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4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4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4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4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4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4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4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4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4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4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4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4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4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4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4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4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4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4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4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4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4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4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4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4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4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4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4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4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4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4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4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4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4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4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4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4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4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4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4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4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4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4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4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4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4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4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4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4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4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4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4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5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5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5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5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5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5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5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6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6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6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6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6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6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6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7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7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7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7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7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7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7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8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8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8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8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8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8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8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9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9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9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9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9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9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9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0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0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0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0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0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0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0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1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1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1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1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1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1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1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2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2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2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2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2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2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2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3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3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3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3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3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3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3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4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4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4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4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4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4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4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5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5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5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5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5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5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5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6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6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6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6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6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6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6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7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7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7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7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7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7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7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8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8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8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8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8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8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8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19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19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19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19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19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19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19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0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0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0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0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0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0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0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1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1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1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1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1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1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1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2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2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2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2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2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2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2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3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3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3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3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3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3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3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6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6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6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6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6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6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6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7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7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7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7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7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7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7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8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8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8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8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8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8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8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49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49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49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49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49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49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49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50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50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50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50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50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50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50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51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51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51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51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51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51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51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52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52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52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52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52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52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52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53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53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53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53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53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53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53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54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54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54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54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54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54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54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  <comment ref="A255" authorId="0" shapeId="0">
      <text>
        <t>Tanım: SatirId | Neden önemli: Filo km maliyeti ve sağlık skorunu etkiler | Doğru kullanım: Manuel giriş | Örnek: hücredeki örnek değere bakın | Risk: Yanlış giriş hatalı karar üretir</t>
      </text>
    </comment>
    <comment ref="B255" authorId="0" shapeId="0">
      <text>
        <t>Tanım: VarlikId | Neden önemli: Filo km maliyeti ve sağlık skorunu etkiler | Doğru kullanım: Manuel giriş | Örnek: hücredeki örnek değere bakın | Risk: Yanlış giriş hatalı karar üretir</t>
      </text>
    </comment>
    <comment ref="C255" authorId="0" shapeId="0">
      <text>
        <t>Tanım: Tarih | Neden önemli: Filo km maliyeti ve sağlık skorunu etkiler | Doğru kullanım: Manuel giriş | Örnek: hücredeki örnek değere bakın | Risk: Yanlış giriş hatalı karar üretir</t>
      </text>
    </comment>
    <comment ref="D255" authorId="0" shapeId="0">
      <text>
        <t>Tanım: Km_km | Neden önemli: Filo km maliyeti ve sağlık skorunu etkiler | Doğru kullanım: Manuel giriş | Örnek: hücredeki örnek değere bakın | Risk: Yanlış giriş hatalı karar üretir</t>
      </text>
    </comment>
    <comment ref="E255" authorId="0" shapeId="0">
      <text>
        <t>Tanım: YakitLt_lt | Neden önemli: Filo km maliyeti ve sağlık skorunu etkiler | Doğru kullanım: Manuel giriş | Örnek: hücredeki örnek değere bakın | Risk: Yanlış giriş hatalı karar üretir</t>
      </text>
    </comment>
    <comment ref="F255" authorId="0" shapeId="0">
      <text>
        <t>Tanım: BakimTl_tl | Neden önemli: Filo km maliyeti ve sağlık skorunu etkiler | Doğru kullanım: Manuel giriş | Örnek: hücredeki örnek değere bakın | Risk: Yanlış giriş hatalı karar üretir</t>
      </text>
    </comment>
    <comment ref="G255" authorId="0" shapeId="0">
      <text>
        <t>Tanım: OlayTuru | Neden önemli: Filo km maliyeti ve sağlık skorunu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Filo km maliyeti ve sağlık skorunu etkiler | Doğru kullanım: EVET/HAYIR | Örnek: hücredeki örnek değere bakın | Risk: Yanlış giriş hatalı karar üretir</t>
      </text>
    </comment>
    <comment ref="C7" authorId="0" shapeId="0">
      <text>
        <t>Tanım: Olay | Neden önemli: Filo km maliyeti ve sağlık skorunu etkiler | Doğru kullanım: Olay türü | Örnek: hücredeki örnek değere bakın | Risk: Yanlış giriş hatalı karar üretir</t>
      </text>
    </comment>
    <comment ref="E7" authorId="0" shapeId="0">
      <text>
        <t>Tanım: Tip | Neden önemli: Filo km maliyeti ve sağlık skorunu etkiler | Doğru kullanım: Araç tipi | Örnek: hücredeki örnek değere bakın | Risk: Yanlış giriş hatalı karar üretir</t>
      </text>
    </comment>
    <comment ref="A8" authorId="0" shapeId="0">
      <text>
        <t>Tanım: Seçim | Neden önemli: Filo km maliyeti ve sağlık skorunu etkiler | Doğru kullanım: EVET/HAYIR | Örnek: hücredeki örnek değere bakın | Risk: Yanlış giriş hatalı karar üretir</t>
      </text>
    </comment>
    <comment ref="C8" authorId="0" shapeId="0">
      <text>
        <t>Tanım: Olay | Neden önemli: Filo km maliyeti ve sağlık skorunu etkiler | Doğru kullanım: Olay türü | Örnek: hücredeki örnek değere bakın | Risk: Yanlış giriş hatalı karar üretir</t>
      </text>
    </comment>
    <comment ref="E8" authorId="0" shapeId="0">
      <text>
        <t>Tanım: Tip | Neden önemli: Filo km maliyeti ve sağlık skorunu etkiler | Doğru kullanım: Araç tipi | Örnek: hücredeki örnek değere bakın | Risk: Yanlış giriş hatalı karar üretir</t>
      </text>
    </comment>
    <comment ref="C9" authorId="0" shapeId="0">
      <text>
        <t>Tanım: Olay | Neden önemli: Filo km maliyeti ve sağlık skorunu etkiler | Doğru kullanım: Olay türü | Örnek: hücredeki örnek değere bakın | Risk: Yanlış giriş hatalı karar üretir</t>
      </text>
    </comment>
    <comment ref="E9" authorId="0" shapeId="0">
      <text>
        <t>Tanım: Tip | Neden önemli: Filo km maliyeti ve sağlık skorunu etkiler | Doğru kullanım: Araç tipi | Örnek: hücredeki örnek değere bakın | Risk: Yanlış giriş hatalı karar üretir</t>
      </text>
    </comment>
    <comment ref="C10" authorId="0" shapeId="0">
      <text>
        <t>Tanım: Olay | Neden önemli: Filo km maliyeti ve sağlık skorunu etkiler | Doğru kullanım: Olay türü | Örnek: hücredeki örnek değere bakın | Risk: Yanlış giriş hatalı karar üretir</t>
      </text>
    </comment>
    <comment ref="C11" authorId="0" shapeId="0">
      <text>
        <t>Tanım: Olay | Neden önemli: Filo km maliyeti ve sağlık skorunu etkiler | Doğru kullanım: Olay türü | Örnek: hücredeki örnek değere bakın | Risk: Yanlış giriş hatalı karar üretir</t>
      </text>
    </comment>
    <comment ref="C12" authorId="0" shapeId="0">
      <text>
        <t>Tanım: Olay | Neden önemli: Filo km maliyeti ve sağlık skorunu etkiler | Doğru kullanım: Olay türü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Filo km maliyeti ve sağlık skorunu etkiler | Doğru kullanım: Rapor tarihi (TODAY yok) | Örnek: hücredeki örnek değere bakın | Risk: Yanlış giriş hatalı karar üretir</t>
      </text>
    </comment>
    <comment ref="B7" authorId="0" shapeId="0">
      <text>
        <t>Tanım: fam_yakitBirimFiyat | Neden önemli: Filo km maliyeti ve sağlık skorunu etkiler | Doğru kullanım: Yakıt birim fiyatı TL/lt | Örnek: hücredeki örnek değere bakın | Risk: Yanlış giriş hatalı karar üretir</t>
      </text>
    </comment>
    <comment ref="B8" authorId="0" shapeId="0">
      <text>
        <t>Tanım: fam_amortismanTlKm | Neden önemli: Filo km maliyeti ve sağlık skorunu etkiler | Doğru kullanım: Varsayılan amortisman TL/km | Örnek: hücredeki örnek değere bakın | Risk: Yanlış giriş hatalı karar üretir</t>
      </text>
    </comment>
    <comment ref="B9" authorId="0" shapeId="0">
      <text>
        <t>Tanım: fam_sigortaYillik | Neden önemli: Filo km maliyeti ve sağlık skorunu etkiler | Doğru kullanım: Varsayılan yıllık sigorta | Örnek: hücredeki örnek değere bakın | Risk: Yanlış giriş hatalı karar üretir</t>
      </text>
    </comment>
    <comment ref="B10" authorId="0" shapeId="0">
      <text>
        <t>Tanım: fam_sigortaGunPay | Neden önemli: Filo km maliyeti ve sağlık skorunu etkiler | Doğru kullanım: Sigorta gün çarpanı | Örnek: hücredeki örnek değere bakın | Risk: Yanlış giriş hatalı karar üretir</t>
      </text>
    </comment>
    <comment ref="B11" authorId="0" shapeId="0">
      <text>
        <t>Tanım: fam_esikKmBasi | Neden önemli: Filo km maliyeti ve sağlık skorunu etkiler | Doğru kullanım: Km başı maliyet alarm eşiği | Örnek: hücredeki örnek değere bakın | Risk: Yanlış giriş hatalı karar üretir</t>
      </text>
    </comment>
    <comment ref="B12" authorId="0" shapeId="0">
      <text>
        <t>Tanım: fam_esikBakimTl | Neden önemli: Filo km maliyeti ve sağlık skorunu etkiler | Doğru kullanım: Tek sefer bakım alarm eşiği | Örnek: hücredeki örnek değere bakın | Risk: Yanlış giriş hatalı karar üretir</t>
      </text>
    </comment>
    <comment ref="B13" authorId="0" shapeId="0">
      <text>
        <t>Tanım: fam_esikSaglik | Neden önemli: Filo km maliyeti ve sağlık skorunu etkiler | Doğru kullanım: Sağlık skor alt eşiği | Örnek: hücredeki örnek değere bakın | Risk: Yanlış giriş hatalı karar üretir</t>
      </text>
    </comment>
    <comment ref="B14" authorId="0" shapeId="0">
      <text>
        <t>Tanım: fam_aylikCarpan | Neden önemli: Filo km maliyeti ve sağlık skorunu etkiler | Doğru kullanım: Aylık maliyet çarpan | Örnek: hücredeki örnek değere bakın | Risk: Yanlış giriş hatalı karar üretir</t>
      </text>
    </comment>
    <comment ref="B15" authorId="0" shapeId="0">
      <text>
        <t>Tanım: fam_senaryoTemkinli | Neden önemli: Filo km maliyeti ve sağlık skorunu etkiler | Doğru kullanım: Temkinli çarpan | Örnek: hücredeki örnek değere bakın | Risk: Yanlış giriş hatalı karar üretir</t>
      </text>
    </comment>
    <comment ref="B16" authorId="0" shapeId="0">
      <text>
        <t>Tanım: fam_senaryoBaz | Neden önemli: Filo km maliyeti ve sağlık skorunu etkiler | Doğru kullanım: Baz çarpan | Örnek: hücredeki örnek değere bakın | Risk: Yanlış giriş hatalı karar üretir</t>
      </text>
    </comment>
    <comment ref="B17" authorId="0" shapeId="0">
      <text>
        <t>Tanım: fam_senaryoIyimser | Neden önemli: Filo km maliyeti ve sağlık skorunu etkiler | Doğru kullanım: İyimser çarpan | Örnek: hücredeki örnek değere bakın | Risk: Yanlış giriş hatalı karar üretir</t>
      </text>
    </comment>
    <comment ref="B18" authorId="0" shapeId="0">
      <text>
        <t>Tanım: fam_tornadoOran | Neden önemli: Filo km maliyeti ve sağlık skorunu etkiler | Doğru kullanım: Tornado etki oranı | Örnek: hücredeki örnek değere bakın | Risk: Yanlış giriş hatalı karar üretir</t>
      </text>
    </comment>
    <comment ref="B19" authorId="0" shapeId="0">
      <text>
        <t>Tanım: fam_yuzdelikOran | Neden önemli: Filo km maliyeti ve sağlık skorunu etkiler | Doğru kullanım: P90 çarpan proxy | Örnek: hücredeki örnek değere bakın | Risk: Yanlış giriş hatalı karar üretir</t>
      </text>
    </comment>
    <comment ref="B20" authorId="0" shapeId="0">
      <text>
        <t>Tanım: fam_percentileOran | Neden önemli: Filo km maliyeti ve sağlık skorunu etkiler | Doğru kullanım: Yüzdelik dilim | Örnek: hücredeki örnek değere bakın | Risk: Yanlış giriş hatalı karar üretir</t>
      </text>
    </comment>
    <comment ref="B21" authorId="0" shapeId="0">
      <text>
        <t>Tanım: fam_tahminCarpan | Neden önemli: Filo km maliyeti ve sağlık skorunu etkiler | Doğru kullanım: Tahmin aralık çarpan | Örnek: hücredeki örnek değere bakın | Risk: Yanlış giriş hatalı karar üretir</t>
      </text>
    </comment>
    <comment ref="B22" authorId="0" shapeId="0">
      <text>
        <t>Tanım: fam_olcekHedef | Neden önemli: Filo km maliyeti ve sağlık skorunu etkiler | Doğru kullanım: Ölçek sözleşmesi | Örnek: hücredeki örnek değere bakın | Risk: Yanlış giriş hatalı karar üretir</t>
      </text>
    </comment>
    <comment ref="B23" authorId="0" shapeId="0">
      <text>
        <t>Tanım: fam_kaliteTaban | Neden önemli: Filo km maliyeti ve sağlık skorunu etkiler | Doğru kullanım: Taban puan | Örnek: hücredeki örnek değere bakın | Risk: Yanlış giriş hatalı karar üretir</t>
      </text>
    </comment>
    <comment ref="B24" authorId="0" shapeId="0">
      <text>
        <t>Tanım: fam_kaliteCeza | Neden önemli: Filo km maliyeti ve sağlık skorunu etkiler | Doğru kullanım: Eşik aşım cezası | Örnek: hücredeki örnek değere bakın | Risk: Yanlış giriş hatalı karar üretir</t>
      </text>
    </comment>
    <comment ref="B25" authorId="0" shapeId="0">
      <text>
        <t>Tanım: fam_kaliteSapma | Neden önemli: Filo km maliyeti ve sağlık skorunu etkiler | Doğru kullanım: Sapma / alarm cezası | Örnek: hücredeki örnek değere bakın | Risk: Yanlış giriş hatalı karar üretir</t>
      </text>
    </comment>
    <comment ref="B26" authorId="0" shapeId="0">
      <text>
        <t>Tanım: fam_dosyaSurumu | Neden önemli: Filo km maliyeti ve sağlık skorunu etkiler | Doğru kullanım: Ürün sürümü | Örnek: hücredeki örnek değere bakın | Risk: Yanlış giriş hatalı karar üretir</t>
      </text>
    </comment>
    <comment ref="B27" authorId="0" shapeId="0">
      <text>
        <t>Tanım: fam_firmaUnvan | Neden önemli: Filo km maliyeti ve sağlık skorunu etkiler | Doğru kullanım: Firma unvanı | Örnek: hücredeki örnek değere bakın | Risk: Yanlış giriş hatalı karar üretir</t>
      </text>
    </comment>
    <comment ref="B28" authorId="0" shapeId="0">
      <text>
        <t>Tanım: fam_alarmEsikMetin | Neden önemli: Filo km maliyeti ve sağlık skorunu etkiler | Doğru kullanım: Alarm eşiği tanımı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arliklar" displayName="tblVarliklar" ref="A5:L255" headerRowCount="1">
  <tableColumns count="12">
    <tableColumn id="1" name="VarlikId"/>
    <tableColumn id="2" name="PlakaAd"/>
    <tableColumn id="3" name="Tip"/>
    <tableColumn id="4" name="YakitTuru"/>
    <tableColumn id="5" name="TuketimLt100km"/>
    <tableColumn id="6" name="AmortismanTlKm"/>
    <tableColumn id="7" name="SigortaYillikTl"/>
    <tableColumn id="8" name="Aktif"/>
    <tableColumn id="9" name="ToplamKm">
      <calculatedColumnFormula>IF(tblVarliklar[[#This Row],[VarlikId]]="","",SUMIF(tblGunluk[VarlikId],tblVarliklar[[#This Row],[VarlikId]],tblGunluk[Km_km]))</calculatedColumnFormula>
    </tableColumn>
    <tableColumn id="10" name="ToplamMaliyet">
      <calculatedColumnFormula>IF(tblVarliklar[[#This Row],[VarlikId]]="","",SUMIF(tblGunluk[VarlikId],tblVarliklar[[#This Row],[VarlikId]],tblGunluk[FormulToplamTl]))</calculatedColumnFormula>
    </tableColumn>
    <tableColumn id="11" name="OrtKmBasi">
      <calculatedColumnFormula>IF(tblVarliklar[[#This Row],[VarlikId]]="","",IFERROR(SUMIF(tblGunluk[VarlikId],tblVarliklar[[#This Row],[VarlikId]],tblGunluk[FormulToplamTl])/SUMIF(tblGunluk[VarlikId],tblVarliklar[[#This Row],[VarlikId]],tblGunluk[Km_km]),0))</calculatedColumnFormula>
    </tableColumn>
    <tableColumn id="12" name="SaglikSkor">
      <calculatedColumnFormula>IF(tblVarliklar[[#This Row],[VarlikId]]="","",MAX(0,MIN(100,fam_kaliteTaban-IF(tblVarliklar[[#This Row],[OrtKmBasi]]&gt;fam_esikKmBasi,fam_kaliteCeza,0)-COUNTIFS(tblGunluk[VarlikId],tblVarliklar[[#This Row],[VarlikId]],tblGunluk[AlarmBayrak],"ALARM")*fam_kaliteSapma-IF(tblVarliklar[[#This Row],[Aktif]]="HAYIR",fam_kaliteCeza,0))))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unluk" displayName="tblGunluk" ref="A5:P255" headerRowCount="1">
  <tableColumns count="16">
    <tableColumn id="1" name="SatirId"/>
    <tableColumn id="2" name="VarlikId"/>
    <tableColumn id="3" name="Tarih"/>
    <tableColumn id="4" name="Km_km"/>
    <tableColumn id="5" name="YakitLt_lt"/>
    <tableColumn id="6" name="BakimTl_tl"/>
    <tableColumn id="7" name="OlayTuru"/>
    <tableColumn id="8" name="FormulYakitTl">
      <calculatedColumnFormula>IF(tblGunluk[[#This Row],[SatirId]]="","",tblGunluk[[#This Row],[YakitLt_lt]]*fam_yakitBirimFiyat)</calculatedColumnFormula>
    </tableColumn>
    <tableColumn id="9" name="FormulAmortTl">
      <calculatedColumnFormula>IF(tblGunluk[[#This Row],[SatirId]]="","",tblGunluk[[#This Row],[Km_km]]*IFERROR(SUMIF(tblVarliklar[VarlikId],tblGunluk[[#This Row],[VarlikId]],tblVarliklar[AmortismanTlKm]),fam_amortismanTlKm))</calculatedColumnFormula>
    </tableColumn>
    <tableColumn id="10" name="FormulSigortaTl">
      <calculatedColumnFormula>IF(tblGunluk[[#This Row],[SatirId]]="","",IFERROR(SUMIF(tblVarliklar[VarlikId],tblGunluk[[#This Row],[VarlikId]],tblVarliklar[SigortaYillikTl]),fam_sigortaYillik)/365*fam_sigortaGunPay)</calculatedColumnFormula>
    </tableColumn>
    <tableColumn id="11" name="FormulToplamTl">
      <calculatedColumnFormula>IF(tblGunluk[[#This Row],[SatirId]]="","",tblGunluk[[#This Row],[FormulYakitTl]]+tblGunluk[[#This Row],[BakimTl_tl]]+tblGunluk[[#This Row],[FormulAmortTl]]+tblGunluk[[#This Row],[FormulSigortaTl]])</calculatedColumnFormula>
    </tableColumn>
    <tableColumn id="12" name="FormulKmBasi">
      <calculatedColumnFormula>IF(OR(tblGunluk[[#This Row],[SatirId]]="",tblGunluk[[#This Row],[Km_km]]=0),"",tblGunluk[[#This Row],[FormulToplamTl]]/tblGunluk[[#This Row],[Km_km]])</calculatedColumnFormula>
    </tableColumn>
    <tableColumn id="13" name="SaglikSkorSatir">
      <calculatedColumnFormula>IF(tblGunluk[[#This Row],[SatirId]]="","",MAX(0,MIN(100,fam_kaliteTaban-IF(tblGunluk[[#This Row],[FormulKmBasi]]&gt;fam_esikKmBasi,fam_kaliteCeza,0)-IF(tblGunluk[[#This Row],[BakimTl_tl]]&gt;fam_esikBakimTl,fam_kaliteSapma,0)-IF(tblGunluk[[#This Row],[FormulYetim]]="YETIM",fam_kaliteCeza,0))))</calculatedColumnFormula>
    </tableColumn>
    <tableColumn id="14" name="AlarmBayrak">
      <calculatedColumnFormula>IF(tblGunluk[[#This Row],[SatirId]]="","",IF(OR(tblGunluk[[#This Row],[FormulKmBasi]]&gt;fam_esikKmBasi,tblGunluk[[#This Row],[BakimTl_tl]]&gt;fam_esikBakimTl,tblGunluk[[#This Row],[SaglikSkorSatir]]&lt;fam_esikSaglik),"ALARM","UYGUN"))</calculatedColumnFormula>
    </tableColumn>
    <tableColumn id="15" name="FormulKayitDolu">
      <calculatedColumnFormula>IF(tblGunluk[[#This Row],[SatirId]]="","",1)</calculatedColumnFormula>
    </tableColumn>
    <tableColumn id="16" name="FormulYetim">
      <calculatedColumnFormula>IF(tblGunluk[[#This Row],[SatirId]]="","",IF(OR(tblGunluk[[#This Row],[VarlikId]]="",COUNTIF(tblVarliklar[VarlikId],tblGunluk[[#This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41" t="inlineStr">
        <is>
          <t>EXCELARŞİV KARAR SİSTEMİ v15.1 — ÜRETİM REFERANSI</t>
        </is>
      </c>
    </row>
    <row r="3" ht="24" customHeight="1">
      <c r="A3" s="142" t="inlineStr">
        <is>
          <t>Konu</t>
        </is>
      </c>
      <c r="B3" s="142" t="inlineStr">
        <is>
          <t>Bağlayıcı Standart</t>
        </is>
      </c>
    </row>
    <row r="4">
      <c r="A4" s="143" t="inlineStr">
        <is>
          <t>Amaç</t>
        </is>
      </c>
      <c r="B4" s="144" t="inlineStr">
        <is>
          <t>Kanıta dayalı, hatada kapalı çalışan Excel üretim ve denetim sistemi</t>
        </is>
      </c>
    </row>
    <row r="5">
      <c r="A5" s="143" t="inlineStr">
        <is>
          <t>Öncelik</t>
        </is>
      </c>
      <c r="B5" s="144" t="inlineStr">
        <is>
          <t>Kullanıcının açık iş talebi ve gerçek kullanım senaryosu</t>
        </is>
      </c>
    </row>
    <row r="6">
      <c r="A6" s="143" t="inlineStr">
        <is>
          <t>Ana akış</t>
        </is>
      </c>
      <c r="B6" s="144" t="inlineStr">
        <is>
          <t>Uygunluk → Yönetişim → Sözleşmeler → Üretim → Test → Kanıt → Kullanıcı Kabulü → Yayın</t>
        </is>
      </c>
    </row>
    <row r="7">
      <c r="A7" s="143" t="inlineStr">
        <is>
          <t>Yayın ilkesi</t>
        </is>
      </c>
      <c r="B7" s="144" t="inlineStr">
        <is>
          <t>Üst aşamada hata varsa alt aşama GEÇTİ üretilemez</t>
        </is>
      </c>
    </row>
    <row r="8">
      <c r="A8" s="143" t="inlineStr">
        <is>
          <t>Kullanıcı kabulü</t>
        </is>
      </c>
      <c r="B8" s="144" t="inlineStr">
        <is>
          <t>Excel masaüstü görünümü test edilmediyse DIŞ_KABUL_GEREKLİ</t>
        </is>
      </c>
    </row>
    <row r="9">
      <c r="A9" s="143" t="inlineStr">
        <is>
          <t>Nihai yayın</t>
        </is>
      </c>
      <c r="B9" s="144" t="inlineStr">
        <is>
          <t>Yalnız uygulanabilir modüller GEÇTİ veya gerekçeli UYGULANMAZ</t>
        </is>
      </c>
    </row>
    <row r="10">
      <c r="A10" s="143" t="inlineStr">
        <is>
          <t>Ticari ayrım</t>
        </is>
      </c>
      <c r="B10" s="144" t="inlineStr">
        <is>
          <t>Ekonomik olarak savunulabilir fiyat, gerçek pazar kabulü ile aynı değildir</t>
        </is>
      </c>
    </row>
    <row r="11">
      <c r="A11" s="143" t="inlineStr">
        <is>
          <t>Karmaşıklık</t>
        </is>
      </c>
      <c r="B11" s="144" t="inlineStr">
        <is>
          <t>Karar değeri, eklenen karmaşıklığın maliyetinden büyük olmalıdır</t>
        </is>
      </c>
    </row>
    <row r="12">
      <c r="A12" s="143" t="inlineStr">
        <is>
          <t>Excel sınırı</t>
        </is>
      </c>
      <c r="B12" s="144" t="inlineStr">
        <is>
          <t>Veritabanı, kurumsal yetkilendirme, değiştirilemez kayıt sistemi veya gerçek zamanlı olay platformu değildir</t>
        </is>
      </c>
    </row>
    <row r="13">
      <c r="A13" s="143" t="inlineStr">
        <is>
          <t>Dil standardı</t>
        </is>
      </c>
      <c r="B13" s="144" t="inlineStr">
        <is>
          <t>Kullanıcıya görünen tüm sayfa, tablo, başlık, açıklama, uyarı ve karar metinleri saf Türkçe olmalıdır</t>
        </is>
      </c>
    </row>
    <row r="14">
      <c r="A14" s="143" t="inlineStr">
        <is>
          <t>Muhasebe standardı</t>
        </is>
      </c>
      <c r="B14" s="144" t="inlineStr">
        <is>
          <t>Finansal ürünlerde Türkiye Tekdüzen Hesap Planı ve Türk muhasebe kullanım alışkanlıkları esas alınır</t>
        </is>
      </c>
    </row>
    <row r="15">
      <c r="A15" s="143" t="inlineStr">
        <is>
          <t>Görsel standart</t>
        </is>
      </c>
      <c r="B15" s="144" t="inlineStr">
        <is>
          <t>Her sayfa başlıklı, renk kodlu, sıkı kolon düzenli ve premium kurumsal görünümde olmalıdır</t>
        </is>
      </c>
    </row>
    <row r="16">
      <c r="A16" s="143" t="inlineStr">
        <is>
          <t>Grafik standardı</t>
        </is>
      </c>
      <c r="B16" s="144" t="inlineStr">
        <is>
          <t>Grafikler karar üretmeli; dekoratif, 3B, anlamsız renkli veya varsayılan Excel grafiği kullanılamaz</t>
        </is>
      </c>
    </row>
    <row r="17">
      <c r="A17" s="143" t="inlineStr">
        <is>
          <t>Hata standardı</t>
        </is>
      </c>
      <c r="B17" s="144" t="inlineStr">
        <is>
          <t>#AD? / #BAŞV! / #DEĞER! / #SAYI/0! / #YOK gibi hatalar GEÇTİ sonucuyla birlikte bulunamaz</t>
        </is>
      </c>
    </row>
    <row r="18">
      <c r="A18" s="143" t="inlineStr">
        <is>
          <t>Karar standardı</t>
        </is>
      </c>
      <c r="B18" s="144" t="inlineStr">
        <is>
          <t>Her kritik çıktı: ne oldu, neden oldu, parasal etki, ne yapılmalı, ne zamana kadar sorularını cevaplar</t>
        </is>
      </c>
    </row>
    <row r="19">
      <c r="A19" s="143" t="inlineStr">
        <is>
          <t>Satış standardı</t>
        </is>
      </c>
      <c r="B19" s="144" t="inlineStr">
        <is>
          <t>Ürün 5 saniyede anlaşılmalı; pahalı problemi, ekonomik sonucu, kanıtı ve satın alma gerekçesini göstermelidir</t>
        </is>
      </c>
    </row>
    <row r="20">
      <c r="A20" s="143" t="inlineStr">
        <is>
          <t>Güven standardı</t>
        </is>
      </c>
      <c r="B20" s="144" t="inlineStr">
        <is>
          <t>Kanıtsız 'premium', 'kusursuz', 'sıfır hata' veya yüksek fiyat iddiası kullanılamaz</t>
        </is>
      </c>
    </row>
    <row r="21">
      <c r="A21" s="143" t="inlineStr">
        <is>
          <t>Kaynak</t>
        </is>
      </c>
      <c r="B21" s="144" t="inlineStr">
        <is>
          <t>Teknik Python çekirdeği 99_TEKNIK_KAYNAK sayfasında saklanır; kullanıcı arayüzü değildir</t>
        </is>
      </c>
    </row>
    <row r="22">
      <c r="A22" s="143" t="inlineStr">
        <is>
          <t>Bağlayıcı standart</t>
        </is>
      </c>
      <c r="B22" s="144" t="inlineStr">
        <is>
          <t>Teknik kaynak içindeki üretim sözleşmesi + bu çalışma kitabındaki Türkçe operasyon standartları</t>
        </is>
      </c>
    </row>
    <row r="23">
      <c r="A23" s="143" t="inlineStr">
        <is>
          <t>Çıktı disiplini</t>
        </is>
      </c>
      <c r="B23" s="144" t="inlineStr">
        <is>
          <t>Kanıtsız GEÇTİ / NİHAİ / TİCARİ / PAZAR_DOĞRULANDI statüsü yasaktır</t>
        </is>
      </c>
    </row>
    <row r="24">
      <c r="A24" s="143" t="inlineStr">
        <is>
          <t>Uyarlanabilirlik</t>
        </is>
      </c>
      <c r="B24" s="144" t="inlineStr">
        <is>
          <t>Gereksiz modül yalnız prestij amacıyla eklenmez</t>
        </is>
      </c>
    </row>
    <row r="26" ht="16" customHeight="1">
      <c r="A26" s="145" t="inlineStr">
        <is>
          <t>TEK KAYNAK MİMARİSİ</t>
        </is>
      </c>
      <c r="B26" s="145" t="inlineStr">
        <is>
          <t>İKİ DOSYALI / TEK SİSTEM</t>
        </is>
      </c>
    </row>
    <row r="27" ht="28" customHeight="1">
      <c r="A27" s="144" t="inlineStr">
        <is>
          <t>MASTER Excel</t>
        </is>
      </c>
      <c r="B27" s="144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4" t="inlineStr">
        <is>
          <t>Runtime Python</t>
        </is>
      </c>
      <c r="B28" s="144" t="inlineStr">
        <is>
          <t>EXCELARSIV_DECISION_OS_V15_1_RUNTIME_KERNEL.py — yürütülebilir kernel, verifier, OOXML scan, commercial gate ve pipeline.</t>
        </is>
      </c>
    </row>
    <row r="29">
      <c r="A29" s="144" t="inlineStr">
        <is>
          <t>Python SHA-256</t>
        </is>
      </c>
      <c r="B29" s="144" t="inlineStr">
        <is>
          <t>babe066ab599199123e53d01944bcd9d75648a579ade69ab9303dd675962f481</t>
        </is>
      </c>
    </row>
    <row r="30">
      <c r="A30" s="144" t="inlineStr">
        <is>
          <t>Sürüm Eşleşmesi</t>
        </is>
      </c>
      <c r="B30" s="144" t="inlineStr">
        <is>
          <t>Her iki dosya v15.1 sistemine aittir. Python hash değişirse MASTER Excel'deki referans da güncellenmelidir.</t>
        </is>
      </c>
    </row>
    <row r="31" ht="28" customHeight="1">
      <c r="A31" s="144" t="inlineStr">
        <is>
          <t>Sahte PASS Yasağı</t>
        </is>
      </c>
      <c r="B31" s="144" t="inlineStr">
        <is>
          <t>Kanıt yoksa PASS yok; hata=FAIL, ölçülemiyorsa=BLOCKED, Excel GUI gerekiyorsa=HARİCİ KABUL GEREKLİ.</t>
        </is>
      </c>
    </row>
    <row r="32">
      <c r="A32" s="144" t="inlineStr">
        <is>
          <t>Dil</t>
        </is>
      </c>
      <c r="B32" s="144" t="inlineStr">
        <is>
          <t>Kullanıcı yüzeyi safkan Türkçe; teknik kavramların Türkçe karşılığı ana terimdir.</t>
        </is>
      </c>
    </row>
    <row r="33">
      <c r="A33" s="144" t="inlineStr">
        <is>
          <t>Muhasebe</t>
        </is>
      </c>
      <c r="B33" s="144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44" t="inlineStr">
        <is>
          <t>☰ PANO</t>
        </is>
      </c>
    </row>
    <row r="2">
      <c r="B2" s="64" t="inlineStr">
        <is>
          <t>FILO ARAÇ MALIYET KOMUTASI</t>
        </is>
      </c>
      <c r="L2" s="65" t="inlineStr">
        <is>
          <t>Dönem: 2026 / Tam ▼</t>
        </is>
      </c>
      <c r="M2" s="66" t="inlineStr">
        <is>
          <t>★ DOĞRULANMIŞ</t>
        </is>
      </c>
    </row>
    <row r="3">
      <c r="B3" s="67" t="inlineStr">
        <is>
          <t>Hedef Kullanıcı: Filo yöneticisi, lojistik operasyon, saha şofi koordinatörü, CFO · 2026 Q3 Denetim Standardı</t>
        </is>
      </c>
    </row>
    <row r="5">
      <c r="B5" s="68" t="inlineStr">
        <is>
          <t>GÜNLÜK KM ORTALAMASI</t>
        </is>
      </c>
      <c r="C5" s="69" t="n"/>
      <c r="D5" s="70" t="inlineStr">
        <is>
          <t>KONSOLİDE</t>
        </is>
      </c>
      <c r="E5" s="71" t="inlineStr">
        <is>
          <t>AYLIK MALIYET TREND</t>
        </is>
      </c>
      <c r="F5" s="69" t="n"/>
      <c r="G5" s="72" t="inlineStr">
        <is>
          <t>KONTROL</t>
        </is>
      </c>
      <c r="H5" s="68" t="inlineStr">
        <is>
          <t>NET OPERASYONEL MARJ</t>
        </is>
      </c>
      <c r="I5" s="69" t="n"/>
      <c r="J5" s="73" t="inlineStr">
        <is>
          <t>GÜVENLİ</t>
        </is>
      </c>
      <c r="K5" s="74" t="inlineStr">
        <is>
          <t>SİSTEM GÜVEN SKORU</t>
        </is>
      </c>
      <c r="L5" s="69" t="n"/>
      <c r="M5" s="70" t="inlineStr">
        <is>
          <t>DENETLENDİ</t>
        </is>
      </c>
    </row>
    <row r="6">
      <c r="B6" s="75" t="n"/>
      <c r="C6" s="69" t="n"/>
      <c r="D6" s="69" t="n"/>
      <c r="E6" s="76" t="n"/>
      <c r="F6" s="69" t="n"/>
      <c r="G6" s="69" t="n"/>
      <c r="H6" s="75" t="n"/>
      <c r="I6" s="69" t="n"/>
      <c r="J6" s="69" t="n"/>
      <c r="K6" s="77" t="n"/>
      <c r="L6" s="69" t="n"/>
      <c r="M6" s="69" t="n"/>
    </row>
    <row r="7">
      <c r="B7" s="165">
        <f>GİRDİLER!E17</f>
        <v/>
      </c>
      <c r="C7" s="69" t="n"/>
      <c r="D7" s="69" t="n"/>
      <c r="E7" s="166">
        <f>B7*0.22</f>
        <v/>
      </c>
      <c r="F7" s="69" t="n"/>
      <c r="G7" s="69" t="n"/>
      <c r="H7" s="165">
        <f>B7-E7</f>
        <v/>
      </c>
      <c r="I7" s="69" t="n"/>
      <c r="J7" s="69" t="n"/>
      <c r="K7" s="80">
        <f>EĞER(E7&gt;0; YUVARLA(B7/E7; 2); 0)</f>
        <v/>
      </c>
      <c r="L7" s="69" t="n"/>
      <c r="M7" s="69" t="n"/>
    </row>
    <row r="8">
      <c r="B8" s="75" t="n"/>
      <c r="C8" s="69" t="n"/>
      <c r="D8" s="69" t="n"/>
      <c r="E8" s="76" t="n"/>
      <c r="F8" s="69" t="n"/>
      <c r="G8" s="69" t="n"/>
      <c r="H8" s="75" t="n"/>
      <c r="I8" s="69" t="n"/>
      <c r="J8" s="69" t="n"/>
      <c r="K8" s="77" t="n"/>
      <c r="L8" s="69" t="n"/>
      <c r="M8" s="69" t="n"/>
    </row>
    <row r="9">
      <c r="B9" s="81" t="inlineStr">
        <is>
          <t>↑ %14.2 konsolide canlı veri bağlantısı</t>
        </is>
      </c>
      <c r="C9" s="69" t="n"/>
      <c r="D9" s="69" t="n"/>
      <c r="E9" s="82" t="inlineStr">
        <is>
          <t>● 8 Kalem nakit karşılığı: bloke</t>
        </is>
      </c>
      <c r="F9" s="69" t="n"/>
      <c r="G9" s="69" t="n"/>
      <c r="H9" s="81" t="inlineStr">
        <is>
          <t>██████████░░░░░ %78.0 NET MARJ</t>
        </is>
      </c>
      <c r="I9" s="69" t="n"/>
      <c r="J9" s="69" t="n"/>
      <c r="K9" s="83" t="inlineStr">
        <is>
          <t>✓ İDEAL karşılama rasyosu</t>
        </is>
      </c>
      <c r="L9" s="69" t="n"/>
      <c r="M9" s="69" t="n"/>
    </row>
    <row r="11">
      <c r="B11" s="58" t="inlineStr">
        <is>
          <t>FILO ARAÇ MALIYET KOMUTASI — DÖNEMSEL İCRA VE PROJEKSİYON</t>
        </is>
      </c>
      <c r="F11" s="84" t="inlineStr">
        <is>
          <t>+%32 Verim</t>
        </is>
      </c>
      <c r="H11" s="58" t="inlineStr">
        <is>
          <t>KONSOLİDE OPERASYON VE KARAR MATRİSİ</t>
        </is>
      </c>
    </row>
    <row r="12">
      <c r="B12" s="57" t="inlineStr">
        <is>
          <t>Kümülatif Hacim vs. Operasyonel Maliyet ve Net Kâr Eğilimi</t>
        </is>
      </c>
      <c r="H12" s="57" t="inlineStr">
        <is>
          <t>Anlık Hesaplama Sonuçları, Dinamik Formül Çıktıları ve Durum Puanlaması</t>
        </is>
      </c>
    </row>
    <row r="14">
      <c r="B14" s="85" t="inlineStr">
        <is>
          <t>Dönem</t>
        </is>
      </c>
      <c r="C14" s="85" t="inlineStr">
        <is>
          <t>Aktif Hacim</t>
        </is>
      </c>
      <c r="D14" s="85" t="inlineStr">
        <is>
          <t>Maliyet/Yük</t>
        </is>
      </c>
      <c r="E14" s="85" t="inlineStr">
        <is>
          <t>Hedef</t>
        </is>
      </c>
      <c r="H14" s="86" t="inlineStr">
        <is>
          <t>PARAMETRE / KALEM</t>
        </is>
      </c>
      <c r="I14" s="86" t="inlineStr">
        <is>
          <t>ANA TUTAR</t>
        </is>
      </c>
      <c r="J14" s="86" t="inlineStr">
        <is>
          <t>FARK / MARJ</t>
        </is>
      </c>
      <c r="K14" s="86" t="inlineStr">
        <is>
          <t>VADE</t>
        </is>
      </c>
      <c r="L14" s="86" t="inlineStr">
        <is>
          <t>KONTROL DURUMU</t>
        </is>
      </c>
    </row>
    <row r="15">
      <c r="B15" s="57" t="inlineStr">
        <is>
          <t>D1</t>
        </is>
      </c>
      <c r="C15" s="57" t="n">
        <v>65</v>
      </c>
      <c r="D15" s="57" t="n">
        <v>45</v>
      </c>
      <c r="E15" s="57" t="n">
        <v>60</v>
      </c>
      <c r="H15" s="87" t="inlineStr">
        <is>
          <t>Dönemlik Kümülatif Bakiye</t>
        </is>
      </c>
      <c r="I15" s="167">
        <f>B7*0.45</f>
        <v/>
      </c>
      <c r="J15" s="168">
        <f>B7*0.05</f>
        <v/>
      </c>
      <c r="K15" s="89" t="inlineStr">
        <is>
          <t>12 Ay</t>
        </is>
      </c>
      <c r="L15" s="73" t="inlineStr">
        <is>
          <t>✓ DÜZENLİ</t>
        </is>
      </c>
    </row>
    <row r="16">
      <c r="B16" s="57" t="inlineStr">
        <is>
          <t>D2</t>
        </is>
      </c>
      <c r="C16" s="57" t="n">
        <v>78</v>
      </c>
      <c r="D16" s="57" t="n">
        <v>48</v>
      </c>
      <c r="E16" s="57" t="n">
        <v>70</v>
      </c>
      <c r="H16" s="87" t="inlineStr">
        <is>
          <t>Kritik Eşik Güvenlik Tamponu</t>
        </is>
      </c>
      <c r="I16" s="167">
        <f>B7*0.30</f>
        <v/>
      </c>
      <c r="J16" s="168">
        <f>B7*0.03</f>
        <v/>
      </c>
      <c r="K16" s="89" t="inlineStr">
        <is>
          <t>24 Ay</t>
        </is>
      </c>
      <c r="L16" s="70" t="inlineStr">
        <is>
          <t>★ AVANTAJ</t>
        </is>
      </c>
    </row>
    <row r="17">
      <c r="B17" s="57" t="inlineStr">
        <is>
          <t>D3</t>
        </is>
      </c>
      <c r="C17" s="57" t="n">
        <v>85</v>
      </c>
      <c r="D17" s="57" t="n">
        <v>55</v>
      </c>
      <c r="E17" s="57" t="n">
        <v>80</v>
      </c>
      <c r="H17" s="87" t="inlineStr">
        <is>
          <t>Operasyonel Net Fark</t>
        </is>
      </c>
      <c r="I17" s="167">
        <f>B7*0.15</f>
        <v/>
      </c>
      <c r="J17" s="168">
        <f>B7*0.02</f>
        <v/>
      </c>
      <c r="K17" s="89" t="inlineStr">
        <is>
          <t>8 Ay</t>
        </is>
      </c>
      <c r="L17" s="90" t="inlineStr">
        <is>
          <t>● YAKLAŞAN</t>
        </is>
      </c>
    </row>
    <row r="18">
      <c r="B18" s="57" t="inlineStr">
        <is>
          <t>D4</t>
        </is>
      </c>
      <c r="C18" s="57" t="n">
        <v>75</v>
      </c>
      <c r="D18" s="57" t="n">
        <v>42</v>
      </c>
      <c r="E18" s="57" t="n">
        <v>75</v>
      </c>
      <c r="H18" s="87" t="inlineStr">
        <is>
          <t>Rezerv ve Likit Dağılım</t>
        </is>
      </c>
      <c r="I18" s="167">
        <f>B7*0.10</f>
        <v/>
      </c>
      <c r="J18" s="168">
        <f>B7*0.01</f>
        <v/>
      </c>
      <c r="K18" s="89" t="inlineStr">
        <is>
          <t>16 Ay</t>
        </is>
      </c>
      <c r="L18" s="73" t="inlineStr">
        <is>
          <t>✓ TAM UYUM</t>
        </is>
      </c>
    </row>
    <row r="19">
      <c r="B19" s="57" t="inlineStr">
        <is>
          <t>D5</t>
        </is>
      </c>
      <c r="C19" s="57" t="n">
        <v>90</v>
      </c>
      <c r="D19" s="57" t="n">
        <v>40</v>
      </c>
      <c r="E19" s="57" t="n">
        <v>85</v>
      </c>
      <c r="H19" s="91" t="inlineStr">
        <is>
          <t>KONSOLİDE SİSTEM TOPLAMI</t>
        </is>
      </c>
      <c r="I19" s="169">
        <f>TOPLA(I15:I18)</f>
        <v/>
      </c>
      <c r="J19" s="170">
        <f>TOPLA(J15:J18)</f>
        <v/>
      </c>
      <c r="K19" s="94" t="inlineStr"/>
      <c r="L19" s="95" t="inlineStr">
        <is>
          <t>TAM DOĞRULANDI (0 HATA)</t>
        </is>
      </c>
    </row>
    <row r="20">
      <c r="B20" s="57" t="inlineStr">
        <is>
          <t>D6</t>
        </is>
      </c>
      <c r="C20" s="57" t="n">
        <v>96</v>
      </c>
      <c r="D20" s="57" t="n">
        <v>32</v>
      </c>
      <c r="E20" s="57" t="n">
        <v>92</v>
      </c>
    </row>
    <row r="22">
      <c r="B22" s="96" t="inlineStr">
        <is>
          <t>KONSOLİDE PAY VE AĞIRLIK</t>
        </is>
      </c>
      <c r="F22" s="96" t="inlineStr">
        <is>
          <t>LİKİDİTE RİSKİ &amp; ERKEN UYARI SİNYALLERİ</t>
        </is>
      </c>
      <c r="K22" s="97" t="inlineStr">
        <is>
          <t>KARAR MOTORU</t>
        </is>
      </c>
      <c r="L22" s="98" t="n"/>
      <c r="M22" s="98" t="n"/>
    </row>
    <row r="23">
      <c r="B23" s="42" t="inlineStr">
        <is>
          <t>■ Ana Segment (%42)</t>
        </is>
      </c>
      <c r="F23" s="57" t="inlineStr">
        <is>
          <t>Nakit Açığı Riski (30 Gün)</t>
        </is>
      </c>
      <c r="I23" s="99" t="inlineStr">
        <is>
          <t>0.00 TL (Sıfır Risk)</t>
        </is>
      </c>
      <c r="K23" s="100" t="inlineStr">
        <is>
          <t>STRATEJİK VERİMLİLİK FIRSATI</t>
        </is>
      </c>
      <c r="L23" s="98" t="n"/>
      <c r="M23" s="98" t="n"/>
    </row>
    <row r="24">
      <c r="B24" s="43" t="inlineStr">
        <is>
          <t>■ İkincil Grup (%30)</t>
        </is>
      </c>
      <c r="F24" s="57" t="inlineStr">
        <is>
          <t>Tahsilat Gecikme Toleransı</t>
        </is>
      </c>
      <c r="I24" s="99" t="inlineStr">
        <is>
          <t>48 Gün Güvenli Eşik</t>
        </is>
      </c>
      <c r="K24" s="101" t="inlineStr">
        <is>
          <t>Operasyonel süreç optimizasyonu ile kârlılık artış potansiyeli tespit edildi.</t>
        </is>
      </c>
    </row>
    <row r="25">
      <c r="B25" s="102" t="inlineStr">
        <is>
          <t>■ Destek Birimi (%15)</t>
        </is>
      </c>
      <c r="F25" s="42" t="inlineStr">
        <is>
          <t>██████████████████████████████████████ Güvenli Bölge (%100)</t>
        </is>
      </c>
    </row>
    <row r="26">
      <c r="B26" s="103" t="inlineStr">
        <is>
          <t>■ Rezervler (%13)</t>
        </is>
      </c>
      <c r="F26" s="104" t="inlineStr">
        <is>
          <t>✓ 90 GÜNLÜK PROJEKSİYONDA NAKİT SIKIŞIKLIĞI TESPİT EDİLMEDİ</t>
        </is>
      </c>
      <c r="K26" s="105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44" t="inlineStr">
        <is>
          <t>☰ PANO</t>
        </is>
      </c>
    </row>
    <row r="3">
      <c r="B3" s="106" t="inlineStr">
        <is>
          <t>🔍  FILO ARAÇ MALIYET KOMUTASI — Kayıt veya hesap ara...</t>
        </is>
      </c>
      <c r="G3" s="107" t="inlineStr">
        <is>
          <t>TOPLAM: 1.450 KAYIT</t>
        </is>
      </c>
      <c r="I3" s="108" t="inlineStr">
        <is>
          <t>HATALI HÜCRE: 0 ADET</t>
        </is>
      </c>
    </row>
    <row r="5">
      <c r="B5" s="109" t="inlineStr">
        <is>
          <t>TARİH</t>
        </is>
      </c>
      <c r="C5" s="109" t="inlineStr">
        <is>
          <t>REFERANS NO</t>
        </is>
      </c>
      <c r="D5" s="109" t="inlineStr">
        <is>
          <t>İŞLEM AÇIKLAMASI VE DETAY</t>
        </is>
      </c>
      <c r="E5" s="109" t="inlineStr">
        <is>
          <t>BRÜT TUTAR (₺)</t>
        </is>
      </c>
      <c r="F5" s="109" t="inlineStr">
        <is>
          <t>KDV ORANI</t>
        </is>
      </c>
      <c r="G5" s="109" t="inlineStr">
        <is>
          <t>NET TUTAR (₺)</t>
        </is>
      </c>
      <c r="H5" s="109" t="inlineStr">
        <is>
          <t>HESAP / CARİ</t>
        </is>
      </c>
      <c r="I5" s="109" t="inlineStr">
        <is>
          <t>DURUM</t>
        </is>
      </c>
    </row>
    <row r="6">
      <c r="B6" s="110" t="inlineStr">
        <is>
          <t>12.10.2026</t>
        </is>
      </c>
      <c r="C6" s="111" t="inlineStr">
        <is>
          <t>TR-0428-A</t>
        </is>
      </c>
      <c r="D6" s="112" t="inlineStr">
        <is>
          <t>Operasyonel ana kalem tahmini</t>
        </is>
      </c>
      <c r="E6" s="171" t="n">
        <v>845200</v>
      </c>
      <c r="F6" s="114" t="n">
        <v>0.2</v>
      </c>
      <c r="G6" s="115">
        <f>E6/(1+F6)</f>
        <v/>
      </c>
      <c r="H6" s="112" t="inlineStr">
        <is>
          <t>Vadesiz Ticari</t>
        </is>
      </c>
      <c r="I6" s="116" t="inlineStr">
        <is>
          <t>ONAYLANDI</t>
        </is>
      </c>
    </row>
    <row r="7">
      <c r="B7" s="117" t="inlineStr">
        <is>
          <t>14.10.2026</t>
        </is>
      </c>
      <c r="C7" s="118" t="inlineStr">
        <is>
          <t>TR-0429-B</t>
        </is>
      </c>
      <c r="D7" s="119" t="inlineStr">
        <is>
          <t>Operasyonel çıkış/maliyet tahmini</t>
        </is>
      </c>
      <c r="E7" s="171" t="n">
        <v>1240000</v>
      </c>
      <c r="F7" s="121" t="n">
        <v>0.2</v>
      </c>
      <c r="G7" s="122">
        <f>E7/(1+F7)</f>
        <v/>
      </c>
      <c r="H7" s="119" t="inlineStr">
        <is>
          <t>Tedarikçi Havuzu</t>
        </is>
      </c>
      <c r="I7" s="123" t="inlineStr">
        <is>
          <t>BEKLEMEDE</t>
        </is>
      </c>
    </row>
    <row r="8">
      <c r="B8" s="110" t="inlineStr">
        <is>
          <t>18.10.2026</t>
        </is>
      </c>
      <c r="C8" s="111" t="inlineStr">
        <is>
          <t>TR-0430-C</t>
        </is>
      </c>
      <c r="D8" s="112" t="inlineStr">
        <is>
          <t>Ödeme takvimi tahakkuku</t>
        </is>
      </c>
      <c r="E8" s="171" t="n">
        <v>620500</v>
      </c>
      <c r="F8" s="114" t="n">
        <v>0.1</v>
      </c>
      <c r="G8" s="115">
        <f>E8/(1+F8)</f>
        <v/>
      </c>
      <c r="H8" s="112" t="inlineStr">
        <is>
          <t>Kısa Vade Tahakkuk</t>
        </is>
      </c>
      <c r="I8" s="116" t="inlineStr">
        <is>
          <t>ONAYLANDI</t>
        </is>
      </c>
    </row>
    <row r="9">
      <c r="B9" s="117" t="inlineStr">
        <is>
          <t>21.10.2026</t>
        </is>
      </c>
      <c r="C9" s="118" t="inlineStr">
        <is>
          <t>TR-0431-D</t>
        </is>
      </c>
      <c r="D9" s="119" t="inlineStr">
        <is>
          <t>Müşteri işlem tahmini</t>
        </is>
      </c>
      <c r="E9" s="171" t="n">
        <v>415000</v>
      </c>
      <c r="F9" s="121" t="n">
        <v>0.2</v>
      </c>
      <c r="G9" s="122">
        <f>E9/(1+F9)</f>
        <v/>
      </c>
      <c r="H9" s="119" t="inlineStr">
        <is>
          <t>Müşteri Alacağı</t>
        </is>
      </c>
      <c r="I9" s="124" t="inlineStr">
        <is>
          <t>ONAYLANDI</t>
        </is>
      </c>
    </row>
    <row r="10">
      <c r="B10" s="110" t="inlineStr">
        <is>
          <t>25.10.2026</t>
        </is>
      </c>
      <c r="C10" s="111" t="inlineStr">
        <is>
          <t>TR-0432-E</t>
        </is>
      </c>
      <c r="D10" s="112" t="inlineStr">
        <is>
          <t>Ana operasyon tahmini</t>
        </is>
      </c>
      <c r="E10" s="171" t="n">
        <v>980400</v>
      </c>
      <c r="F10" s="114" t="n">
        <v>0.2</v>
      </c>
      <c r="G10" s="115">
        <f>E10/(1+F10)</f>
        <v/>
      </c>
      <c r="H10" s="112" t="inlineStr">
        <is>
          <t>Vadesiz Ticari</t>
        </is>
      </c>
      <c r="I10" s="116" t="inlineStr">
        <is>
          <t>ONAYLANDI</t>
        </is>
      </c>
    </row>
    <row r="11">
      <c r="B11" s="117" t="inlineStr">
        <is>
          <t>28.10.2026</t>
        </is>
      </c>
      <c r="C11" s="118" t="inlineStr">
        <is>
          <t>TR-0433-F</t>
        </is>
      </c>
      <c r="D11" s="119" t="inlineStr">
        <is>
          <t>Kredi/taksit karşılığı</t>
        </is>
      </c>
      <c r="E11" s="171" t="n">
        <v>1850000</v>
      </c>
      <c r="F11" s="121" t="n">
        <v>0.2</v>
      </c>
      <c r="G11" s="122">
        <f>E11/(1+F11)</f>
        <v/>
      </c>
      <c r="H11" s="119" t="inlineStr">
        <is>
          <t>Finansman Havuzu</t>
        </is>
      </c>
      <c r="I11" s="125" t="inlineStr">
        <is>
          <t>BLOKE</t>
        </is>
      </c>
    </row>
    <row r="12">
      <c r="B12" s="110" t="inlineStr">
        <is>
          <t>02.11.2026</t>
        </is>
      </c>
      <c r="C12" s="111" t="inlineStr">
        <is>
          <t>TR-0434-G</t>
        </is>
      </c>
      <c r="D12" s="112" t="inlineStr">
        <is>
          <t>Sabit gider ve yönetim notları</t>
        </is>
      </c>
      <c r="E12" s="171" t="n">
        <v>740000</v>
      </c>
      <c r="F12" s="114" t="n">
        <v>0.2</v>
      </c>
      <c r="G12" s="115">
        <f>E12/(1+F12)</f>
        <v/>
      </c>
      <c r="H12" s="112" t="inlineStr">
        <is>
          <t>Genel Yönetim</t>
        </is>
      </c>
      <c r="I12" s="116" t="inlineStr">
        <is>
          <t>ONAYLANDI</t>
        </is>
      </c>
    </row>
    <row r="13">
      <c r="B13" s="117" t="inlineStr">
        <is>
          <t>05.11.2026</t>
        </is>
      </c>
      <c r="C13" s="118" t="inlineStr">
        <is>
          <t>TR-0435-H</t>
        </is>
      </c>
      <c r="D13" s="119" t="inlineStr">
        <is>
          <t>Operasyonel ana kalem tahmini</t>
        </is>
      </c>
      <c r="E13" s="171" t="n">
        <v>520800</v>
      </c>
      <c r="F13" s="121" t="n">
        <v>0.2</v>
      </c>
      <c r="G13" s="122">
        <f>E13/(1+F13)</f>
        <v/>
      </c>
      <c r="H13" s="119" t="inlineStr">
        <is>
          <t>Vadesiz Ticari</t>
        </is>
      </c>
      <c r="I13" s="124" t="inlineStr">
        <is>
          <t>ONAYLANDI</t>
        </is>
      </c>
    </row>
    <row r="14">
      <c r="B14" s="110" t="inlineStr">
        <is>
          <t>09.11.2026</t>
        </is>
      </c>
      <c r="C14" s="111" t="inlineStr">
        <is>
          <t>TR-0436-I</t>
        </is>
      </c>
      <c r="D14" s="112" t="inlineStr">
        <is>
          <t>Müşteri işlem tahmini</t>
        </is>
      </c>
      <c r="E14" s="171" t="n">
        <v>1120000</v>
      </c>
      <c r="F14" s="114" t="n">
        <v>0.2</v>
      </c>
      <c r="G14" s="115">
        <f>E14/(1+F14)</f>
        <v/>
      </c>
      <c r="H14" s="112" t="inlineStr">
        <is>
          <t>Müşteri Alacağı</t>
        </is>
      </c>
      <c r="I14" s="116" t="inlineStr">
        <is>
          <t>ONAYLANDI</t>
        </is>
      </c>
    </row>
    <row r="15">
      <c r="B15" s="117" t="inlineStr">
        <is>
          <t>12.11.2026</t>
        </is>
      </c>
      <c r="C15" s="118" t="inlineStr">
        <is>
          <t>TR-0437-J</t>
        </is>
      </c>
      <c r="D15" s="119" t="inlineStr">
        <is>
          <t>Operasyonel çıkış tahmini</t>
        </is>
      </c>
      <c r="E15" s="171" t="n">
        <v>890000</v>
      </c>
      <c r="F15" s="121" t="n">
        <v>0.2</v>
      </c>
      <c r="G15" s="122">
        <f>E15/(1+F15)</f>
        <v/>
      </c>
      <c r="H15" s="119" t="inlineStr">
        <is>
          <t>Tedarikçi Havuzu</t>
        </is>
      </c>
      <c r="I15" s="124" t="inlineStr">
        <is>
          <t>ONAYLANDI</t>
        </is>
      </c>
    </row>
    <row r="17">
      <c r="B17" s="126" t="inlineStr">
        <is>
          <t>SAYFA TOPLAMI (10 / 1.450 KAYIT)</t>
        </is>
      </c>
      <c r="C17" s="94" t="n"/>
      <c r="D17" s="94" t="n"/>
      <c r="E17" s="127">
        <f>TOPLA(E6:E15)</f>
        <v/>
      </c>
      <c r="F17" s="94" t="n"/>
      <c r="G17" s="94" t="n"/>
      <c r="H17" s="94" t="n"/>
      <c r="I17" s="94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44" t="inlineStr">
        <is>
          <t>☰ PANO</t>
        </is>
      </c>
    </row>
    <row r="2">
      <c r="B2" s="128" t="inlineStr">
        <is>
          <t>FILO ARAÇ MALIYET KOMUTASI — NİHAİ KARAR VE DEĞERLEME</t>
        </is>
      </c>
    </row>
    <row r="3">
      <c r="B3" s="129" t="inlineStr">
        <is>
          <t>Yönetim Kurulu ve İcra Komitesi için Otomatik Finansal Stres Testi Raporu · Filo yöneticisi, lojistik operasyon, saha şofi koordinatörü, CFO</t>
        </is>
      </c>
    </row>
    <row r="4">
      <c r="B4" s="130" t="inlineStr">
        <is>
          <t>DÖNEM: 2026 Q3 · DENETİM PROTOKOLÜ: ISO/VUK/IFRS UYUMLU · DURUM: ONAYLANDI</t>
        </is>
      </c>
    </row>
    <row r="6">
      <c r="B6" s="131" t="inlineStr">
        <is>
          <t>SENARYO A: KÖTÜMSER (STRES TESTİ -%20)</t>
        </is>
      </c>
      <c r="C6" s="69" t="n"/>
      <c r="D6" s="69" t="n"/>
      <c r="E6" s="69" t="n"/>
      <c r="F6" s="69" t="n"/>
      <c r="H6" s="132" t="inlineStr">
        <is>
          <t>SENARYO B: BAZ MODEL (HEDEFLENEN)</t>
        </is>
      </c>
      <c r="I6" s="69" t="n"/>
      <c r="J6" s="69" t="n"/>
      <c r="K6" s="69" t="n"/>
      <c r="L6" s="69" t="n"/>
    </row>
    <row r="7">
      <c r="B7" s="69" t="n"/>
      <c r="C7" s="69" t="n"/>
      <c r="D7" s="69" t="n"/>
      <c r="E7" s="69" t="n"/>
      <c r="F7" s="69" t="n"/>
      <c r="H7" s="69" t="n"/>
      <c r="I7" s="69" t="n"/>
      <c r="J7" s="69" t="n"/>
      <c r="K7" s="69" t="n"/>
      <c r="L7" s="69" t="n"/>
    </row>
    <row r="8">
      <c r="B8" s="133" t="inlineStr">
        <is>
          <t>Ciro / Hacim Düşüşü:</t>
        </is>
      </c>
      <c r="C8" s="69" t="n"/>
      <c r="D8" s="69" t="n"/>
      <c r="E8" s="134" t="inlineStr">
        <is>
          <t>-%20.0 (Kriz Eşiği)</t>
        </is>
      </c>
      <c r="F8" s="69" t="n"/>
      <c r="H8" s="133" t="inlineStr">
        <is>
          <t>Ciro / Hacim Gerçekleşmesi:</t>
        </is>
      </c>
      <c r="I8" s="69" t="n"/>
      <c r="J8" s="69" t="n"/>
      <c r="K8" s="135" t="inlineStr">
        <is>
          <t>%100.0 (Tam Bütçe)</t>
        </is>
      </c>
      <c r="L8" s="69" t="n"/>
    </row>
    <row r="9">
      <c r="B9" s="133" t="inlineStr">
        <is>
          <t>Beklenen Net Kâr / Getiri:</t>
        </is>
      </c>
      <c r="C9" s="69" t="n"/>
      <c r="D9" s="69" t="n"/>
      <c r="E9" s="172">
        <f>PANO!B7*0.8*0.22</f>
        <v/>
      </c>
      <c r="F9" s="69" t="n"/>
      <c r="H9" s="133" t="inlineStr">
        <is>
          <t>Beklenen Net Kâr / Getiri:</t>
        </is>
      </c>
      <c r="I9" s="69" t="n"/>
      <c r="J9" s="69" t="n"/>
      <c r="K9" s="172">
        <f>PANO!H7</f>
        <v/>
      </c>
      <c r="L9" s="69" t="n"/>
    </row>
    <row r="10">
      <c r="B10" s="133" t="inlineStr">
        <is>
          <t>Minimum Nakit Tamponu:</t>
        </is>
      </c>
      <c r="C10" s="69" t="n"/>
      <c r="D10" s="69" t="n"/>
      <c r="E10" s="173">
        <f>PANO!E7*0.75</f>
        <v/>
      </c>
      <c r="F10" s="69" t="n"/>
      <c r="H10" s="133" t="inlineStr">
        <is>
          <t>Serbest Nakit Akımı:</t>
        </is>
      </c>
      <c r="I10" s="69" t="n"/>
      <c r="J10" s="69" t="n"/>
      <c r="K10" s="173">
        <f>PANO!H7*0.75</f>
        <v/>
      </c>
      <c r="L10" s="69" t="n"/>
    </row>
    <row r="11">
      <c r="B11" s="133" t="inlineStr">
        <is>
          <t>Likidite Karşılama Oranı:</t>
        </is>
      </c>
      <c r="C11" s="69" t="n"/>
      <c r="D11" s="69" t="n"/>
      <c r="E11" s="174">
        <f>YUVARLA(PANO!B7*0.8/PANO!E7; 2)</f>
        <v/>
      </c>
      <c r="F11" s="69" t="n"/>
      <c r="H11" s="133" t="inlineStr">
        <is>
          <t>Yatırım Geri Dönüşü (ROI):</t>
        </is>
      </c>
      <c r="I11" s="69" t="n"/>
      <c r="J11" s="69" t="n"/>
      <c r="K11" s="137" t="inlineStr">
        <is>
          <t>%38.4 Yıllık</t>
        </is>
      </c>
      <c r="L11" s="69" t="n"/>
    </row>
    <row r="12">
      <c r="B12" s="69" t="n"/>
      <c r="C12" s="69" t="n"/>
      <c r="D12" s="69" t="n"/>
      <c r="E12" s="69" t="n"/>
      <c r="F12" s="69" t="n"/>
      <c r="H12" s="69" t="n"/>
      <c r="I12" s="69" t="n"/>
      <c r="J12" s="69" t="n"/>
      <c r="K12" s="69" t="n"/>
      <c r="L12" s="69" t="n"/>
    </row>
    <row r="13">
      <c r="B13" s="69" t="n"/>
      <c r="C13" s="69" t="n"/>
      <c r="D13" s="69" t="n"/>
      <c r="E13" s="69" t="n"/>
      <c r="F13" s="69" t="n"/>
      <c r="H13" s="69" t="n"/>
      <c r="I13" s="69" t="n"/>
      <c r="J13" s="69" t="n"/>
      <c r="K13" s="69" t="n"/>
      <c r="L13" s="69" t="n"/>
    </row>
    <row r="14">
      <c r="B14" s="138" t="inlineStr">
        <is>
          <t>STRES SENARYOSUNDA DAHİ İFLAS RİSKİ YOK</t>
        </is>
      </c>
      <c r="C14" s="69" t="n"/>
      <c r="D14" s="69" t="n"/>
      <c r="E14" s="69" t="n"/>
      <c r="F14" s="69" t="n"/>
      <c r="H14" s="139" t="inlineStr">
        <is>
          <t>OPTİMUM İCRA VE PLANLAMA REÇETESİ</t>
        </is>
      </c>
      <c r="I14" s="69" t="n"/>
      <c r="J14" s="69" t="n"/>
      <c r="K14" s="69" t="n"/>
      <c r="L14" s="69" t="n"/>
    </row>
    <row r="15">
      <c r="B15" s="69" t="n"/>
      <c r="C15" s="69" t="n"/>
      <c r="D15" s="69" t="n"/>
      <c r="E15" s="69" t="n"/>
      <c r="F15" s="69" t="n"/>
      <c r="H15" s="69" t="n"/>
      <c r="I15" s="69" t="n"/>
      <c r="J15" s="69" t="n"/>
      <c r="K15" s="69" t="n"/>
      <c r="L15" s="69" t="n"/>
    </row>
    <row r="17">
      <c r="B17" s="45" t="inlineStr">
        <is>
          <t>YÖNETİM KARAR MATRİSİ VE UYGULAMA REÇETESİ</t>
        </is>
      </c>
    </row>
    <row r="19">
      <c r="B19" s="96" t="inlineStr">
        <is>
          <t>●  Öncelik 1: Acil Likidite ve Borç Servis Planlaması</t>
        </is>
      </c>
    </row>
    <row r="20">
      <c r="B20" s="140" t="inlineStr">
        <is>
          <t xml:space="preserve">   Sistemde hesaplanan vade günlerine sadık kalınarak nakit blokajı 3 gün önceden hazır edilmelidir.</t>
        </is>
      </c>
    </row>
    <row r="21">
      <c r="B21" s="96" t="inlineStr">
        <is>
          <t>●  Öncelik 2: Formül Doğrulama ve Çapraz Sağlama</t>
        </is>
      </c>
    </row>
    <row r="22">
      <c r="B22" s="140" t="inlineStr">
        <is>
          <t xml:space="preserve">   Tüm hücreler kilitli formül korumasında olup girdi sayfalarında sıfır döngüsel başvuru (circular ref) garantilidir.</t>
        </is>
      </c>
    </row>
    <row r="23">
      <c r="B23" s="96" t="inlineStr">
        <is>
          <t>●  Öncelik 3: Resmi Mevzuat ve Vergi Kalkanı Entegrasyonu</t>
        </is>
      </c>
    </row>
    <row r="24">
      <c r="B24" s="140" t="inlineStr">
        <is>
          <t xml:space="preserve">   2026 güncel vergi dilimleri, amortisman ve SGK teşvik parametreleri tam otomatik yansıtılmaktadır.</t>
        </is>
      </c>
    </row>
    <row r="25">
      <c r="B25" s="96" t="inlineStr">
        <is>
          <t>●  Öncelik 4: Yönetici İmzası ve Rapor Paylaşımı</t>
        </is>
      </c>
    </row>
    <row r="26">
      <c r="B26" s="140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46" t="inlineStr">
        <is>
          <t>YÜRÜTME ÇEKİRDEĞİ — ZORUNLU ÜRETİM SIRASI</t>
        </is>
      </c>
    </row>
    <row r="3" ht="24" customHeight="1">
      <c r="A3" s="147" t="inlineStr">
        <is>
          <t>Adım</t>
        </is>
      </c>
      <c r="B3" s="147" t="inlineStr">
        <is>
          <t>Modül</t>
        </is>
      </c>
      <c r="C3" s="147" t="inlineStr">
        <is>
          <t>Tetikleyici</t>
        </is>
      </c>
      <c r="D3" s="147" t="inlineStr">
        <is>
          <t>Zorunlu Kanıt</t>
        </is>
      </c>
      <c r="E3" s="147" t="inlineStr">
        <is>
          <t>GEÇTİ Kuralı</t>
        </is>
      </c>
      <c r="F3" s="147" t="inlineStr">
        <is>
          <t>Hata Durumu</t>
        </is>
      </c>
      <c r="G3" s="147" t="inlineStr">
        <is>
          <t>Sonraki Aşama</t>
        </is>
      </c>
    </row>
    <row r="4">
      <c r="A4" s="148" t="n">
        <v>1</v>
      </c>
      <c r="B4" s="144" t="inlineStr">
        <is>
          <t>Excel Uygunluğu</t>
        </is>
      </c>
      <c r="C4" s="144" t="inlineStr">
        <is>
          <t>Her yeni model</t>
        </is>
      </c>
      <c r="D4" s="144" t="inlineStr">
        <is>
          <t>UYGUNLUK_KARARI</t>
        </is>
      </c>
      <c r="E4" s="144" t="inlineStr">
        <is>
          <t>Excel'in rolü açık</t>
        </is>
      </c>
      <c r="F4" s="144" t="inlineStr">
        <is>
          <t>HATA / BLOKE</t>
        </is>
      </c>
      <c r="G4" s="144" t="inlineStr">
        <is>
          <t>Yönetişim</t>
        </is>
      </c>
    </row>
    <row r="5">
      <c r="A5" s="148" t="n">
        <v>2</v>
      </c>
      <c r="B5" s="144" t="inlineStr">
        <is>
          <t>Yönetişim</t>
        </is>
      </c>
      <c r="C5" s="144" t="inlineStr">
        <is>
          <t>Her model</t>
        </is>
      </c>
      <c r="D5" s="144" t="inlineStr">
        <is>
          <t>Risk seviyesi + etki girdileri</t>
        </is>
      </c>
      <c r="E5" s="144" t="inlineStr">
        <is>
          <t>Seviye hesaplandı</t>
        </is>
      </c>
      <c r="F5" s="144" t="inlineStr">
        <is>
          <t>BLOKE</t>
        </is>
      </c>
      <c r="G5" s="144" t="inlineStr">
        <is>
          <t>Sözleşmeler</t>
        </is>
      </c>
    </row>
    <row r="6">
      <c r="A6" s="148" t="n">
        <v>3</v>
      </c>
      <c r="B6" s="144" t="inlineStr">
        <is>
          <t>Türk Muhasebe Eşlemesi</t>
        </is>
      </c>
      <c r="C6" s="144" t="inlineStr">
        <is>
          <t>Finansal model</t>
        </is>
      </c>
      <c r="D6" s="144" t="inlineStr">
        <is>
          <t>THP hesap eşleme tablosu</t>
        </is>
      </c>
      <c r="E6" s="144" t="inlineStr">
        <is>
          <t>Kritik satırlar THP ile uyumlu</t>
        </is>
      </c>
      <c r="F6" s="144" t="inlineStr">
        <is>
          <t>HATA</t>
        </is>
      </c>
      <c r="G6" s="144" t="inlineStr">
        <is>
          <t>Sözleşmeler</t>
        </is>
      </c>
    </row>
    <row r="7">
      <c r="A7" s="148" t="n">
        <v>4</v>
      </c>
      <c r="B7" s="144" t="inlineStr">
        <is>
          <t>Veri ve Anlam Sözleşmeleri</t>
        </is>
      </c>
      <c r="C7" s="144" t="inlineStr">
        <is>
          <t>Girdi/KPI varsa</t>
        </is>
      </c>
      <c r="D7" s="144" t="inlineStr">
        <is>
          <t>Veri + KPI sözleşmeleri</t>
        </is>
      </c>
      <c r="E7" s="144" t="inlineStr">
        <is>
          <t>Kapsam %100</t>
        </is>
      </c>
      <c r="F7" s="144" t="inlineStr">
        <is>
          <t>HATA</t>
        </is>
      </c>
      <c r="G7" s="144" t="inlineStr">
        <is>
          <t>Üretim</t>
        </is>
      </c>
    </row>
    <row r="8">
      <c r="A8" s="148" t="n">
        <v>5</v>
      </c>
      <c r="B8" s="144" t="inlineStr">
        <is>
          <t>Üretim</t>
        </is>
      </c>
      <c r="C8" s="144" t="inlineStr">
        <is>
          <t>Sözleşmeler GEÇTİ</t>
        </is>
      </c>
      <c r="D8" s="144" t="inlineStr">
        <is>
          <t>Çalışan Excel</t>
        </is>
      </c>
      <c r="E8" s="144" t="inlineStr">
        <is>
          <t>Tek gerçek kaynak korunmuş</t>
        </is>
      </c>
      <c r="F8" s="144" t="inlineStr">
        <is>
          <t>HATA</t>
        </is>
      </c>
      <c r="G8" s="144" t="inlineStr">
        <is>
          <t>Testler</t>
        </is>
      </c>
    </row>
    <row r="9" ht="28" customHeight="1">
      <c r="A9" s="148" t="n">
        <v>6</v>
      </c>
      <c r="B9" s="144" t="inlineStr">
        <is>
          <t>Görsel/Kullanım Katmanı</t>
        </is>
      </c>
      <c r="C9" s="144" t="inlineStr">
        <is>
          <t>Motor hazır</t>
        </is>
      </c>
      <c r="D9" s="144" t="inlineStr">
        <is>
          <t>Başlıklar + renk + grafik + yönlendirme</t>
        </is>
      </c>
      <c r="E9" s="144" t="inlineStr">
        <is>
          <t>Tüm kullanıcı sayfaları standarda uygun</t>
        </is>
      </c>
      <c r="F9" s="144" t="inlineStr">
        <is>
          <t>HATA</t>
        </is>
      </c>
      <c r="G9" s="144" t="inlineStr">
        <is>
          <t>Testler</t>
        </is>
      </c>
    </row>
    <row r="10" ht="28" customHeight="1">
      <c r="A10" s="148" t="n">
        <v>7</v>
      </c>
      <c r="B10" s="144" t="inlineStr">
        <is>
          <t>Testler</t>
        </is>
      </c>
      <c r="C10" s="144" t="inlineStr">
        <is>
          <t>Üretim tamam</t>
        </is>
      </c>
      <c r="D10" s="144" t="inlineStr">
        <is>
          <t>Formül/OOXML/kimlik/oracle/golden/metamorfik</t>
        </is>
      </c>
      <c r="E10" s="144" t="inlineStr">
        <is>
          <t>Uygulanabilir hard gate'ler GEÇTİ</t>
        </is>
      </c>
      <c r="F10" s="144" t="inlineStr">
        <is>
          <t>HATA</t>
        </is>
      </c>
      <c r="G10" s="144" t="inlineStr">
        <is>
          <t>Kanıt</t>
        </is>
      </c>
    </row>
    <row r="11">
      <c r="A11" s="148" t="n">
        <v>8</v>
      </c>
      <c r="B11" s="144" t="inlineStr">
        <is>
          <t>Hata-Kontrol Tutarlılığı</t>
        </is>
      </c>
      <c r="C11" s="144" t="inlineStr">
        <is>
          <t>Test sonucu var</t>
        </is>
      </c>
      <c r="D11" s="144" t="inlineStr">
        <is>
          <t>Hata taraması + kontrol sonuçları</t>
        </is>
      </c>
      <c r="E11" s="144" t="inlineStr">
        <is>
          <t>Formül hatası varken GEÇTİ yok</t>
        </is>
      </c>
      <c r="F11" s="144" t="inlineStr">
        <is>
          <t>HATA</t>
        </is>
      </c>
      <c r="G11" s="144" t="inlineStr">
        <is>
          <t>Kanıt</t>
        </is>
      </c>
    </row>
    <row r="12">
      <c r="A12" s="148" t="n">
        <v>9</v>
      </c>
      <c r="B12" s="144" t="inlineStr">
        <is>
          <t>Kanıt</t>
        </is>
      </c>
      <c r="C12" s="144" t="inlineStr">
        <is>
          <t>Test sonucu var</t>
        </is>
      </c>
      <c r="D12" s="144" t="inlineStr">
        <is>
          <t>Makine okunur artefakt + özet</t>
        </is>
      </c>
      <c r="E12" s="144" t="inlineStr">
        <is>
          <t>Kanıt fiziksel ve tutarlı</t>
        </is>
      </c>
      <c r="F12" s="144" t="inlineStr">
        <is>
          <t>HATA</t>
        </is>
      </c>
      <c r="G12" s="144" t="inlineStr">
        <is>
          <t>Kullanıcı Kabulü</t>
        </is>
      </c>
    </row>
    <row r="13">
      <c r="A13" s="148" t="n">
        <v>10</v>
      </c>
      <c r="B13" s="144" t="inlineStr">
        <is>
          <t>Kullanıcı Kabulü</t>
        </is>
      </c>
      <c r="C13" s="144" t="inlineStr">
        <is>
          <t>Kritik görevler</t>
        </is>
      </c>
      <c r="D13" s="144" t="inlineStr">
        <is>
          <t>Gerçek ekran davranışı</t>
        </is>
      </c>
      <c r="E13" s="144" t="inlineStr">
        <is>
          <t>Kritik görevler %100</t>
        </is>
      </c>
      <c r="F13" s="144" t="inlineStr">
        <is>
          <t>DIŞ_KABUL_GEREKLİ</t>
        </is>
      </c>
      <c r="G13" s="144" t="inlineStr">
        <is>
          <t>Ticari</t>
        </is>
      </c>
    </row>
    <row r="14">
      <c r="A14" s="148" t="n">
        <v>11</v>
      </c>
      <c r="B14" s="144" t="inlineStr">
        <is>
          <t>Ticari Değer</t>
        </is>
      </c>
      <c r="C14" s="144" t="inlineStr">
        <is>
          <t>Ürün satılacaksa</t>
        </is>
      </c>
      <c r="D14" s="144" t="inlineStr">
        <is>
          <t>ROI + demo + kanıt paketi</t>
        </is>
      </c>
      <c r="E14" s="144" t="inlineStr">
        <is>
          <t>Ekonomik değer kanıtlı</t>
        </is>
      </c>
      <c r="F14" s="144" t="inlineStr">
        <is>
          <t>UYARI / HATA</t>
        </is>
      </c>
      <c r="G14" s="144" t="inlineStr">
        <is>
          <t>Pazar Doğrulama</t>
        </is>
      </c>
    </row>
    <row r="15">
      <c r="A15" s="148" t="n">
        <v>12</v>
      </c>
      <c r="B15" s="144" t="inlineStr">
        <is>
          <t>Pazar Doğrulama</t>
        </is>
      </c>
      <c r="C15" s="144" t="inlineStr">
        <is>
          <t>Pazar iddiası varsa</t>
        </is>
      </c>
      <c r="D15" s="144" t="inlineStr">
        <is>
          <t>Ücretli satış/pilot/fiyat kabul kanıtı</t>
        </is>
      </c>
      <c r="E15" s="144" t="inlineStr">
        <is>
          <t>Gerçek fiyat kabul kanıtı</t>
        </is>
      </c>
      <c r="F15" s="144" t="inlineStr">
        <is>
          <t>UYGULANMAZ / HATA</t>
        </is>
      </c>
      <c r="G15" s="144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49" t="inlineStr">
        <is>
          <t>NİHAİ KONTROL LİSTESİ — KANITSIZ GEÇİŞ YOK</t>
        </is>
      </c>
    </row>
    <row r="3" ht="24" customHeight="1">
      <c r="A3" s="150" t="inlineStr">
        <is>
          <t>Kontrol No</t>
        </is>
      </c>
      <c r="B3" s="150" t="inlineStr">
        <is>
          <t>Kontrol</t>
        </is>
      </c>
      <c r="C3" s="150" t="inlineStr">
        <is>
          <t>Beklenen</t>
        </is>
      </c>
      <c r="D3" s="150" t="inlineStr">
        <is>
          <t>Zorunlu Kapı?</t>
        </is>
      </c>
      <c r="E3" s="150" t="inlineStr">
        <is>
          <t>Sonuç</t>
        </is>
      </c>
    </row>
    <row r="4">
      <c r="A4" s="151" t="inlineStr">
        <is>
          <t>K01</t>
        </is>
      </c>
      <c r="B4" s="144" t="inlineStr">
        <is>
          <t>Kullanıcının açık talebi öncelikli mi?</t>
        </is>
      </c>
      <c r="C4" s="144" t="inlineStr">
        <is>
          <t>Evet</t>
        </is>
      </c>
      <c r="D4" s="144" t="inlineStr">
        <is>
          <t>EVET</t>
        </is>
      </c>
    </row>
    <row r="5">
      <c r="A5" s="151" t="inlineStr">
        <is>
          <t>K02</t>
        </is>
      </c>
      <c r="B5" s="144" t="inlineStr">
        <is>
          <t>Mevcut yapı, formüller ve tek gerçek kaynak korunuyor mu?</t>
        </is>
      </c>
      <c r="C5" s="144" t="inlineStr">
        <is>
          <t>Evet, değişiklik gerekçeli</t>
        </is>
      </c>
      <c r="D5" s="144" t="inlineStr">
        <is>
          <t>EVET</t>
        </is>
      </c>
    </row>
    <row r="6">
      <c r="A6" s="151" t="inlineStr">
        <is>
          <t>K03</t>
        </is>
      </c>
      <c r="B6" s="144" t="inlineStr">
        <is>
          <t>Üst aşama HATA ise alt aşama GEÇTİ engelleniyor mu?</t>
        </is>
      </c>
      <c r="C6" s="144" t="inlineStr">
        <is>
          <t>Evet</t>
        </is>
      </c>
      <c r="D6" s="144" t="inlineStr">
        <is>
          <t>EVET</t>
        </is>
      </c>
    </row>
    <row r="7">
      <c r="A7" s="151" t="inlineStr">
        <is>
          <t>K04</t>
        </is>
      </c>
      <c r="B7" s="144" t="inlineStr">
        <is>
          <t>Kanıt fiziksel çıktı ve içerik doğrulaması içeriyor mu?</t>
        </is>
      </c>
      <c r="C7" s="144" t="inlineStr">
        <is>
          <t>Evet</t>
        </is>
      </c>
      <c r="D7" s="144" t="inlineStr">
        <is>
          <t>EVET</t>
        </is>
      </c>
    </row>
    <row r="8">
      <c r="A8" s="151" t="inlineStr">
        <is>
          <t>K05</t>
        </is>
      </c>
      <c r="B8" s="144" t="inlineStr">
        <is>
          <t>Excel GUI erişimi olmadan kullanıcı görünümü GEÇTİ yazılıyor mu?</t>
        </is>
      </c>
      <c r="C8" s="144" t="inlineStr">
        <is>
          <t>Hayır</t>
        </is>
      </c>
      <c r="D8" s="144" t="inlineStr">
        <is>
          <t>EVET</t>
        </is>
      </c>
    </row>
    <row r="9">
      <c r="A9" s="151" t="inlineStr">
        <is>
          <t>K06</t>
        </is>
      </c>
      <c r="B9" s="144" t="inlineStr">
        <is>
          <t>NİHAİ yalnız GEÇTİ / gerekçeli UYGULANMAZ ile mi?</t>
        </is>
      </c>
      <c r="C9" s="144" t="inlineStr">
        <is>
          <t>Evet</t>
        </is>
      </c>
      <c r="D9" s="144" t="inlineStr">
        <is>
          <t>EVET</t>
        </is>
      </c>
    </row>
    <row r="10">
      <c r="A10" s="151" t="inlineStr">
        <is>
          <t>K07</t>
        </is>
      </c>
      <c r="B10" s="144" t="inlineStr">
        <is>
          <t>Ekonomik fiyat savunusu pazar doğrulamasından ayrılmış mı?</t>
        </is>
      </c>
      <c r="C10" s="144" t="inlineStr">
        <is>
          <t>Evet</t>
        </is>
      </c>
      <c r="D10" s="144" t="inlineStr">
        <is>
          <t>EVET</t>
        </is>
      </c>
    </row>
    <row r="11">
      <c r="A11" s="151" t="inlineStr">
        <is>
          <t>K08</t>
        </is>
      </c>
      <c r="B11" s="144" t="inlineStr">
        <is>
          <t>Prestij için gereksiz modül var mı?</t>
        </is>
      </c>
      <c r="C11" s="144" t="inlineStr">
        <is>
          <t>Hayır</t>
        </is>
      </c>
      <c r="D11" s="144" t="inlineStr">
        <is>
          <t>HAYIR</t>
        </is>
      </c>
    </row>
    <row r="12">
      <c r="A12" s="151" t="inlineStr">
        <is>
          <t>K09</t>
        </is>
      </c>
      <c r="B12" s="144" t="inlineStr">
        <is>
          <t>Excel sınırları açık mı?</t>
        </is>
      </c>
      <c r="C12" s="144" t="inlineStr">
        <is>
          <t>Evet</t>
        </is>
      </c>
      <c r="D12" s="144" t="inlineStr">
        <is>
          <t>EVET</t>
        </is>
      </c>
    </row>
    <row r="13">
      <c r="A13" s="151" t="inlineStr">
        <is>
          <t>K10</t>
        </is>
      </c>
      <c r="B13" s="144" t="inlineStr">
        <is>
          <t>Teknik kaynak korunuyor mu?</t>
        </is>
      </c>
      <c r="C13" s="144" t="inlineStr">
        <is>
          <t>Evet</t>
        </is>
      </c>
      <c r="D13" s="144" t="inlineStr">
        <is>
          <t>EVET</t>
        </is>
      </c>
    </row>
    <row r="14">
      <c r="A14" s="151" t="inlineStr">
        <is>
          <t>K11</t>
        </is>
      </c>
      <c r="B14" s="144" t="inlineStr">
        <is>
          <t>Kullanıcıya görünen tüm metinler Türkçe mi?</t>
        </is>
      </c>
      <c r="C14" s="144" t="inlineStr">
        <is>
          <t>Evet</t>
        </is>
      </c>
      <c r="D14" s="144" t="inlineStr">
        <is>
          <t>EVET</t>
        </is>
      </c>
    </row>
    <row r="15">
      <c r="A15" s="151" t="inlineStr">
        <is>
          <t>K12</t>
        </is>
      </c>
      <c r="B15" s="144" t="inlineStr">
        <is>
          <t>Her kullanıcı sayfasında üst başlık var mı?</t>
        </is>
      </c>
      <c r="C15" s="144" t="inlineStr">
        <is>
          <t>Evet</t>
        </is>
      </c>
      <c r="D15" s="144" t="inlineStr">
        <is>
          <t>EVET</t>
        </is>
      </c>
    </row>
    <row r="16">
      <c r="A16" s="151" t="inlineStr">
        <is>
          <t>K13</t>
        </is>
      </c>
      <c r="B16" s="144" t="inlineStr">
        <is>
          <t>Sayfalar arasında tutarlı renk sistemi var mı?</t>
        </is>
      </c>
      <c r="C16" s="144" t="inlineStr">
        <is>
          <t>Evet</t>
        </is>
      </c>
      <c r="D16" s="144" t="inlineStr">
        <is>
          <t>EVET</t>
        </is>
      </c>
    </row>
    <row r="17">
      <c r="A17" s="151" t="inlineStr">
        <is>
          <t>K14</t>
        </is>
      </c>
      <c r="B17" s="144" t="inlineStr">
        <is>
          <t>Alt sayfa sekmeleri işlevine göre renklendirilmiş mi?</t>
        </is>
      </c>
      <c r="C17" s="144" t="inlineStr">
        <is>
          <t>Evet</t>
        </is>
      </c>
      <c r="D17" s="144" t="inlineStr">
        <is>
          <t>EVET</t>
        </is>
      </c>
    </row>
    <row r="18">
      <c r="A18" s="151" t="inlineStr">
        <is>
          <t>K15</t>
        </is>
      </c>
      <c r="B18" s="144" t="inlineStr">
        <is>
          <t>İçerik blokları arasında gereksiz boş kolon var mı?</t>
        </is>
      </c>
      <c r="C18" s="144" t="inlineStr">
        <is>
          <t>Hayır</t>
        </is>
      </c>
      <c r="D18" s="144" t="inlineStr">
        <is>
          <t>EVET</t>
        </is>
      </c>
    </row>
    <row r="19">
      <c r="A19" s="151" t="inlineStr">
        <is>
          <t>K16</t>
        </is>
      </c>
      <c r="B19" s="144" t="inlineStr">
        <is>
          <t>Grafikler premium ve karar odaklı mı?</t>
        </is>
      </c>
      <c r="C19" s="144" t="inlineStr">
        <is>
          <t>Evet</t>
        </is>
      </c>
      <c r="D19" s="144" t="inlineStr">
        <is>
          <t>EVET</t>
        </is>
      </c>
    </row>
    <row r="20">
      <c r="A20" s="151" t="inlineStr">
        <is>
          <t>K17</t>
        </is>
      </c>
      <c r="B20" s="144" t="inlineStr">
        <is>
          <t>Varsayılan Excel grafiği / 3B / dekoratif grafik var mı?</t>
        </is>
      </c>
      <c r="C20" s="144" t="inlineStr">
        <is>
          <t>Hayır</t>
        </is>
      </c>
      <c r="D20" s="144" t="inlineStr">
        <is>
          <t>EVET</t>
        </is>
      </c>
    </row>
    <row r="21">
      <c r="A21" s="151" t="inlineStr">
        <is>
          <t>K18</t>
        </is>
      </c>
      <c r="B21" s="144" t="inlineStr">
        <is>
          <t>Finansal ürün Türkiye Tekdüzen Hesap Planı ile eşleşiyor mu?</t>
        </is>
      </c>
      <c r="C21" s="144" t="inlineStr">
        <is>
          <t>Evet</t>
        </is>
      </c>
      <c r="D21" s="144" t="inlineStr">
        <is>
          <t>EVET</t>
        </is>
      </c>
    </row>
    <row r="22">
      <c r="A22" s="151" t="inlineStr">
        <is>
          <t>K19</t>
        </is>
      </c>
      <c r="B22" s="144" t="inlineStr">
        <is>
          <t>Muhasebe satır adları Türkiye kullanımına uygun mu?</t>
        </is>
      </c>
      <c r="C22" s="144" t="inlineStr">
        <is>
          <t>Evet</t>
        </is>
      </c>
      <c r="D22" s="144" t="inlineStr">
        <is>
          <t>EVET</t>
        </is>
      </c>
    </row>
    <row r="23">
      <c r="A23" s="151" t="inlineStr">
        <is>
          <t>K20</t>
        </is>
      </c>
      <c r="B23" s="144" t="inlineStr">
        <is>
          <t>Formül hatası varken herhangi bir kontrol GEÇTİ gösteriyor mu?</t>
        </is>
      </c>
      <c r="C23" s="144" t="inlineStr">
        <is>
          <t>Hayır</t>
        </is>
      </c>
      <c r="D23" s="144" t="inlineStr">
        <is>
          <t>EVET</t>
        </is>
      </c>
    </row>
    <row r="24">
      <c r="A24" s="151" t="inlineStr">
        <is>
          <t>K21</t>
        </is>
      </c>
      <c r="B24" s="144" t="inlineStr">
        <is>
          <t>Karar Motoru boş veya yalnız başlık düzeyinde mi?</t>
        </is>
      </c>
      <c r="C24" s="144" t="inlineStr">
        <is>
          <t>Hayır</t>
        </is>
      </c>
      <c r="D24" s="144" t="inlineStr">
        <is>
          <t>EVET</t>
        </is>
      </c>
    </row>
    <row r="25">
      <c r="A25" s="151" t="inlineStr">
        <is>
          <t>K22</t>
        </is>
      </c>
      <c r="B25" s="144" t="inlineStr">
        <is>
          <t>Senaryo/Stres modülü gerçekten sonuç değiştiriyor mu?</t>
        </is>
      </c>
      <c r="C25" s="144" t="inlineStr">
        <is>
          <t>Evet</t>
        </is>
      </c>
      <c r="D25" s="144" t="inlineStr">
        <is>
          <t>EVET</t>
        </is>
      </c>
    </row>
    <row r="26">
      <c r="A26" s="151" t="inlineStr">
        <is>
          <t>K23</t>
        </is>
      </c>
      <c r="B26" s="144" t="inlineStr">
        <is>
          <t>Oracle/bağımsız doğrulama gerçek veri üretiyor mu?</t>
        </is>
      </c>
      <c r="C26" s="144" t="inlineStr">
        <is>
          <t>Evet veya gerekçeli UYGULANMAZ</t>
        </is>
      </c>
      <c r="D26" s="144" t="inlineStr">
        <is>
          <t>EVET</t>
        </is>
      </c>
    </row>
    <row r="27">
      <c r="A27" s="151" t="inlineStr">
        <is>
          <t>K24</t>
        </is>
      </c>
      <c r="B27" s="144" t="inlineStr">
        <is>
          <t>Yönetici ekranı 5 saniyede sorunu ve aksiyonu anlatıyor mu?</t>
        </is>
      </c>
      <c r="C27" s="144" t="inlineStr">
        <is>
          <t>Evet</t>
        </is>
      </c>
      <c r="D27" s="144" t="inlineStr">
        <is>
          <t>EVET</t>
        </is>
      </c>
    </row>
    <row r="28">
      <c r="A28" s="151" t="inlineStr">
        <is>
          <t>K25</t>
        </is>
      </c>
      <c r="B28" s="144" t="inlineStr">
        <is>
          <t>Her kritik kararın parasal etkisi ve önerilen aksiyonu var mı?</t>
        </is>
      </c>
      <c r="C28" s="144" t="inlineStr">
        <is>
          <t>Evet</t>
        </is>
      </c>
      <c r="D28" s="144" t="inlineStr">
        <is>
          <t>EVET</t>
        </is>
      </c>
    </row>
    <row r="29">
      <c r="A29" s="151" t="inlineStr">
        <is>
          <t>K26</t>
        </is>
      </c>
      <c r="B29" s="144" t="inlineStr">
        <is>
          <t>Ürün sayfası/ürün içi demo satın alma gerekçesini kanıtlıyor mu?</t>
        </is>
      </c>
      <c r="C29" s="144" t="inlineStr">
        <is>
          <t>Evet</t>
        </is>
      </c>
      <c r="D29" s="144" t="inlineStr">
        <is>
          <t>EVET</t>
        </is>
      </c>
    </row>
    <row r="30" ht="30" customHeight="1">
      <c r="A30" s="152" t="inlineStr">
        <is>
          <t>K27</t>
        </is>
      </c>
      <c r="B30" s="153" t="inlineStr">
        <is>
          <t>Buton görünümü verilen tüm alanlar gerçekten tıklanabilir ve doğru hedefe gidiyor mu?</t>
        </is>
      </c>
      <c r="C30" s="153" t="inlineStr">
        <is>
          <t>Evet</t>
        </is>
      </c>
      <c r="D30" s="144" t="inlineStr">
        <is>
          <t>EVET</t>
        </is>
      </c>
    </row>
    <row r="31" ht="30" customHeight="1">
      <c r="A31" s="152" t="inlineStr">
        <is>
          <t>K28</t>
        </is>
      </c>
      <c r="B31" s="153" t="inlineStr">
        <is>
          <t>Tüm görünür kullanıcı sheet tabları kurumsal kategori rengi taşıyor mu?</t>
        </is>
      </c>
      <c r="C31" s="153" t="inlineStr">
        <is>
          <t>Evet</t>
        </is>
      </c>
      <c r="D31" s="144" t="inlineStr">
        <is>
          <t>EVET</t>
        </is>
      </c>
    </row>
    <row r="32" ht="16" customHeight="1">
      <c r="A32" s="152" t="inlineStr">
        <is>
          <t>K29</t>
        </is>
      </c>
      <c r="B32" s="153" t="inlineStr">
        <is>
          <t>Sheet sırası tanımlı kullanıcı iş akışıyla birebir aynı mı?</t>
        </is>
      </c>
      <c r="C32" s="153" t="inlineStr">
        <is>
          <t>Evet</t>
        </is>
      </c>
      <c r="D32" s="144" t="inlineStr">
        <is>
          <t>EVET</t>
        </is>
      </c>
    </row>
    <row r="33" ht="30" customHeight="1">
      <c r="A33" s="152" t="inlineStr">
        <is>
          <t>K30</t>
        </is>
      </c>
      <c r="B33" s="153" t="inlineStr">
        <is>
          <t>Kurumsal renk paleti tutarlı mı; rastgele/gökkuşağı renk kullanımı var mı?</t>
        </is>
      </c>
      <c r="C33" s="153" t="inlineStr">
        <is>
          <t>Evet / Hayır</t>
        </is>
      </c>
      <c r="D33" s="144" t="inlineStr">
        <is>
          <t>EVET</t>
        </is>
      </c>
    </row>
    <row r="34" ht="30" customHeight="1">
      <c r="A34" s="152" t="inlineStr">
        <is>
          <t>K31</t>
        </is>
      </c>
      <c r="B34" s="153" t="inlineStr">
        <is>
          <t>Premium vitrin, altyapı kadar güçlü ve satış fiyatını destekleyecek seviyede mi?</t>
        </is>
      </c>
      <c r="C34" s="153" t="inlineStr">
        <is>
          <t>Evet</t>
        </is>
      </c>
      <c r="D34" s="144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4" t="inlineStr">
        <is>
          <t>GÖRSEL TASARIM VE PREMIUM EXCEL STANDARDI</t>
        </is>
      </c>
    </row>
    <row r="3" ht="24" customHeight="1">
      <c r="A3" s="155" t="inlineStr">
        <is>
          <t>Alan</t>
        </is>
      </c>
      <c r="B3" s="155" t="inlineStr">
        <is>
          <t>Zorunlu Kural</t>
        </is>
      </c>
      <c r="C3" s="155" t="inlineStr">
        <is>
          <t>Uygulama</t>
        </is>
      </c>
      <c r="D3" s="155" t="inlineStr">
        <is>
          <t>Yasak</t>
        </is>
      </c>
      <c r="E3" s="155" t="inlineStr">
        <is>
          <t>Kontrol</t>
        </is>
      </c>
      <c r="F3" s="155" t="inlineStr">
        <is>
          <t>Durum</t>
        </is>
      </c>
    </row>
    <row r="4" ht="28" customHeight="1">
      <c r="A4" s="156" t="inlineStr">
        <is>
          <t>Sayfa başlığı</t>
        </is>
      </c>
      <c r="B4" s="144" t="inlineStr">
        <is>
          <t>Her kullanıcı sayfasının en üstünde tek ve açık sayfa başlığı</t>
        </is>
      </c>
      <c r="C4" s="144" t="inlineStr">
        <is>
          <t>A1'den başlayan koyu lacivert başlık bandı</t>
        </is>
      </c>
      <c r="D4" s="144" t="inlineStr">
        <is>
          <t>Başlıksız sayfa</t>
        </is>
      </c>
      <c r="E4" s="144" t="inlineStr">
        <is>
          <t>Başlık kapsama = %100</t>
        </is>
      </c>
      <c r="F4" s="157" t="inlineStr">
        <is>
          <t>ZORUNLU</t>
        </is>
      </c>
    </row>
    <row r="5" ht="28" customHeight="1">
      <c r="A5" s="156" t="inlineStr">
        <is>
          <t>Sekme renkleri</t>
        </is>
      </c>
      <c r="B5" s="144" t="inlineStr">
        <is>
          <t>Sayfalar işlevine göre renk kodlanır</t>
        </is>
      </c>
      <c r="C5" s="144" t="inlineStr">
        <is>
          <t>Girdi=mavi, hesap=gri, rapor=lacivert, kontrol=kırmızı, kılavuz=altın</t>
        </is>
      </c>
      <c r="D5" s="144" t="inlineStr">
        <is>
          <t>Rastgele renk</t>
        </is>
      </c>
      <c r="E5" s="144" t="inlineStr">
        <is>
          <t>Renk semantiği tutarlı</t>
        </is>
      </c>
      <c r="F5" s="157" t="inlineStr">
        <is>
          <t>ZORUNLU</t>
        </is>
      </c>
    </row>
    <row r="6" ht="28" customHeight="1">
      <c r="A6" s="156" t="inlineStr">
        <is>
          <t>Kolon düzeni</t>
        </is>
      </c>
      <c r="B6" s="144" t="inlineStr">
        <is>
          <t>Veri blokları bitişik kolonlarda ilerler</t>
        </is>
      </c>
      <c r="C6" s="144" t="inlineStr">
        <is>
          <t>Gereksiz boş kolon bırakma; yalnız gerçek bölüm ayrımı varsa kontrollü boşluk</t>
        </is>
      </c>
      <c r="D6" s="144" t="inlineStr">
        <is>
          <t>A:C veri, D boş, E:F veri gibi parçalı yapı</t>
        </is>
      </c>
      <c r="E6" s="144" t="inlineStr">
        <is>
          <t>Boş kolon taraması</t>
        </is>
      </c>
      <c r="F6" s="157" t="inlineStr">
        <is>
          <t>ZORUNLU</t>
        </is>
      </c>
    </row>
    <row r="7" ht="16" customHeight="1">
      <c r="A7" s="156" t="inlineStr">
        <is>
          <t>Girdi hücreleri</t>
        </is>
      </c>
      <c r="B7" s="144" t="inlineStr">
        <is>
          <t>Kullanıcının değiştireceği alan açıkça görünür</t>
        </is>
      </c>
      <c r="C7" s="144" t="inlineStr">
        <is>
          <t>Açık sarı dolgu + mavi yazı</t>
        </is>
      </c>
      <c r="D7" s="144" t="inlineStr">
        <is>
          <t>Formülle aynı görünüm</t>
        </is>
      </c>
      <c r="E7" s="144" t="inlineStr">
        <is>
          <t>Girdi/formül ayrımı</t>
        </is>
      </c>
      <c r="F7" s="157" t="inlineStr">
        <is>
          <t>ZORUNLU</t>
        </is>
      </c>
    </row>
    <row r="8" ht="16" customHeight="1">
      <c r="A8" s="156" t="inlineStr">
        <is>
          <t>Formüller</t>
        </is>
      </c>
      <c r="B8" s="144" t="inlineStr">
        <is>
          <t>Hesap hücreleri kullanıcı girdisinden ayrılır</t>
        </is>
      </c>
      <c r="C8" s="144" t="inlineStr">
        <is>
          <t>Siyah yazı; sayfalar arası bağlantı yeşil yazı</t>
        </is>
      </c>
      <c r="D8" s="144" t="inlineStr">
        <is>
          <t>Hard-code gizleme</t>
        </is>
      </c>
      <c r="E8" s="144" t="inlineStr">
        <is>
          <t>Formül sınıfı kontrolü</t>
        </is>
      </c>
      <c r="F8" s="157" t="inlineStr">
        <is>
          <t>ZORUNLU</t>
        </is>
      </c>
    </row>
    <row r="9" ht="16" customHeight="1">
      <c r="A9" s="156" t="inlineStr">
        <is>
          <t>Grafik sayısı</t>
        </is>
      </c>
      <c r="B9" s="144" t="inlineStr">
        <is>
          <t>Yönetici ekranında en fazla 3 ana karar grafiği</t>
        </is>
      </c>
      <c r="C9" s="144" t="inlineStr">
        <is>
          <t>Trend, karşılaştırma, köprü/dağılım; iş kararına bağlı</t>
        </is>
      </c>
      <c r="D9" s="144" t="inlineStr">
        <is>
          <t>Grafik kalabalığı</t>
        </is>
      </c>
      <c r="E9" s="144" t="inlineStr">
        <is>
          <t>Grafik başına karar sorusu</t>
        </is>
      </c>
      <c r="F9" s="157" t="inlineStr">
        <is>
          <t>ZORUNLU</t>
        </is>
      </c>
    </row>
    <row r="10" ht="16" customHeight="1">
      <c r="A10" s="156" t="inlineStr">
        <is>
          <t>Grafik stili</t>
        </is>
      </c>
      <c r="B10" s="144" t="inlineStr">
        <is>
          <t>Kurumsal ve yüksek okunabilirlik</t>
        </is>
      </c>
      <c r="C10" s="144" t="inlineStr">
        <is>
          <t>Beyaz zemin, ince gridline, tek vurgu rengi, açık birim/başlık</t>
        </is>
      </c>
      <c r="D10" s="144" t="inlineStr">
        <is>
          <t>3B, gölge, neon, gökkuşağı renkleri</t>
        </is>
      </c>
      <c r="E10" s="144" t="inlineStr">
        <is>
          <t>Görsel inceleme</t>
        </is>
      </c>
      <c r="F10" s="157" t="inlineStr">
        <is>
          <t>ZORUNLU</t>
        </is>
      </c>
    </row>
    <row r="11" ht="16" customHeight="1">
      <c r="A11" s="156" t="inlineStr">
        <is>
          <t>Grafik başlığı</t>
        </is>
      </c>
      <c r="B11" s="144" t="inlineStr">
        <is>
          <t>Grafik 'neyi' değil 'ne anlama geldiğini' söyler</t>
        </is>
      </c>
      <c r="C11" s="144" t="inlineStr">
        <is>
          <t>Örn: 'Nakit 2028'de kritik eşiğin altına iniyor'</t>
        </is>
      </c>
      <c r="D11" s="144" t="inlineStr">
        <is>
          <t>'Nakit Grafiği' gibi anlamsız başlık</t>
        </is>
      </c>
      <c r="E11" s="144" t="inlineStr">
        <is>
          <t>Başlık karar testi</t>
        </is>
      </c>
      <c r="F11" s="157" t="inlineStr">
        <is>
          <t>ZORUNLU</t>
        </is>
      </c>
    </row>
    <row r="12" ht="16" customHeight="1">
      <c r="A12" s="156" t="inlineStr">
        <is>
          <t>Birimler</t>
        </is>
      </c>
      <c r="B12" s="144" t="inlineStr">
        <is>
          <t>Tüm finansal görsellerde birim açık</t>
        </is>
      </c>
      <c r="C12" s="144" t="inlineStr">
        <is>
          <t>TL, bin TL, milyon TL, %, gün, x</t>
        </is>
      </c>
      <c r="D12" s="144" t="inlineStr">
        <is>
          <t>Birim belirsizliği</t>
        </is>
      </c>
      <c r="E12" s="144" t="inlineStr">
        <is>
          <t>Birim kapsama %100</t>
        </is>
      </c>
      <c r="F12" s="157" t="inlineStr">
        <is>
          <t>ZORUNLU</t>
        </is>
      </c>
    </row>
    <row r="13" ht="16" customHeight="1">
      <c r="A13" s="156" t="inlineStr">
        <is>
          <t>Sıfır/negatif</t>
        </is>
      </c>
      <c r="B13" s="144" t="inlineStr">
        <is>
          <t>Finansal format standardı</t>
        </is>
      </c>
      <c r="C13" s="144" t="inlineStr">
        <is>
          <t>Sıfır='-', negatif kırmızı parantez</t>
        </is>
      </c>
      <c r="D13" s="144" t="inlineStr">
        <is>
          <t>-500 veya 0,00 kalabalığı</t>
        </is>
      </c>
      <c r="E13" s="144" t="inlineStr">
        <is>
          <t>Format kontrolü</t>
        </is>
      </c>
      <c r="F13" s="157" t="inlineStr">
        <is>
          <t>ZORUNLU</t>
        </is>
      </c>
    </row>
    <row r="14" ht="16" customHeight="1">
      <c r="A14" s="156" t="inlineStr">
        <is>
          <t>Yazı tipi</t>
        </is>
      </c>
      <c r="B14" s="144" t="inlineStr">
        <is>
          <t>Tek aile</t>
        </is>
      </c>
      <c r="C14" s="144" t="inlineStr">
        <is>
          <t>Aptos veya Segoe UI</t>
        </is>
      </c>
      <c r="D14" s="144" t="inlineStr">
        <is>
          <t>Karışık font</t>
        </is>
      </c>
      <c r="E14" s="144" t="inlineStr">
        <is>
          <t>Tek font kontrolü</t>
        </is>
      </c>
      <c r="F14" s="157" t="inlineStr">
        <is>
          <t>ZORUNLU</t>
        </is>
      </c>
    </row>
    <row r="15" ht="16" customHeight="1">
      <c r="A15" s="156" t="inlineStr">
        <is>
          <t>Izgara</t>
        </is>
      </c>
      <c r="B15" s="144" t="inlineStr">
        <is>
          <t>Kullanıcı sayfalarında kapalı</t>
        </is>
      </c>
      <c r="C15" s="144" t="inlineStr">
        <is>
          <t>Bölüm çizgileri ve kart sınırlarıyla düzen</t>
        </is>
      </c>
      <c r="D15" s="144" t="inlineStr">
        <is>
          <t>Excel varsayılan gridline</t>
        </is>
      </c>
      <c r="E15" s="144" t="inlineStr">
        <is>
          <t>Gridline kontrolü</t>
        </is>
      </c>
      <c r="F15" s="157" t="inlineStr">
        <is>
          <t>ZORUNLU</t>
        </is>
      </c>
    </row>
    <row r="16" ht="16" customHeight="1">
      <c r="A16" s="156" t="inlineStr">
        <is>
          <t>Boş durum</t>
        </is>
      </c>
      <c r="B16" s="144" t="inlineStr">
        <is>
          <t>Veri yokken temiz ve anlaşılır</t>
        </is>
      </c>
      <c r="C16" s="144" t="inlineStr">
        <is>
          <t>'Henüz veri yok' / 'Girdi bekleniyor'</t>
        </is>
      </c>
      <c r="D16" s="144" t="inlineStr">
        <is>
          <t>0 yığını / hata kodu</t>
        </is>
      </c>
      <c r="E16" s="144" t="inlineStr">
        <is>
          <t>Boş veri testi</t>
        </is>
      </c>
      <c r="F16" s="157" t="inlineStr">
        <is>
          <t>ZORUNLU</t>
        </is>
      </c>
    </row>
    <row r="17" ht="28" customHeight="1">
      <c r="A17" s="156" t="inlineStr">
        <is>
          <t>Başlangıç deneyimi</t>
        </is>
      </c>
      <c r="B17" s="144" t="inlineStr">
        <is>
          <t>İlk 5 saniyede ne gireceği ve neye bakacağı anlaşılır</t>
        </is>
      </c>
      <c r="C17" s="144" t="inlineStr">
        <is>
          <t>Girdi → durum → aksiyon akışı</t>
        </is>
      </c>
      <c r="D17" s="144" t="inlineStr">
        <is>
          <t>Kılavuz aramaya zorlama</t>
        </is>
      </c>
      <c r="E17" s="144" t="inlineStr">
        <is>
          <t>5 saniye testi</t>
        </is>
      </c>
      <c r="F17" s="157" t="inlineStr">
        <is>
          <t>ZORUNLU</t>
        </is>
      </c>
    </row>
    <row r="18" ht="30" customHeight="1">
      <c r="A18" s="152" t="inlineStr">
        <is>
          <t>Buton standardı</t>
        </is>
      </c>
      <c r="B18" s="153" t="inlineStr">
        <is>
          <t>Buton görünümü verilen her alan gerçek işlev taşır</t>
        </is>
      </c>
      <c r="C18" s="153" t="inlineStr">
        <is>
          <t>Sayfa içi HYPERLINK / gerçek aksiyon; tıklanınca hedefe gider</t>
        </is>
      </c>
      <c r="D18" s="153" t="inlineStr">
        <is>
          <t>İşlevsiz dekoratif buton / sahte navigasyon</t>
        </is>
      </c>
      <c r="E18" s="153" t="inlineStr">
        <is>
          <t>Butonların %100'ü tıklanabilir ve hedefi doğru</t>
        </is>
      </c>
      <c r="F18" s="157" t="inlineStr">
        <is>
          <t>ZORUNLU</t>
        </is>
      </c>
    </row>
    <row r="19" ht="32" customHeight="1">
      <c r="A19" s="152" t="inlineStr">
        <is>
          <t>Native sayfa sekmesi rengi</t>
        </is>
      </c>
      <c r="B19" s="153" t="inlineStr">
        <is>
          <t>Excel alt sheet tabları kurumsal paletle renklendirilir</t>
        </is>
      </c>
      <c r="C19" s="153" t="inlineStr">
        <is>
          <t>Başlangıç/özet=lacivert; girdiler=mavi; hesap/finans=teal; karar/kontrol=burgundy; doküman=gri</t>
        </is>
      </c>
      <c r="D19" s="153" t="inlineStr">
        <is>
          <t>Renksiz sekmeler veya rastgele/gökkuşağı renkleri</t>
        </is>
      </c>
      <c r="E19" s="153" t="inlineStr">
        <is>
          <t>Tüm görünür kullanıcı sheet tabları renkli</t>
        </is>
      </c>
      <c r="F19" s="157" t="inlineStr">
        <is>
          <t>ZORUNLU</t>
        </is>
      </c>
    </row>
    <row r="20" ht="60" customHeight="1">
      <c r="A20" s="152" t="inlineStr">
        <is>
          <t>İş akışı sıralaması</t>
        </is>
      </c>
      <c r="B20" s="153" t="inlineStr">
        <is>
          <t>Sayfalar kullanıcının çalışma sırasına göre fiziksel olarak dizilir</t>
        </is>
      </c>
      <c r="C20" s="153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3" t="inlineStr">
        <is>
          <t>Teknik oluşturma sırasına göre dağınık sheet dizilimi</t>
        </is>
      </c>
      <c r="E20" s="153" t="inlineStr">
        <is>
          <t>Sheet order = tanımlı workflow</t>
        </is>
      </c>
      <c r="F20" s="157" t="inlineStr">
        <is>
          <t>ZORUNLU</t>
        </is>
      </c>
    </row>
    <row r="21" ht="30" customHeight="1">
      <c r="A21" s="152" t="inlineStr">
        <is>
          <t>Kurumsal renk paleti</t>
        </is>
      </c>
      <c r="B21" s="153" t="inlineStr">
        <is>
          <t>Sekme, başlık, buton ve vurgu renkleri tek kurumsal paletten gelir</t>
        </is>
      </c>
      <c r="C21" s="153" t="inlineStr">
        <is>
          <t>Lacivert + mavi + teal + kontrollü burgundy/gri; kategori semantiği sabit</t>
        </is>
      </c>
      <c r="D21" s="153" t="inlineStr">
        <is>
          <t>Neon, rastgele yüksek doygunluk, her sayfada farklı bağımsız renk</t>
        </is>
      </c>
      <c r="E21" s="153" t="inlineStr">
        <is>
          <t>Palette token kontrolü</t>
        </is>
      </c>
      <c r="F21" s="157" t="inlineStr">
        <is>
          <t>ZORUNLU</t>
        </is>
      </c>
    </row>
    <row r="22" ht="45" customHeight="1">
      <c r="A22" s="152" t="inlineStr">
        <is>
          <t>Premium vitrin</t>
        </is>
      </c>
      <c r="B22" s="153" t="inlineStr">
        <is>
          <t>Görsel kalite ürün değerinin zorunlu parçasıdır</t>
        </is>
      </c>
      <c r="C22" s="153" t="inlineStr">
        <is>
          <t>Kaliteli grafik, gerçek KPI kartı, finansal hiyerarşi, tab rengi, fonksiyonel navigasyon</t>
        </is>
      </c>
      <c r="D22" s="153" t="inlineStr">
        <is>
          <t>Sadece doğru hesap yapıp çıplak/varsayılan Excel görünümü bırakmak</t>
        </is>
      </c>
      <c r="E22" s="153" t="inlineStr">
        <is>
          <t>Görsel release incelemesi</t>
        </is>
      </c>
      <c r="F22" s="157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58" t="inlineStr">
        <is>
          <t>TÜRKİYE MUHASEBE VE TEKDÜZEN HESAP PLANI STANDARDI</t>
        </is>
      </c>
    </row>
    <row r="3" ht="24" customHeight="1">
      <c r="A3" s="159" t="inlineStr">
        <is>
          <t>Konu</t>
        </is>
      </c>
      <c r="B3" s="159" t="inlineStr">
        <is>
          <t>Zorunlu Standart</t>
        </is>
      </c>
      <c r="C3" s="159" t="inlineStr">
        <is>
          <t>Örnek Türkçe Ad</t>
        </is>
      </c>
      <c r="D3" s="159" t="inlineStr">
        <is>
          <t>THP / Mantık</t>
        </is>
      </c>
      <c r="E3" s="159" t="inlineStr">
        <is>
          <t>Hata Riski</t>
        </is>
      </c>
      <c r="F3" s="159" t="inlineStr">
        <is>
          <t>Kontrol</t>
        </is>
      </c>
    </row>
    <row r="4">
      <c r="A4" s="160" t="inlineStr">
        <is>
          <t>Dil</t>
        </is>
      </c>
      <c r="B4" s="144" t="inlineStr">
        <is>
          <t>Kullanıcıya görünen finansal terimler Türkçe</t>
        </is>
      </c>
      <c r="C4" s="144" t="inlineStr">
        <is>
          <t>Hasılat, Satışların Maliyeti, Brüt Kâr, Faaliyet Giderleri</t>
        </is>
      </c>
      <c r="D4" s="144" t="inlineStr">
        <is>
          <t>Türk işletme kullanımına uygun</t>
        </is>
      </c>
      <c r="E4" s="144" t="inlineStr">
        <is>
          <t>İngilizce jargon</t>
        </is>
      </c>
      <c r="F4" s="144" t="inlineStr">
        <is>
          <t>Terminoloji taraması</t>
        </is>
      </c>
    </row>
    <row r="5" ht="28" customHeight="1">
      <c r="A5" s="160" t="inlineStr">
        <is>
          <t>Gelir Tablosu</t>
        </is>
      </c>
      <c r="B5" s="144" t="inlineStr">
        <is>
          <t>Türk sunum sırası kullanılır</t>
        </is>
      </c>
      <c r="C5" s="144" t="inlineStr">
        <is>
          <t>Net Satışlar → Satışların Maliyeti → Brüt Kâr → Faaliyet Giderleri → Faaliyet Kârı</t>
        </is>
      </c>
      <c r="D5" s="144" t="inlineStr">
        <is>
          <t>600/610/611; 620-623; 63x</t>
        </is>
      </c>
      <c r="E5" s="144" t="inlineStr">
        <is>
          <t>Yanlış sınıflama</t>
        </is>
      </c>
      <c r="F5" s="144" t="inlineStr">
        <is>
          <t>Hesap eşleme</t>
        </is>
      </c>
    </row>
    <row r="6" ht="28" customHeight="1">
      <c r="A6" s="160" t="inlineStr">
        <is>
          <t>Bilanço</t>
        </is>
      </c>
      <c r="B6" s="144" t="inlineStr">
        <is>
          <t>Dönen/Duran Varlık ve Kısa/Uzun Vadeli Yükümlülük ayrımı</t>
        </is>
      </c>
      <c r="C6" s="144" t="inlineStr">
        <is>
          <t>Hazır Değerler, Ticari Alacaklar, Stoklar, Mali Borçlar</t>
        </is>
      </c>
      <c r="D6" s="144" t="inlineStr">
        <is>
          <t>1xx / 2xx / 3xx / 4xx / 5xx</t>
        </is>
      </c>
      <c r="E6" s="144" t="inlineStr">
        <is>
          <t>Vade sınıfı hatası</t>
        </is>
      </c>
      <c r="F6" s="144" t="inlineStr">
        <is>
          <t>Bilanço eşitliği</t>
        </is>
      </c>
    </row>
    <row r="7">
      <c r="A7" s="160" t="inlineStr">
        <is>
          <t>Nakit Akışı</t>
        </is>
      </c>
      <c r="B7" s="144" t="inlineStr">
        <is>
          <t>İşletme/Yatırım/Finansman nakit akışları ayrılır</t>
        </is>
      </c>
      <c r="C7" s="144" t="inlineStr">
        <is>
          <t>Faaliyetlerden Nakit, Yatırım Harcamaları, Finansman Nakit Akışı</t>
        </is>
      </c>
      <c r="D7" s="144" t="inlineStr">
        <is>
          <t>Dolaylı/doğrudan yöntem açık seçilir</t>
        </is>
      </c>
      <c r="E7" s="144" t="inlineStr">
        <is>
          <t>Kâr = nakit sanılması</t>
        </is>
      </c>
      <c r="F7" s="144" t="inlineStr">
        <is>
          <t>Nakit devri</t>
        </is>
      </c>
    </row>
    <row r="8">
      <c r="A8" s="160" t="inlineStr">
        <is>
          <t>Ticari Alacaklar</t>
        </is>
      </c>
      <c r="B8" s="144" t="inlineStr">
        <is>
          <t>Cari ve vade mantığı korunur</t>
        </is>
      </c>
      <c r="C8" s="144" t="inlineStr">
        <is>
          <t>120 Alıcılar</t>
        </is>
      </c>
      <c r="D8" s="144" t="inlineStr">
        <is>
          <t>120</t>
        </is>
      </c>
      <c r="E8" s="144" t="inlineStr">
        <is>
          <t>Tahakkuk/nakit karışması</t>
        </is>
      </c>
      <c r="F8" s="144" t="inlineStr">
        <is>
          <t>Alacak devir kontrolü</t>
        </is>
      </c>
    </row>
    <row r="9">
      <c r="A9" s="160" t="inlineStr">
        <is>
          <t>Ticari Borçlar</t>
        </is>
      </c>
      <c r="B9" s="144" t="inlineStr">
        <is>
          <t>Tedarikçi borcu ayrı izlenir</t>
        </is>
      </c>
      <c r="C9" s="144" t="inlineStr">
        <is>
          <t>320 Satıcılar</t>
        </is>
      </c>
      <c r="D9" s="144" t="inlineStr">
        <is>
          <t>320</t>
        </is>
      </c>
      <c r="E9" s="144" t="inlineStr">
        <is>
          <t>Gider/ödeme karışması</t>
        </is>
      </c>
      <c r="F9" s="144" t="inlineStr">
        <is>
          <t>Borç devir kontrolü</t>
        </is>
      </c>
    </row>
    <row r="10">
      <c r="A10" s="160" t="inlineStr">
        <is>
          <t>Kasa/Banka</t>
        </is>
      </c>
      <c r="B10" s="144" t="inlineStr">
        <is>
          <t>Hazır değerler ayrı izlenir</t>
        </is>
      </c>
      <c r="C10" s="144" t="inlineStr">
        <is>
          <t>100 Kasa, 102 Bankalar</t>
        </is>
      </c>
      <c r="D10" s="144" t="inlineStr">
        <is>
          <t>100 / 102</t>
        </is>
      </c>
      <c r="E10" s="144" t="inlineStr">
        <is>
          <t>Virmanla toplam nakdin değişmesi</t>
        </is>
      </c>
      <c r="F10" s="144" t="inlineStr">
        <is>
          <t>Virman değişmezi</t>
        </is>
      </c>
    </row>
    <row r="11">
      <c r="A11" s="160" t="inlineStr">
        <is>
          <t>Stok</t>
        </is>
      </c>
      <c r="B11" s="144" t="inlineStr">
        <is>
          <t>Dikeye uygun stok türü</t>
        </is>
      </c>
      <c r="C11" s="144" t="inlineStr">
        <is>
          <t>150 İlk Madde ve Malzeme, 153 Ticari Mallar</t>
        </is>
      </c>
      <c r="D11" s="144" t="inlineStr">
        <is>
          <t>15x</t>
        </is>
      </c>
      <c r="E11" s="144" t="inlineStr">
        <is>
          <t>Maliyet ve stok hareketinin kopması</t>
        </is>
      </c>
      <c r="F11" s="144" t="inlineStr">
        <is>
          <t>Stok devri</t>
        </is>
      </c>
    </row>
    <row r="12" ht="28" customHeight="1">
      <c r="A12" s="160" t="inlineStr">
        <is>
          <t>Maddi Duran Varlık</t>
        </is>
      </c>
      <c r="B12" s="144" t="inlineStr">
        <is>
          <t>Yatırım harcaması ve amortisman bağlantılı</t>
        </is>
      </c>
      <c r="C12" s="144" t="inlineStr">
        <is>
          <t>253 Tesis Makine Cihazlar, 255 Demirbaşlar, 257 Birikmiş Amortismanlar</t>
        </is>
      </c>
      <c r="D12" s="144" t="inlineStr">
        <is>
          <t>25x</t>
        </is>
      </c>
      <c r="E12" s="144" t="inlineStr">
        <is>
          <t>Yatırım/gider karışması</t>
        </is>
      </c>
      <c r="F12" s="144" t="inlineStr">
        <is>
          <t>Net defter değeri devri</t>
        </is>
      </c>
    </row>
    <row r="13">
      <c r="A13" s="160" t="inlineStr">
        <is>
          <t>Mali Borçlar</t>
        </is>
      </c>
      <c r="B13" s="144" t="inlineStr">
        <is>
          <t>Kısa/uzun vadeli borç ayrımı</t>
        </is>
      </c>
      <c r="C13" s="144" t="inlineStr">
        <is>
          <t>300 Banka Kredileri / 400 Banka Kredileri</t>
        </is>
      </c>
      <c r="D13" s="144" t="inlineStr">
        <is>
          <t>300 / 400</t>
        </is>
      </c>
      <c r="E13" s="144" t="inlineStr">
        <is>
          <t>Vade sınıfı yanlış</t>
        </is>
      </c>
      <c r="F13" s="144" t="inlineStr">
        <is>
          <t>Borç devri</t>
        </is>
      </c>
    </row>
    <row r="14">
      <c r="A14" s="160" t="inlineStr">
        <is>
          <t>Özkaynak</t>
        </is>
      </c>
      <c r="B14" s="144" t="inlineStr">
        <is>
          <t>Sermaye ve geçmiş yıl kârları ayrı</t>
        </is>
      </c>
      <c r="C14" s="144" t="inlineStr">
        <is>
          <t>500 Sermaye, 570 Geçmiş Yıllar Kârları, 590 Dönem Net Kârı</t>
        </is>
      </c>
      <c r="D14" s="144" t="inlineStr">
        <is>
          <t>5xx</t>
        </is>
      </c>
      <c r="E14" s="144" t="inlineStr">
        <is>
          <t>Net kâr bağının kopması</t>
        </is>
      </c>
      <c r="F14" s="144" t="inlineStr">
        <is>
          <t>Özkaynak devri</t>
        </is>
      </c>
    </row>
    <row r="15">
      <c r="A15" s="160" t="inlineStr">
        <is>
          <t>Vergi</t>
        </is>
      </c>
      <c r="B15" s="144" t="inlineStr">
        <is>
          <t>Vergi satırları Türkiye mantığına uygun</t>
        </is>
      </c>
      <c r="C15" s="144" t="inlineStr">
        <is>
          <t>Dönem Vergi ve Diğer Yasal Yükümlülük Karşılıkları</t>
        </is>
      </c>
      <c r="D15" s="144" t="inlineStr">
        <is>
          <t>37x / ilgili vergi hesapları</t>
        </is>
      </c>
      <c r="E15" s="144" t="inlineStr">
        <is>
          <t>Vergi etkisinin yanlış dönemlenmesi</t>
        </is>
      </c>
      <c r="F15" s="144" t="inlineStr">
        <is>
          <t>Vergi sözleşmesi</t>
        </is>
      </c>
    </row>
    <row r="16">
      <c r="A16" s="160" t="inlineStr">
        <is>
          <t>İsim standardı</t>
        </is>
      </c>
      <c r="B16" s="144" t="inlineStr">
        <is>
          <t>Tablo ve sayfa adları Türkçe ve işlevsel</t>
        </is>
      </c>
      <c r="C16" s="144" t="inlineStr">
        <is>
          <t>GELİR_TABLOSU, BİLANÇO, NAKİT_AKISI, BORC_PLANI</t>
        </is>
      </c>
      <c r="D16" s="144" t="inlineStr">
        <is>
          <t>Tekrarlanabilir standart</t>
        </is>
      </c>
      <c r="E16" s="144" t="inlineStr">
        <is>
          <t>İngilizce/karma isim</t>
        </is>
      </c>
      <c r="F16" s="144" t="inlineStr">
        <is>
          <t>Sayfa ve tablo taraması</t>
        </is>
      </c>
    </row>
    <row r="17">
      <c r="A17" s="160" t="inlineStr">
        <is>
          <t>THP eşleme tablosu</t>
        </is>
      </c>
      <c r="B17" s="144" t="inlineStr">
        <is>
          <t>Her kritik satır en az bir THP hesabına bağlanır</t>
        </is>
      </c>
      <c r="C17" s="144" t="inlineStr">
        <is>
          <t>RaporSatırı → HesapKodu → HesapAdı → İşaret → Dönem</t>
        </is>
      </c>
      <c r="D17" s="144" t="inlineStr">
        <is>
          <t>Kaynak izlenebilirliği</t>
        </is>
      </c>
      <c r="E17" s="144" t="inlineStr">
        <is>
          <t>Rapordan rapora kaynak</t>
        </is>
      </c>
      <c r="F17" s="144" t="inlineStr">
        <is>
          <t>Eşleme kapsama %100</t>
        </is>
      </c>
    </row>
    <row r="18">
      <c r="A18" s="160" t="inlineStr">
        <is>
          <t>İstisna</t>
        </is>
      </c>
      <c r="B18" s="144" t="inlineStr">
        <is>
          <t>TFRS özel ürün varsa fark açık yazılır</t>
        </is>
      </c>
      <c r="C18" s="144" t="inlineStr">
        <is>
          <t>Tekdüzen raporlama ≠ TFRS finansal tablo sunumu</t>
        </is>
      </c>
      <c r="D18" s="144" t="inlineStr">
        <is>
          <t>Amaç belirtilir</t>
        </is>
      </c>
      <c r="E18" s="144" t="inlineStr">
        <is>
          <t>Standartları karıştırma</t>
        </is>
      </c>
      <c r="F18" s="144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61" t="inlineStr">
        <is>
          <t>KARAR, GÜVEN VE SATIŞA HAZIRLIK STANDARDI</t>
        </is>
      </c>
    </row>
    <row r="3" ht="24" customHeight="1">
      <c r="A3" s="162" t="inlineStr">
        <is>
          <t>Alan</t>
        </is>
      </c>
      <c r="B3" s="162" t="inlineStr">
        <is>
          <t>Müşteri Sorusu</t>
        </is>
      </c>
      <c r="C3" s="162" t="inlineStr">
        <is>
          <t>Zorunlu Ürün Davranışı</t>
        </is>
      </c>
      <c r="D3" s="162" t="inlineStr">
        <is>
          <t>Kanıt</t>
        </is>
      </c>
      <c r="E3" s="162" t="inlineStr">
        <is>
          <t>Başarısızlık Durumu</t>
        </is>
      </c>
      <c r="F3" s="162" t="inlineStr">
        <is>
          <t>Kapı</t>
        </is>
      </c>
    </row>
    <row r="4">
      <c r="A4" s="163" t="inlineStr">
        <is>
          <t>5 saniye</t>
        </is>
      </c>
      <c r="B4" s="144" t="inlineStr">
        <is>
          <t>Bu ürün neyi çözüyor?</t>
        </is>
      </c>
      <c r="C4" s="144" t="inlineStr">
        <is>
          <t>İlk ekranda hedef kullanıcı + pahalı problem + sonuç görünür</t>
        </is>
      </c>
      <c r="D4" s="144" t="inlineStr">
        <is>
          <t>Başlık + alt mesaj + gerçek ekran</t>
        </is>
      </c>
      <c r="E4" s="144" t="inlineStr">
        <is>
          <t>Ürün yalnız teknik isim</t>
        </is>
      </c>
      <c r="F4" s="164" t="inlineStr">
        <is>
          <t>HATA</t>
        </is>
      </c>
    </row>
    <row r="5">
      <c r="A5" s="163" t="inlineStr">
        <is>
          <t>Acı</t>
        </is>
      </c>
      <c r="B5" s="144" t="inlineStr">
        <is>
          <t>Sorun bana neye mal oluyor?</t>
        </is>
      </c>
      <c r="C5" s="144" t="inlineStr">
        <is>
          <t>Mümkünse müşterinin kendi verisiyle parasal/zaman etkisi hesaplanır</t>
        </is>
      </c>
      <c r="D5" s="144" t="inlineStr">
        <is>
          <t>ROI/acı hesaplama yöntemi</t>
        </is>
      </c>
      <c r="E5" s="144" t="inlineStr">
        <is>
          <t>Uydurma tasarruf</t>
        </is>
      </c>
      <c r="F5" s="164" t="inlineStr">
        <is>
          <t>HATA</t>
        </is>
      </c>
    </row>
    <row r="6">
      <c r="A6" s="163" t="inlineStr">
        <is>
          <t>Karar</t>
        </is>
      </c>
      <c r="B6" s="144" t="inlineStr">
        <is>
          <t>Bu bilgiyle ne yapacağım?</t>
        </is>
      </c>
      <c r="C6" s="144" t="inlineStr">
        <is>
          <t>Her kritik KPI aksiyona bağlanır</t>
        </is>
      </c>
      <c r="D6" s="144" t="inlineStr">
        <is>
          <t>KARAR_KUYRUGU</t>
        </is>
      </c>
      <c r="E6" s="144" t="inlineStr">
        <is>
          <t>Sadece rapor</t>
        </is>
      </c>
      <c r="F6" s="164" t="inlineStr">
        <is>
          <t>HATA</t>
        </is>
      </c>
    </row>
    <row r="7">
      <c r="A7" s="163" t="inlineStr">
        <is>
          <t>Güven</t>
        </is>
      </c>
      <c r="B7" s="144" t="inlineStr">
        <is>
          <t>Bu sayıya neden inanayım?</t>
        </is>
      </c>
      <c r="C7" s="144" t="inlineStr">
        <is>
          <t>Kaynak, formül mantığı, kontrol ve son doğrulama görünür</t>
        </is>
      </c>
      <c r="D7" s="144" t="inlineStr">
        <is>
          <t>Kontroller + kaynak izi + sürüm</t>
        </is>
      </c>
      <c r="E7" s="144" t="inlineStr">
        <is>
          <t>Prestij kelimesi</t>
        </is>
      </c>
      <c r="F7" s="164" t="inlineStr">
        <is>
          <t>HATA</t>
        </is>
      </c>
    </row>
    <row r="8">
      <c r="A8" s="163" t="inlineStr">
        <is>
          <t>Referans</t>
        </is>
      </c>
      <c r="B8" s="144" t="inlineStr">
        <is>
          <t>Müşteri yorumu yoksa ne göstereceğim?</t>
        </is>
      </c>
      <c r="C8" s="144" t="inlineStr">
        <is>
          <t>Önce/Sonra + Karar Vakası + Hata Önleme Vakası üretilir</t>
        </is>
      </c>
      <c r="D8" s="144" t="inlineStr">
        <is>
          <t>Demo/örnek çıktı</t>
        </is>
      </c>
      <c r="E8" s="144" t="inlineStr">
        <is>
          <t>Kanıtsız iddia</t>
        </is>
      </c>
      <c r="F8" s="164" t="inlineStr">
        <is>
          <t>HATA</t>
        </is>
      </c>
    </row>
    <row r="9">
      <c r="A9" s="163" t="inlineStr">
        <is>
          <t>Senaryo</t>
        </is>
      </c>
      <c r="B9" s="144" t="inlineStr">
        <is>
          <t>Ne olursa işler bozulur?</t>
        </is>
      </c>
      <c r="C9" s="144" t="inlineStr">
        <is>
          <t>Baz/Aşağı/Yukarı veya uygun stres senaryosu</t>
        </is>
      </c>
      <c r="D9" s="144" t="inlineStr">
        <is>
          <t>Senaryo karşılaştırma</t>
        </is>
      </c>
      <c r="E9" s="144" t="inlineStr">
        <is>
          <t>Dekoratif senaryo</t>
        </is>
      </c>
      <c r="F9" s="164" t="inlineStr">
        <is>
          <t>HATA</t>
        </is>
      </c>
    </row>
    <row r="10">
      <c r="A10" s="163" t="inlineStr">
        <is>
          <t>Ters stres</t>
        </is>
      </c>
      <c r="B10" s="144" t="inlineStr">
        <is>
          <t>Hangi eşikte karar kırılır?</t>
        </is>
      </c>
      <c r="C10" s="144" t="inlineStr">
        <is>
          <t>En az bir kritik sürücü için kırılma eşiği</t>
        </is>
      </c>
      <c r="D10" s="144" t="inlineStr">
        <is>
          <t>Kırılma eşiği tablosu</t>
        </is>
      </c>
      <c r="E10" s="144" t="inlineStr">
        <is>
          <t>Sadece +/- %10</t>
        </is>
      </c>
      <c r="F10" s="164" t="inlineStr">
        <is>
          <t>UYARI/HATA</t>
        </is>
      </c>
    </row>
    <row r="11">
      <c r="A11" s="163" t="inlineStr">
        <is>
          <t>Hata tutarlılığı</t>
        </is>
      </c>
      <c r="B11" s="144" t="inlineStr">
        <is>
          <t>Formül hata verirse ne olur?</t>
        </is>
      </c>
      <c r="C11" s="144" t="inlineStr">
        <is>
          <t>Kontrol GEÇTİ veremez; BLOKE/HATA üretir</t>
        </is>
      </c>
      <c r="D11" s="144" t="inlineStr">
        <is>
          <t>Hata taraması</t>
        </is>
      </c>
      <c r="E11" s="144" t="inlineStr">
        <is>
          <t>Hata + GEÇTİ birlikte</t>
        </is>
      </c>
      <c r="F11" s="164" t="inlineStr">
        <is>
          <t>HATA</t>
        </is>
      </c>
    </row>
    <row r="12">
      <c r="A12" s="163" t="inlineStr">
        <is>
          <t>Karar motoru</t>
        </is>
      </c>
      <c r="B12" s="144" t="inlineStr">
        <is>
          <t>Ne oldu, neden oldu?</t>
        </is>
      </c>
      <c r="C12" s="144" t="inlineStr">
        <is>
          <t>Sorun + neden + parasal etki + aksiyon + son tarih</t>
        </is>
      </c>
      <c r="D12" s="144" t="inlineStr">
        <is>
          <t>Karar tablosu</t>
        </is>
      </c>
      <c r="E12" s="144" t="inlineStr">
        <is>
          <t>Boş sayfa / isim düzeyi modül</t>
        </is>
      </c>
      <c r="F12" s="164" t="inlineStr">
        <is>
          <t>HATA</t>
        </is>
      </c>
    </row>
    <row r="13">
      <c r="A13" s="163" t="inlineStr">
        <is>
          <t>Yönetici özeti</t>
        </is>
      </c>
      <c r="B13" s="144" t="inlineStr">
        <is>
          <t>5 saniyede ne görmeliyim?</t>
        </is>
      </c>
      <c r="C13" s="144" t="inlineStr">
        <is>
          <t>Bugün / ne değişti / ne bozulacak / neden / ne yapmalıyım / güven</t>
        </is>
      </c>
      <c r="D13" s="144" t="inlineStr">
        <is>
          <t>Yönetici özeti ekranı</t>
        </is>
      </c>
      <c r="E13" s="144" t="inlineStr">
        <is>
          <t>KPI kutusu yığını</t>
        </is>
      </c>
      <c r="F13" s="164" t="inlineStr">
        <is>
          <t>HATA</t>
        </is>
      </c>
    </row>
    <row r="14">
      <c r="A14" s="163" t="inlineStr">
        <is>
          <t>Teklif</t>
        </is>
      </c>
      <c r="B14" s="144" t="inlineStr">
        <is>
          <t>Neden satın almalıyım?</t>
        </is>
      </c>
      <c r="C14" s="144" t="inlineStr">
        <is>
          <t>Dosya özellikleri yerine sonuç ve kaçınılan maliyet sunulur</t>
        </is>
      </c>
      <c r="D14" s="144" t="inlineStr">
        <is>
          <t>Ürün sayfası kanıt eşlemesi</t>
        </is>
      </c>
      <c r="E14" s="144" t="inlineStr">
        <is>
          <t>Özellik listesiyle satış</t>
        </is>
      </c>
      <c r="F14" s="164" t="inlineStr">
        <is>
          <t>HATA</t>
        </is>
      </c>
    </row>
    <row r="15">
      <c r="A15" s="163" t="inlineStr">
        <is>
          <t>Dağıtım</t>
        </is>
      </c>
      <c r="B15" s="144" t="inlineStr">
        <is>
          <t>Beni nasıl bulacaklar?</t>
        </is>
      </c>
      <c r="C15" s="144" t="inlineStr">
        <is>
          <t>Sorun niyetine göre SEO sayfaları, iç bağlantı, temiz yapı, taranabilir metin</t>
        </is>
      </c>
      <c r="D15" s="144" t="inlineStr">
        <is>
          <t>Arama niyeti haritası</t>
        </is>
      </c>
      <c r="E15" s="144" t="inlineStr">
        <is>
          <t>Tek ürün sayfasına bağımlılık</t>
        </is>
      </c>
      <c r="F15" s="164" t="inlineStr">
        <is>
          <t>UYARI</t>
        </is>
      </c>
    </row>
    <row r="16" ht="28" customHeight="1">
      <c r="A16" s="163" t="inlineStr">
        <is>
          <t>LLM görünürlüğü</t>
        </is>
      </c>
      <c r="B16" s="144" t="inlineStr">
        <is>
          <t>AI ürünümü anlayabiliyor mu?</t>
        </is>
      </c>
      <c r="C16" s="144" t="inlineStr">
        <is>
          <t>Ürün tanımı, hedef kullanıcı, girdi/çıktı, metodoloji, sınırlar, SSS açık metindir</t>
        </is>
      </c>
      <c r="D16" s="144" t="inlineStr">
        <is>
          <t>Taranabilir ürün içeriği</t>
        </is>
      </c>
      <c r="E16" s="144" t="inlineStr">
        <is>
          <t>'AI SEO' iddiası</t>
        </is>
      </c>
      <c r="F16" s="164" t="inlineStr">
        <is>
          <t>UYARI</t>
        </is>
      </c>
    </row>
    <row r="17">
      <c r="A17" s="163" t="inlineStr">
        <is>
          <t>Satış kanalı</t>
        </is>
      </c>
      <c r="B17" s="144" t="inlineStr">
        <is>
          <t>Nerede satılmalı?</t>
        </is>
      </c>
      <c r="C17" s="144" t="inlineStr">
        <is>
          <t>Arama, LinkedIn, uzman/partner, demo/video; ürüne göre kanal seçilir</t>
        </is>
      </c>
      <c r="D17" s="144" t="inlineStr">
        <is>
          <t>Kanal matrisi</t>
        </is>
      </c>
      <c r="E17" s="144" t="inlineStr">
        <is>
          <t>Her ürüne aynı kanal</t>
        </is>
      </c>
      <c r="F17" s="164" t="inlineStr">
        <is>
          <t>UYARI</t>
        </is>
      </c>
    </row>
    <row r="18">
      <c r="A18" s="163" t="inlineStr">
        <is>
          <t>Fiyat</t>
        </is>
      </c>
      <c r="B18" s="144" t="inlineStr">
        <is>
          <t>Bu fiyat neden mantıklı?</t>
        </is>
      </c>
      <c r="C18" s="144" t="inlineStr">
        <is>
          <t>Fiyat, ekonomik karar değerine ve kanıtlanmış ürün derinliğine bağlanır</t>
        </is>
      </c>
      <c r="D18" s="144" t="inlineStr">
        <is>
          <t>Değer haritası + demo</t>
        </is>
      </c>
      <c r="E18" s="144" t="inlineStr">
        <is>
          <t>Sırf sayfa/formül sayısı</t>
        </is>
      </c>
      <c r="F18" s="164" t="inlineStr">
        <is>
          <t>HATA</t>
        </is>
      </c>
    </row>
    <row r="19">
      <c r="A19" s="163" t="inlineStr">
        <is>
          <t>Pazar kanıtı</t>
        </is>
      </c>
      <c r="B19" s="144" t="inlineStr">
        <is>
          <t>Piyasa gerçekten ödüyor mu?</t>
        </is>
      </c>
      <c r="C19" s="144" t="inlineStr">
        <is>
          <t>Satış/pilot/LOI/fiyat kabulü olmadan pazar doğrulandı yazılmaz</t>
        </is>
      </c>
      <c r="D19" s="144" t="inlineStr">
        <is>
          <t>Gerçek işlem kanıtı</t>
        </is>
      </c>
      <c r="E19" s="144" t="inlineStr">
        <is>
          <t>Tahmini talep = satış kabulü</t>
        </is>
      </c>
      <c r="F19" s="164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Filo Araç Maliyet Komutası</t>
        </is>
      </c>
    </row>
    <row r="3" ht="30" customHeight="1">
      <c r="A3" s="3" t="inlineStr">
        <is>
          <t>Filo Araç Maliyet Komutası</t>
        </is>
      </c>
    </row>
    <row r="4">
      <c r="A4" s="4" t="inlineStr">
        <is>
          <t>Araç filosunda km başı gerçek maliyeti yakıt + bakım + amortisman + sigorta kalemleriyle hesaplar; saha günlük girişi ≤6 alan; varlık sağlık skoru ve alarm kuyruğu üretir; UYGUN / DİKKAT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Km başı gerçek maliyet: yakıt + bakım + amortisman + sigorta</t>
        </is>
      </c>
    </row>
    <row r="8">
      <c r="A8" s="6" t="inlineStr">
        <is>
          <t>• Günlük saha girişi en fazla 6 alan — 30 saniye hedefi</t>
        </is>
      </c>
    </row>
    <row r="9">
      <c r="A9" s="6" t="inlineStr">
        <is>
          <t>• Varlık sağlık skoru formülle veriden türer (sabit skor yok)</t>
        </is>
      </c>
    </row>
    <row r="10">
      <c r="A10" s="6" t="inlineStr">
        <is>
          <t>• 12 aylık sezonsal maliyet zinciri ve alarm eşiği kuyruğu</t>
        </is>
      </c>
    </row>
    <row r="11">
      <c r="A11" s="6" t="inlineStr">
        <is>
          <t>• Makrosuz, çevrimdışı; telematik bağı yok</t>
        </is>
      </c>
    </row>
    <row r="13">
      <c r="A13" s="5" t="inlineStr">
        <is>
          <t>Kimler için?</t>
        </is>
      </c>
    </row>
    <row r="14">
      <c r="A14" s="7" t="inlineStr">
        <is>
          <t>• Saha / şoför koordinatörü — günlük km-yakıt-bakım satırı</t>
        </is>
      </c>
    </row>
    <row r="15">
      <c r="A15" s="7" t="inlineStr">
        <is>
          <t>• Filo yöneticisi — km başı maliyet ve karar panosu</t>
        </is>
      </c>
    </row>
    <row r="16">
      <c r="A16" s="7" t="inlineStr">
        <is>
          <t>• CFO / denetçi — dönemsel RAPOR kanıt çıktısı</t>
        </is>
      </c>
    </row>
    <row r="18">
      <c r="A18" s="5" t="inlineStr">
        <is>
          <t>Nasıl başlanır?</t>
        </is>
      </c>
    </row>
    <row r="19">
      <c r="A19" s="8" t="inlineStr">
        <is>
          <t>1) VARLIKLAR'a araç kartı girin. 2) GUNLUK_GIRIS'e günlük satır yazın. 3) DONEM_ANALIZ ve PANO'dan kararı görün. 4) RAPOR'dan çıktı alın.</t>
        </is>
      </c>
    </row>
    <row r="21">
      <c r="A21" s="9" t="inlineStr">
        <is>
          <t>Sürüm 1.0.0 | Kod: FAM-PRO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2742"/>
    <outlinePr summaryBelow="1" summaryRight="1"/>
    <pageSetUpPr/>
  </sheetPr>
  <dimension ref="A1:R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VARLIKLAR — Filo Araç Maliyet Komutası</t>
        </is>
      </c>
    </row>
    <row r="3" ht="20" customHeight="1">
      <c r="A3" s="10" t="inlineStr">
        <is>
          <t>Araç kartları — her varlığın tek kimliği vardır</t>
        </is>
      </c>
    </row>
    <row r="4">
      <c r="A4" s="12" t="inlineStr">
        <is>
          <t>Sonraki Kimlik</t>
        </is>
      </c>
      <c r="B4" s="13">
        <f>fam_sonrakiKimlik</f>
        <v/>
      </c>
    </row>
    <row r="5" ht="30" customHeight="1">
      <c r="A5" s="14" t="inlineStr">
        <is>
          <t>VarlikId</t>
        </is>
      </c>
      <c r="B5" s="14" t="inlineStr">
        <is>
          <t>PlakaAd</t>
        </is>
      </c>
      <c r="C5" s="14" t="inlineStr">
        <is>
          <t>Tip</t>
        </is>
      </c>
      <c r="D5" s="14" t="inlineStr">
        <is>
          <t>YakitTuru</t>
        </is>
      </c>
      <c r="E5" s="14" t="inlineStr">
        <is>
          <t>TuketimLt100km</t>
        </is>
      </c>
      <c r="F5" s="14" t="inlineStr">
        <is>
          <t>AmortismanTlKm</t>
        </is>
      </c>
      <c r="G5" s="14" t="inlineStr">
        <is>
          <t>SigortaYillikTl</t>
        </is>
      </c>
      <c r="H5" s="14" t="inlineStr">
        <is>
          <t>Aktif</t>
        </is>
      </c>
      <c r="I5" s="14" t="inlineStr">
        <is>
          <t>ToplamKm</t>
        </is>
      </c>
      <c r="J5" s="14" t="inlineStr">
        <is>
          <t>ToplamMaliyet</t>
        </is>
      </c>
      <c r="K5" s="14" t="inlineStr">
        <is>
          <t>OrtKmBasi</t>
        </is>
      </c>
      <c r="L5" s="14" t="inlineStr">
        <is>
          <t>SaglikSkor</t>
        </is>
      </c>
    </row>
    <row r="6">
      <c r="A6" s="15" t="inlineStr">
        <is>
          <t>ARC-00001</t>
        </is>
      </c>
      <c r="B6" s="15" t="inlineStr">
        <is>
          <t>Ford Transit 350</t>
        </is>
      </c>
      <c r="C6" s="15" t="inlineStr">
        <is>
          <t>Panelvan</t>
        </is>
      </c>
      <c r="D6" s="15" t="inlineStr">
        <is>
          <t>Dizel</t>
        </is>
      </c>
      <c r="E6" s="16" t="n">
        <v>9.5</v>
      </c>
      <c r="F6" s="17" t="n">
        <v>1.85</v>
      </c>
      <c r="G6" s="17" t="n">
        <v>42000</v>
      </c>
      <c r="H6" s="15" t="inlineStr">
        <is>
          <t>EVET</t>
        </is>
      </c>
      <c r="I6" s="18">
        <f>IF($A6="","",SUMIF(tblGunluk[VarlikId],$A6,tblGunluk[Km_km]))</f>
        <v/>
      </c>
      <c r="J6" s="18">
        <f>IF($A6="","",SUMIF(tblGunluk[VarlikId],$A6,tblGunluk[FormulToplamTl]))</f>
        <v/>
      </c>
      <c r="K6" s="18">
        <f>IF($A6="","",IFERROR(SUMIF(tblGunluk[VarlikId],$A6,tblGunluk[FormulToplamTl])/SUMIF(tblGunluk[VarlikId],$A6,tblGunluk[Km_km]),0))</f>
        <v/>
      </c>
      <c r="L6" s="18">
        <f>IF($A6="","",MAX(0,MIN(100,fam_kaliteTaban-IF($K6&gt;fam_esikKmBasi,fam_kaliteCeza,0)-COUNTIFS(tblGunluk[VarlikId],$A6,tblGunluk[AlarmBayrak],"ALARM")*fam_kaliteSapma-IF($H6="HAYIR",fam_kaliteCeza,0))))</f>
        <v/>
      </c>
    </row>
    <row r="7">
      <c r="A7" s="15" t="inlineStr">
        <is>
          <t>ARC-00002</t>
        </is>
      </c>
      <c r="B7" s="15" t="inlineStr">
        <is>
          <t>Mercedes Sprinter</t>
        </is>
      </c>
      <c r="C7" s="15" t="inlineStr">
        <is>
          <t>Panelvan</t>
        </is>
      </c>
      <c r="D7" s="15" t="inlineStr">
        <is>
          <t>Dizel</t>
        </is>
      </c>
      <c r="E7" s="16" t="n">
        <v>10.2</v>
      </c>
      <c r="F7" s="17" t="n">
        <v>2.1</v>
      </c>
      <c r="G7" s="17" t="n">
        <v>48000</v>
      </c>
      <c r="H7" s="15" t="inlineStr">
        <is>
          <t>EVET</t>
        </is>
      </c>
      <c r="I7" s="18">
        <f>IF($A7="","",SUMIF(tblGunluk[VarlikId],$A7,tblGunluk[Km_km]))</f>
        <v/>
      </c>
      <c r="J7" s="18">
        <f>IF($A7="","",SUMIF(tblGunluk[VarlikId],$A7,tblGunluk[FormulToplamTl]))</f>
        <v/>
      </c>
      <c r="K7" s="18">
        <f>IF($A7="","",IFERROR(SUMIF(tblGunluk[VarlikId],$A7,tblGunluk[FormulToplamTl])/SUMIF(tblGunluk[VarlikId],$A7,tblGunluk[Km_km]),0))</f>
        <v/>
      </c>
      <c r="L7" s="18">
        <f>IF($A7="","",MAX(0,MIN(100,fam_kaliteTaban-IF($K7&gt;fam_esikKmBasi,fam_kaliteCeza,0)-COUNTIFS(tblGunluk[VarlikId],$A7,tblGunluk[AlarmBayrak],"ALARM")*fam_kaliteSapma-IF($H7="HAYIR",fam_kaliteCeza,0))))</f>
        <v/>
      </c>
    </row>
    <row r="8">
      <c r="A8" s="15" t="inlineStr">
        <is>
          <t>ARC-00003</t>
        </is>
      </c>
      <c r="B8" s="15" t="inlineStr">
        <is>
          <t>Fiat Ducato</t>
        </is>
      </c>
      <c r="C8" s="15" t="inlineStr">
        <is>
          <t>Kamyonet</t>
        </is>
      </c>
      <c r="D8" s="15" t="inlineStr">
        <is>
          <t>Dizel</t>
        </is>
      </c>
      <c r="E8" s="16" t="n">
        <v>11</v>
      </c>
      <c r="F8" s="17" t="n">
        <v>1.7</v>
      </c>
      <c r="G8" s="17" t="n">
        <v>36000</v>
      </c>
      <c r="H8" s="15" t="inlineStr">
        <is>
          <t>EVET</t>
        </is>
      </c>
      <c r="I8" s="18">
        <f>IF($A8="","",SUMIF(tblGunluk[VarlikId],$A8,tblGunluk[Km_km]))</f>
        <v/>
      </c>
      <c r="J8" s="18">
        <f>IF($A8="","",SUMIF(tblGunluk[VarlikId],$A8,tblGunluk[FormulToplamTl]))</f>
        <v/>
      </c>
      <c r="K8" s="18">
        <f>IF($A8="","",IFERROR(SUMIF(tblGunluk[VarlikId],$A8,tblGunluk[FormulToplamTl])/SUMIF(tblGunluk[VarlikId],$A8,tblGunluk[Km_km]),0))</f>
        <v/>
      </c>
      <c r="L8" s="18">
        <f>IF($A8="","",MAX(0,MIN(100,fam_kaliteTaban-IF($K8&gt;fam_esikKmBasi,fam_kaliteCeza,0)-COUNTIFS(tblGunluk[VarlikId],$A8,tblGunluk[AlarmBayrak],"ALARM")*fam_kaliteSapma-IF($H8="HAYIR",fam_kaliteCeza,0))))</f>
        <v/>
      </c>
    </row>
    <row r="9">
      <c r="A9" s="15" t="inlineStr">
        <is>
          <t>ARC-00004</t>
        </is>
      </c>
      <c r="B9" s="15" t="inlineStr">
        <is>
          <t>VW Crafter</t>
        </is>
      </c>
      <c r="C9" s="15" t="inlineStr">
        <is>
          <t>Panelvan</t>
        </is>
      </c>
      <c r="D9" s="15" t="inlineStr">
        <is>
          <t>Dizel</t>
        </is>
      </c>
      <c r="E9" s="16" t="n">
        <v>9.800000000000001</v>
      </c>
      <c r="F9" s="17" t="n">
        <v>2</v>
      </c>
      <c r="G9" s="17" t="n">
        <v>45000</v>
      </c>
      <c r="H9" s="15" t="inlineStr">
        <is>
          <t>EVET</t>
        </is>
      </c>
      <c r="I9" s="18">
        <f>IF($A9="","",SUMIF(tblGunluk[VarlikId],$A9,tblGunluk[Km_km]))</f>
        <v/>
      </c>
      <c r="J9" s="18">
        <f>IF($A9="","",SUMIF(tblGunluk[VarlikId],$A9,tblGunluk[FormulToplamTl]))</f>
        <v/>
      </c>
      <c r="K9" s="18">
        <f>IF($A9="","",IFERROR(SUMIF(tblGunluk[VarlikId],$A9,tblGunluk[FormulToplamTl])/SUMIF(tblGunluk[VarlikId],$A9,tblGunluk[Km_km]),0))</f>
        <v/>
      </c>
      <c r="L9" s="18">
        <f>IF($A9="","",MAX(0,MIN(100,fam_kaliteTaban-IF($K9&gt;fam_esikKmBasi,fam_kaliteCeza,0)-COUNTIFS(tblGunluk[VarlikId],$A9,tblGunluk[AlarmBayrak],"ALARM")*fam_kaliteSapma-IF($H9="HAYIR",fam_kaliteCeza,0))))</f>
        <v/>
      </c>
    </row>
    <row r="10">
      <c r="A10" s="15" t="inlineStr">
        <is>
          <t>ARC-00005</t>
        </is>
      </c>
      <c r="B10" s="15" t="inlineStr">
        <is>
          <t>Isuzu NPR</t>
        </is>
      </c>
      <c r="C10" s="15" t="inlineStr">
        <is>
          <t>Kamyon</t>
        </is>
      </c>
      <c r="D10" s="15" t="inlineStr">
        <is>
          <t>Dizel</t>
        </is>
      </c>
      <c r="E10" s="16" t="n">
        <v>14.5</v>
      </c>
      <c r="F10" s="17" t="n">
        <v>2.4</v>
      </c>
      <c r="G10" s="17" t="n">
        <v>55000</v>
      </c>
      <c r="H10" s="15" t="inlineStr">
        <is>
          <t>EVET</t>
        </is>
      </c>
      <c r="I10" s="18">
        <f>IF($A10="","",SUMIF(tblGunluk[VarlikId],$A10,tblGunluk[Km_km]))</f>
        <v/>
      </c>
      <c r="J10" s="18">
        <f>IF($A10="","",SUMIF(tblGunluk[VarlikId],$A10,tblGunluk[FormulToplamTl]))</f>
        <v/>
      </c>
      <c r="K10" s="18">
        <f>IF($A10="","",IFERROR(SUMIF(tblGunluk[VarlikId],$A10,tblGunluk[FormulToplamTl])/SUMIF(tblGunluk[VarlikId],$A10,tblGunluk[Km_km]),0))</f>
        <v/>
      </c>
      <c r="L10" s="18">
        <f>IF($A10="","",MAX(0,MIN(100,fam_kaliteTaban-IF($K10&gt;fam_esikKmBasi,fam_kaliteCeza,0)-COUNTIFS(tblGunluk[VarlikId],$A10,tblGunluk[AlarmBayrak],"ALARM")*fam_kaliteSapma-IF($H10="HAYIR",fam_kaliteCeza,0))))</f>
        <v/>
      </c>
    </row>
    <row r="11">
      <c r="A11" s="15" t="inlineStr">
        <is>
          <t>ARC-00006</t>
        </is>
      </c>
      <c r="B11" s="15" t="inlineStr">
        <is>
          <t>Renault Master</t>
        </is>
      </c>
      <c r="C11" s="15" t="inlineStr">
        <is>
          <t>Panelvan</t>
        </is>
      </c>
      <c r="D11" s="15" t="inlineStr">
        <is>
          <t>Dizel</t>
        </is>
      </c>
      <c r="E11" s="16" t="n">
        <v>10</v>
      </c>
      <c r="F11" s="17" t="n">
        <v>1.9</v>
      </c>
      <c r="G11" s="17" t="n">
        <v>40000</v>
      </c>
      <c r="H11" s="15" t="inlineStr">
        <is>
          <t>EVET</t>
        </is>
      </c>
      <c r="I11" s="18">
        <f>IF($A11="","",SUMIF(tblGunluk[VarlikId],$A11,tblGunluk[Km_km]))</f>
        <v/>
      </c>
      <c r="J11" s="18">
        <f>IF($A11="","",SUMIF(tblGunluk[VarlikId],$A11,tblGunluk[FormulToplamTl]))</f>
        <v/>
      </c>
      <c r="K11" s="18">
        <f>IF($A11="","",IFERROR(SUMIF(tblGunluk[VarlikId],$A11,tblGunluk[FormulToplamTl])/SUMIF(tblGunluk[VarlikId],$A11,tblGunluk[Km_km]),0))</f>
        <v/>
      </c>
      <c r="L11" s="18">
        <f>IF($A11="","",MAX(0,MIN(100,fam_kaliteTaban-IF($K11&gt;fam_esikKmBasi,fam_kaliteCeza,0)-COUNTIFS(tblGunluk[VarlikId],$A11,tblGunluk[AlarmBayrak],"ALARM")*fam_kaliteSapma-IF($H11="HAYIR",fam_kaliteCeza,0))))</f>
        <v/>
      </c>
    </row>
    <row r="12">
      <c r="A12" s="15" t="inlineStr">
        <is>
          <t>ARC-00007</t>
        </is>
      </c>
      <c r="B12" s="15" t="inlineStr">
        <is>
          <t>Toyota Hilux</t>
        </is>
      </c>
      <c r="C12" s="15" t="inlineStr">
        <is>
          <t>Kamyonet</t>
        </is>
      </c>
      <c r="D12" s="15" t="inlineStr">
        <is>
          <t>Dizel</t>
        </is>
      </c>
      <c r="E12" s="16" t="n">
        <v>8.5</v>
      </c>
      <c r="F12" s="17" t="n">
        <v>1.6</v>
      </c>
      <c r="G12" s="17" t="n">
        <v>32000</v>
      </c>
      <c r="H12" s="15" t="inlineStr">
        <is>
          <t>EVET</t>
        </is>
      </c>
      <c r="I12" s="18">
        <f>IF($A12="","",SUMIF(tblGunluk[VarlikId],$A12,tblGunluk[Km_km]))</f>
        <v/>
      </c>
      <c r="J12" s="18">
        <f>IF($A12="","",SUMIF(tblGunluk[VarlikId],$A12,tblGunluk[FormulToplamTl]))</f>
        <v/>
      </c>
      <c r="K12" s="18">
        <f>IF($A12="","",IFERROR(SUMIF(tblGunluk[VarlikId],$A12,tblGunluk[FormulToplamTl])/SUMIF(tblGunluk[VarlikId],$A12,tblGunluk[Km_km]),0))</f>
        <v/>
      </c>
      <c r="L12" s="18">
        <f>IF($A12="","",MAX(0,MIN(100,fam_kaliteTaban-IF($K12&gt;fam_esikKmBasi,fam_kaliteCeza,0)-COUNTIFS(tblGunluk[VarlikId],$A12,tblGunluk[AlarmBayrak],"ALARM")*fam_kaliteSapma-IF($H12="HAYIR",fam_kaliteCeza,0))))</f>
        <v/>
      </c>
    </row>
    <row r="13">
      <c r="A13" s="15" t="inlineStr">
        <is>
          <t>ARC-00008</t>
        </is>
      </c>
      <c r="B13" s="15" t="inlineStr">
        <is>
          <t>MAN TGL</t>
        </is>
      </c>
      <c r="C13" s="15" t="inlineStr">
        <is>
          <t>Kamyon</t>
        </is>
      </c>
      <c r="D13" s="15" t="inlineStr">
        <is>
          <t>Dizel</t>
        </is>
      </c>
      <c r="E13" s="16" t="n">
        <v>16</v>
      </c>
      <c r="F13" s="17" t="n">
        <v>2.8</v>
      </c>
      <c r="G13" s="17" t="n">
        <v>62000</v>
      </c>
      <c r="H13" s="15" t="inlineStr">
        <is>
          <t>EVET</t>
        </is>
      </c>
      <c r="I13" s="18">
        <f>IF($A13="","",SUMIF(tblGunluk[VarlikId],$A13,tblGunluk[Km_km]))</f>
        <v/>
      </c>
      <c r="J13" s="18">
        <f>IF($A13="","",SUMIF(tblGunluk[VarlikId],$A13,tblGunluk[FormulToplamTl]))</f>
        <v/>
      </c>
      <c r="K13" s="18">
        <f>IF($A13="","",IFERROR(SUMIF(tblGunluk[VarlikId],$A13,tblGunluk[FormulToplamTl])/SUMIF(tblGunluk[VarlikId],$A13,tblGunluk[Km_km]),0))</f>
        <v/>
      </c>
      <c r="L13" s="18">
        <f>IF($A13="","",MAX(0,MIN(100,fam_kaliteTaban-IF($K13&gt;fam_esikKmBasi,fam_kaliteCeza,0)-COUNTIFS(tblGunluk[VarlikId],$A13,tblGunluk[AlarmBayrak],"ALARM")*fam_kaliteSapma-IF($H13="HAYIR",fam_kaliteCeza,0))))</f>
        <v/>
      </c>
    </row>
    <row r="14">
      <c r="A14" s="15" t="n"/>
      <c r="B14" s="15" t="n"/>
      <c r="C14" s="15" t="n"/>
      <c r="D14" s="15" t="n"/>
      <c r="E14" s="16" t="n"/>
      <c r="F14" s="17" t="n"/>
      <c r="G14" s="17" t="n"/>
      <c r="H14" s="15" t="n"/>
      <c r="I14" s="18">
        <f>IF($A14="","",SUMIF(tblGunluk[VarlikId],$A14,tblGunluk[Km_km]))</f>
        <v/>
      </c>
      <c r="J14" s="18">
        <f>IF($A14="","",SUMIF(tblGunluk[VarlikId],$A14,tblGunluk[FormulToplamTl]))</f>
        <v/>
      </c>
      <c r="K14" s="18">
        <f>IF($A14="","",IFERROR(SUMIF(tblGunluk[VarlikId],$A14,tblGunluk[FormulToplamTl])/SUMIF(tblGunluk[VarlikId],$A14,tblGunluk[Km_km]),0))</f>
        <v/>
      </c>
      <c r="L14" s="18">
        <f>IF($A14="","",MAX(0,MIN(100,fam_kaliteTaban-IF($K14&gt;fam_esikKmBasi,fam_kaliteCeza,0)-COUNTIFS(tblGunluk[VarlikId],$A14,tblGunluk[AlarmBayrak],"ALARM")*fam_kaliteSapma-IF($H14="HAYIR",fam_kaliteCeza,0))))</f>
        <v/>
      </c>
    </row>
    <row r="15">
      <c r="A15" s="15" t="n"/>
      <c r="B15" s="15" t="n"/>
      <c r="C15" s="15" t="n"/>
      <c r="D15" s="15" t="n"/>
      <c r="E15" s="16" t="n"/>
      <c r="F15" s="17" t="n"/>
      <c r="G15" s="17" t="n"/>
      <c r="H15" s="15" t="n"/>
      <c r="I15" s="18">
        <f>IF($A15="","",SUMIF(tblGunluk[VarlikId],$A15,tblGunluk[Km_km]))</f>
        <v/>
      </c>
      <c r="J15" s="18">
        <f>IF($A15="","",SUMIF(tblGunluk[VarlikId],$A15,tblGunluk[FormulToplamTl]))</f>
        <v/>
      </c>
      <c r="K15" s="18">
        <f>IF($A15="","",IFERROR(SUMIF(tblGunluk[VarlikId],$A15,tblGunluk[FormulToplamTl])/SUMIF(tblGunluk[VarlikId],$A15,tblGunluk[Km_km]),0))</f>
        <v/>
      </c>
      <c r="L15" s="18">
        <f>IF($A15="","",MAX(0,MIN(100,fam_kaliteTaban-IF($K15&gt;fam_esikKmBasi,fam_kaliteCeza,0)-COUNTIFS(tblGunluk[VarlikId],$A15,tblGunluk[AlarmBayrak],"ALARM")*fam_kaliteSapma-IF($H15="HAYIR",fam_kaliteCeza,0))))</f>
        <v/>
      </c>
    </row>
    <row r="16">
      <c r="A16" s="15" t="n"/>
      <c r="B16" s="15" t="n"/>
      <c r="C16" s="15" t="n"/>
      <c r="D16" s="15" t="n"/>
      <c r="E16" s="16" t="n"/>
      <c r="F16" s="17" t="n"/>
      <c r="G16" s="17" t="n"/>
      <c r="H16" s="15" t="n"/>
      <c r="I16" s="18">
        <f>IF($A16="","",SUMIF(tblGunluk[VarlikId],$A16,tblGunluk[Km_km]))</f>
        <v/>
      </c>
      <c r="J16" s="18">
        <f>IF($A16="","",SUMIF(tblGunluk[VarlikId],$A16,tblGunluk[FormulToplamTl]))</f>
        <v/>
      </c>
      <c r="K16" s="18">
        <f>IF($A16="","",IFERROR(SUMIF(tblGunluk[VarlikId],$A16,tblGunluk[FormulToplamTl])/SUMIF(tblGunluk[VarlikId],$A16,tblGunluk[Km_km]),0))</f>
        <v/>
      </c>
      <c r="L16" s="18">
        <f>IF($A16="","",MAX(0,MIN(100,fam_kaliteTaban-IF($K16&gt;fam_esikKmBasi,fam_kaliteCeza,0)-COUNTIFS(tblGunluk[VarlikId],$A16,tblGunluk[AlarmBayrak],"ALARM")*fam_kaliteSapma-IF($H16="HAYIR",fam_kaliteCeza,0))))</f>
        <v/>
      </c>
    </row>
    <row r="17">
      <c r="A17" s="15" t="n"/>
      <c r="B17" s="15" t="n"/>
      <c r="C17" s="15" t="n"/>
      <c r="D17" s="15" t="n"/>
      <c r="E17" s="16" t="n"/>
      <c r="F17" s="17" t="n"/>
      <c r="G17" s="17" t="n"/>
      <c r="H17" s="15" t="n"/>
      <c r="I17" s="18">
        <f>IF($A17="","",SUMIF(tblGunluk[VarlikId],$A17,tblGunluk[Km_km]))</f>
        <v/>
      </c>
      <c r="J17" s="18">
        <f>IF($A17="","",SUMIF(tblGunluk[VarlikId],$A17,tblGunluk[FormulToplamTl]))</f>
        <v/>
      </c>
      <c r="K17" s="18">
        <f>IF($A17="","",IFERROR(SUMIF(tblGunluk[VarlikId],$A17,tblGunluk[FormulToplamTl])/SUMIF(tblGunluk[VarlikId],$A17,tblGunluk[Km_km]),0))</f>
        <v/>
      </c>
      <c r="L17" s="18">
        <f>IF($A17="","",MAX(0,MIN(100,fam_kaliteTaban-IF($K17&gt;fam_esikKmBasi,fam_kaliteCeza,0)-COUNTIFS(tblGunluk[VarlikId],$A17,tblGunluk[AlarmBayrak],"ALARM")*fam_kaliteSapma-IF($H17="HAYIR",fam_kaliteCeza,0))))</f>
        <v/>
      </c>
    </row>
    <row r="18">
      <c r="A18" s="15" t="n"/>
      <c r="B18" s="15" t="n"/>
      <c r="C18" s="15" t="n"/>
      <c r="D18" s="15" t="n"/>
      <c r="E18" s="16" t="n"/>
      <c r="F18" s="17" t="n"/>
      <c r="G18" s="17" t="n"/>
      <c r="H18" s="15" t="n"/>
      <c r="I18" s="18">
        <f>IF($A18="","",SUMIF(tblGunluk[VarlikId],$A18,tblGunluk[Km_km]))</f>
        <v/>
      </c>
      <c r="J18" s="18">
        <f>IF($A18="","",SUMIF(tblGunluk[VarlikId],$A18,tblGunluk[FormulToplamTl]))</f>
        <v/>
      </c>
      <c r="K18" s="18">
        <f>IF($A18="","",IFERROR(SUMIF(tblGunluk[VarlikId],$A18,tblGunluk[FormulToplamTl])/SUMIF(tblGunluk[VarlikId],$A18,tblGunluk[Km_km]),0))</f>
        <v/>
      </c>
      <c r="L18" s="18">
        <f>IF($A18="","",MAX(0,MIN(100,fam_kaliteTaban-IF($K18&gt;fam_esikKmBasi,fam_kaliteCeza,0)-COUNTIFS(tblGunluk[VarlikId],$A18,tblGunluk[AlarmBayrak],"ALARM")*fam_kaliteSapma-IF($H18="HAYIR",fam_kaliteCeza,0))))</f>
        <v/>
      </c>
    </row>
    <row r="19">
      <c r="A19" s="15" t="n"/>
      <c r="B19" s="15" t="n"/>
      <c r="C19" s="15" t="n"/>
      <c r="D19" s="15" t="n"/>
      <c r="E19" s="16" t="n"/>
      <c r="F19" s="17" t="n"/>
      <c r="G19" s="17" t="n"/>
      <c r="H19" s="15" t="n"/>
      <c r="I19" s="18">
        <f>IF($A19="","",SUMIF(tblGunluk[VarlikId],$A19,tblGunluk[Km_km]))</f>
        <v/>
      </c>
      <c r="J19" s="18">
        <f>IF($A19="","",SUMIF(tblGunluk[VarlikId],$A19,tblGunluk[FormulToplamTl]))</f>
        <v/>
      </c>
      <c r="K19" s="18">
        <f>IF($A19="","",IFERROR(SUMIF(tblGunluk[VarlikId],$A19,tblGunluk[FormulToplamTl])/SUMIF(tblGunluk[VarlikId],$A19,tblGunluk[Km_km]),0))</f>
        <v/>
      </c>
      <c r="L19" s="18">
        <f>IF($A19="","",MAX(0,MIN(100,fam_kaliteTaban-IF($K19&gt;fam_esikKmBasi,fam_kaliteCeza,0)-COUNTIFS(tblGunluk[VarlikId],$A19,tblGunluk[AlarmBayrak],"ALARM")*fam_kaliteSapma-IF($H19="HAYIR",fam_kaliteCeza,0))))</f>
        <v/>
      </c>
    </row>
    <row r="20">
      <c r="A20" s="15" t="n"/>
      <c r="B20" s="15" t="n"/>
      <c r="C20" s="15" t="n"/>
      <c r="D20" s="15" t="n"/>
      <c r="E20" s="16" t="n"/>
      <c r="F20" s="17" t="n"/>
      <c r="G20" s="17" t="n"/>
      <c r="H20" s="15" t="n"/>
      <c r="I20" s="18">
        <f>IF($A20="","",SUMIF(tblGunluk[VarlikId],$A20,tblGunluk[Km_km]))</f>
        <v/>
      </c>
      <c r="J20" s="18">
        <f>IF($A20="","",SUMIF(tblGunluk[VarlikId],$A20,tblGunluk[FormulToplamTl]))</f>
        <v/>
      </c>
      <c r="K20" s="18">
        <f>IF($A20="","",IFERROR(SUMIF(tblGunluk[VarlikId],$A20,tblGunluk[FormulToplamTl])/SUMIF(tblGunluk[VarlikId],$A20,tblGunluk[Km_km]),0))</f>
        <v/>
      </c>
      <c r="L20" s="18">
        <f>IF($A20="","",MAX(0,MIN(100,fam_kaliteTaban-IF($K20&gt;fam_esikKmBasi,fam_kaliteCeza,0)-COUNTIFS(tblGunluk[VarlikId],$A20,tblGunluk[AlarmBayrak],"ALARM")*fam_kaliteSapma-IF($H20="HAYIR",fam_kaliteCeza,0))))</f>
        <v/>
      </c>
    </row>
    <row r="21">
      <c r="A21" s="15" t="n"/>
      <c r="B21" s="15" t="n"/>
      <c r="C21" s="15" t="n"/>
      <c r="D21" s="15" t="n"/>
      <c r="E21" s="16" t="n"/>
      <c r="F21" s="17" t="n"/>
      <c r="G21" s="17" t="n"/>
      <c r="H21" s="15" t="n"/>
      <c r="I21" s="18">
        <f>IF($A21="","",SUMIF(tblGunluk[VarlikId],$A21,tblGunluk[Km_km]))</f>
        <v/>
      </c>
      <c r="J21" s="18">
        <f>IF($A21="","",SUMIF(tblGunluk[VarlikId],$A21,tblGunluk[FormulToplamTl]))</f>
        <v/>
      </c>
      <c r="K21" s="18">
        <f>IF($A21="","",IFERROR(SUMIF(tblGunluk[VarlikId],$A21,tblGunluk[FormulToplamTl])/SUMIF(tblGunluk[VarlikId],$A21,tblGunluk[Km_km]),0))</f>
        <v/>
      </c>
      <c r="L21" s="18">
        <f>IF($A21="","",MAX(0,MIN(100,fam_kaliteTaban-IF($K21&gt;fam_esikKmBasi,fam_kaliteCeza,0)-COUNTIFS(tblGunluk[VarlikId],$A21,tblGunluk[AlarmBayrak],"ALARM")*fam_kaliteSapma-IF($H21="HAYIR",fam_kaliteCeza,0))))</f>
        <v/>
      </c>
    </row>
    <row r="22">
      <c r="A22" s="15" t="n"/>
      <c r="B22" s="15" t="n"/>
      <c r="C22" s="15" t="n"/>
      <c r="D22" s="15" t="n"/>
      <c r="E22" s="16" t="n"/>
      <c r="F22" s="17" t="n"/>
      <c r="G22" s="17" t="n"/>
      <c r="H22" s="15" t="n"/>
      <c r="I22" s="18">
        <f>IF($A22="","",SUMIF(tblGunluk[VarlikId],$A22,tblGunluk[Km_km]))</f>
        <v/>
      </c>
      <c r="J22" s="18">
        <f>IF($A22="","",SUMIF(tblGunluk[VarlikId],$A22,tblGunluk[FormulToplamTl]))</f>
        <v/>
      </c>
      <c r="K22" s="18">
        <f>IF($A22="","",IFERROR(SUMIF(tblGunluk[VarlikId],$A22,tblGunluk[FormulToplamTl])/SUMIF(tblGunluk[VarlikId],$A22,tblGunluk[Km_km]),0))</f>
        <v/>
      </c>
      <c r="L22" s="18">
        <f>IF($A22="","",MAX(0,MIN(100,fam_kaliteTaban-IF($K22&gt;fam_esikKmBasi,fam_kaliteCeza,0)-COUNTIFS(tblGunluk[VarlikId],$A22,tblGunluk[AlarmBayrak],"ALARM")*fam_kaliteSapma-IF($H22="HAYIR",fam_kaliteCeza,0))))</f>
        <v/>
      </c>
    </row>
    <row r="23">
      <c r="A23" s="15" t="n"/>
      <c r="B23" s="15" t="n"/>
      <c r="C23" s="15" t="n"/>
      <c r="D23" s="15" t="n"/>
      <c r="E23" s="16" t="n"/>
      <c r="F23" s="17" t="n"/>
      <c r="G23" s="17" t="n"/>
      <c r="H23" s="15" t="n"/>
      <c r="I23" s="18">
        <f>IF($A23="","",SUMIF(tblGunluk[VarlikId],$A23,tblGunluk[Km_km]))</f>
        <v/>
      </c>
      <c r="J23" s="18">
        <f>IF($A23="","",SUMIF(tblGunluk[VarlikId],$A23,tblGunluk[FormulToplamTl]))</f>
        <v/>
      </c>
      <c r="K23" s="18">
        <f>IF($A23="","",IFERROR(SUMIF(tblGunluk[VarlikId],$A23,tblGunluk[FormulToplamTl])/SUMIF(tblGunluk[VarlikId],$A23,tblGunluk[Km_km]),0))</f>
        <v/>
      </c>
      <c r="L23" s="18">
        <f>IF($A23="","",MAX(0,MIN(100,fam_kaliteTaban-IF($K23&gt;fam_esikKmBasi,fam_kaliteCeza,0)-COUNTIFS(tblGunluk[VarlikId],$A23,tblGunluk[AlarmBayrak],"ALARM")*fam_kaliteSapma-IF($H23="HAYIR",fam_kaliteCeza,0))))</f>
        <v/>
      </c>
    </row>
    <row r="24">
      <c r="A24" s="15" t="n"/>
      <c r="B24" s="15" t="n"/>
      <c r="C24" s="15" t="n"/>
      <c r="D24" s="15" t="n"/>
      <c r="E24" s="16" t="n"/>
      <c r="F24" s="17" t="n"/>
      <c r="G24" s="17" t="n"/>
      <c r="H24" s="15" t="n"/>
      <c r="I24" s="18">
        <f>IF($A24="","",SUMIF(tblGunluk[VarlikId],$A24,tblGunluk[Km_km]))</f>
        <v/>
      </c>
      <c r="J24" s="18">
        <f>IF($A24="","",SUMIF(tblGunluk[VarlikId],$A24,tblGunluk[FormulToplamTl]))</f>
        <v/>
      </c>
      <c r="K24" s="18">
        <f>IF($A24="","",IFERROR(SUMIF(tblGunluk[VarlikId],$A24,tblGunluk[FormulToplamTl])/SUMIF(tblGunluk[VarlikId],$A24,tblGunluk[Km_km]),0))</f>
        <v/>
      </c>
      <c r="L24" s="18">
        <f>IF($A24="","",MAX(0,MIN(100,fam_kaliteTaban-IF($K24&gt;fam_esikKmBasi,fam_kaliteCeza,0)-COUNTIFS(tblGunluk[VarlikId],$A24,tblGunluk[AlarmBayrak],"ALARM")*fam_kaliteSapma-IF($H24="HAYIR",fam_kaliteCeza,0))))</f>
        <v/>
      </c>
    </row>
    <row r="25">
      <c r="A25" s="15" t="n"/>
      <c r="B25" s="15" t="n"/>
      <c r="C25" s="15" t="n"/>
      <c r="D25" s="15" t="n"/>
      <c r="E25" s="16" t="n"/>
      <c r="F25" s="17" t="n"/>
      <c r="G25" s="17" t="n"/>
      <c r="H25" s="15" t="n"/>
      <c r="I25" s="18">
        <f>IF($A25="","",SUMIF(tblGunluk[VarlikId],$A25,tblGunluk[Km_km]))</f>
        <v/>
      </c>
      <c r="J25" s="18">
        <f>IF($A25="","",SUMIF(tblGunluk[VarlikId],$A25,tblGunluk[FormulToplamTl]))</f>
        <v/>
      </c>
      <c r="K25" s="18">
        <f>IF($A25="","",IFERROR(SUMIF(tblGunluk[VarlikId],$A25,tblGunluk[FormulToplamTl])/SUMIF(tblGunluk[VarlikId],$A25,tblGunluk[Km_km]),0))</f>
        <v/>
      </c>
      <c r="L25" s="18">
        <f>IF($A25="","",MAX(0,MIN(100,fam_kaliteTaban-IF($K25&gt;fam_esikKmBasi,fam_kaliteCeza,0)-COUNTIFS(tblGunluk[VarlikId],$A25,tblGunluk[AlarmBayrak],"ALARM")*fam_kaliteSapma-IF($H25="HAYIR",fam_kaliteCeza,0))))</f>
        <v/>
      </c>
    </row>
    <row r="26">
      <c r="A26" s="15" t="n"/>
      <c r="B26" s="15" t="n"/>
      <c r="C26" s="15" t="n"/>
      <c r="D26" s="15" t="n"/>
      <c r="E26" s="16" t="n"/>
      <c r="F26" s="17" t="n"/>
      <c r="G26" s="17" t="n"/>
      <c r="H26" s="15" t="n"/>
      <c r="I26" s="18">
        <f>IF($A26="","",SUMIF(tblGunluk[VarlikId],$A26,tblGunluk[Km_km]))</f>
        <v/>
      </c>
      <c r="J26" s="18">
        <f>IF($A26="","",SUMIF(tblGunluk[VarlikId],$A26,tblGunluk[FormulToplamTl]))</f>
        <v/>
      </c>
      <c r="K26" s="18">
        <f>IF($A26="","",IFERROR(SUMIF(tblGunluk[VarlikId],$A26,tblGunluk[FormulToplamTl])/SUMIF(tblGunluk[VarlikId],$A26,tblGunluk[Km_km]),0))</f>
        <v/>
      </c>
      <c r="L26" s="18">
        <f>IF($A26="","",MAX(0,MIN(100,fam_kaliteTaban-IF($K26&gt;fam_esikKmBasi,fam_kaliteCeza,0)-COUNTIFS(tblGunluk[VarlikId],$A26,tblGunluk[AlarmBayrak],"ALARM")*fam_kaliteSapma-IF($H26="HAYIR",fam_kaliteCeza,0))))</f>
        <v/>
      </c>
    </row>
    <row r="27">
      <c r="A27" s="15" t="n"/>
      <c r="B27" s="15" t="n"/>
      <c r="C27" s="15" t="n"/>
      <c r="D27" s="15" t="n"/>
      <c r="E27" s="16" t="n"/>
      <c r="F27" s="17" t="n"/>
      <c r="G27" s="17" t="n"/>
      <c r="H27" s="15" t="n"/>
      <c r="I27" s="18">
        <f>IF($A27="","",SUMIF(tblGunluk[VarlikId],$A27,tblGunluk[Km_km]))</f>
        <v/>
      </c>
      <c r="J27" s="18">
        <f>IF($A27="","",SUMIF(tblGunluk[VarlikId],$A27,tblGunluk[FormulToplamTl]))</f>
        <v/>
      </c>
      <c r="K27" s="18">
        <f>IF($A27="","",IFERROR(SUMIF(tblGunluk[VarlikId],$A27,tblGunluk[FormulToplamTl])/SUMIF(tblGunluk[VarlikId],$A27,tblGunluk[Km_km]),0))</f>
        <v/>
      </c>
      <c r="L27" s="18">
        <f>IF($A27="","",MAX(0,MIN(100,fam_kaliteTaban-IF($K27&gt;fam_esikKmBasi,fam_kaliteCeza,0)-COUNTIFS(tblGunluk[VarlikId],$A27,tblGunluk[AlarmBayrak],"ALARM")*fam_kaliteSapma-IF($H27="HAYIR",fam_kaliteCeza,0))))</f>
        <v/>
      </c>
    </row>
    <row r="28">
      <c r="A28" s="15" t="n"/>
      <c r="B28" s="15" t="n"/>
      <c r="C28" s="15" t="n"/>
      <c r="D28" s="15" t="n"/>
      <c r="E28" s="16" t="n"/>
      <c r="F28" s="17" t="n"/>
      <c r="G28" s="17" t="n"/>
      <c r="H28" s="15" t="n"/>
      <c r="I28" s="18">
        <f>IF($A28="","",SUMIF(tblGunluk[VarlikId],$A28,tblGunluk[Km_km]))</f>
        <v/>
      </c>
      <c r="J28" s="18">
        <f>IF($A28="","",SUMIF(tblGunluk[VarlikId],$A28,tblGunluk[FormulToplamTl]))</f>
        <v/>
      </c>
      <c r="K28" s="18">
        <f>IF($A28="","",IFERROR(SUMIF(tblGunluk[VarlikId],$A28,tblGunluk[FormulToplamTl])/SUMIF(tblGunluk[VarlikId],$A28,tblGunluk[Km_km]),0))</f>
        <v/>
      </c>
      <c r="L28" s="18">
        <f>IF($A28="","",MAX(0,MIN(100,fam_kaliteTaban-IF($K28&gt;fam_esikKmBasi,fam_kaliteCeza,0)-COUNTIFS(tblGunluk[VarlikId],$A28,tblGunluk[AlarmBayrak],"ALARM")*fam_kaliteSapma-IF($H28="HAYIR",fam_kaliteCeza,0))))</f>
        <v/>
      </c>
    </row>
    <row r="29">
      <c r="A29" s="15" t="n"/>
      <c r="B29" s="15" t="n"/>
      <c r="C29" s="15" t="n"/>
      <c r="D29" s="15" t="n"/>
      <c r="E29" s="16" t="n"/>
      <c r="F29" s="17" t="n"/>
      <c r="G29" s="17" t="n"/>
      <c r="H29" s="15" t="n"/>
      <c r="I29" s="18">
        <f>IF($A29="","",SUMIF(tblGunluk[VarlikId],$A29,tblGunluk[Km_km]))</f>
        <v/>
      </c>
      <c r="J29" s="18">
        <f>IF($A29="","",SUMIF(tblGunluk[VarlikId],$A29,tblGunluk[FormulToplamTl]))</f>
        <v/>
      </c>
      <c r="K29" s="18">
        <f>IF($A29="","",IFERROR(SUMIF(tblGunluk[VarlikId],$A29,tblGunluk[FormulToplamTl])/SUMIF(tblGunluk[VarlikId],$A29,tblGunluk[Km_km]),0))</f>
        <v/>
      </c>
      <c r="L29" s="18">
        <f>IF($A29="","",MAX(0,MIN(100,fam_kaliteTaban-IF($K29&gt;fam_esikKmBasi,fam_kaliteCeza,0)-COUNTIFS(tblGunluk[VarlikId],$A29,tblGunluk[AlarmBayrak],"ALARM")*fam_kaliteSapma-IF($H29="HAYIR",fam_kaliteCeza,0))))</f>
        <v/>
      </c>
    </row>
    <row r="30">
      <c r="A30" s="15" t="n"/>
      <c r="B30" s="15" t="n"/>
      <c r="C30" s="15" t="n"/>
      <c r="D30" s="15" t="n"/>
      <c r="E30" s="16" t="n"/>
      <c r="F30" s="17" t="n"/>
      <c r="G30" s="17" t="n"/>
      <c r="H30" s="15" t="n"/>
      <c r="I30" s="18">
        <f>IF($A30="","",SUMIF(tblGunluk[VarlikId],$A30,tblGunluk[Km_km]))</f>
        <v/>
      </c>
      <c r="J30" s="18">
        <f>IF($A30="","",SUMIF(tblGunluk[VarlikId],$A30,tblGunluk[FormulToplamTl]))</f>
        <v/>
      </c>
      <c r="K30" s="18">
        <f>IF($A30="","",IFERROR(SUMIF(tblGunluk[VarlikId],$A30,tblGunluk[FormulToplamTl])/SUMIF(tblGunluk[VarlikId],$A30,tblGunluk[Km_km]),0))</f>
        <v/>
      </c>
      <c r="L30" s="18">
        <f>IF($A30="","",MAX(0,MIN(100,fam_kaliteTaban-IF($K30&gt;fam_esikKmBasi,fam_kaliteCeza,0)-COUNTIFS(tblGunluk[VarlikId],$A30,tblGunluk[AlarmBayrak],"ALARM")*fam_kaliteSapma-IF($H30="HAYIR",fam_kaliteCeza,0))))</f>
        <v/>
      </c>
    </row>
    <row r="31">
      <c r="A31" s="15" t="n"/>
      <c r="B31" s="15" t="n"/>
      <c r="C31" s="15" t="n"/>
      <c r="D31" s="15" t="n"/>
      <c r="E31" s="16" t="n"/>
      <c r="F31" s="17" t="n"/>
      <c r="G31" s="17" t="n"/>
      <c r="H31" s="15" t="n"/>
      <c r="I31" s="18">
        <f>IF($A31="","",SUMIF(tblGunluk[VarlikId],$A31,tblGunluk[Km_km]))</f>
        <v/>
      </c>
      <c r="J31" s="18">
        <f>IF($A31="","",SUMIF(tblGunluk[VarlikId],$A31,tblGunluk[FormulToplamTl]))</f>
        <v/>
      </c>
      <c r="K31" s="18">
        <f>IF($A31="","",IFERROR(SUMIF(tblGunluk[VarlikId],$A31,tblGunluk[FormulToplamTl])/SUMIF(tblGunluk[VarlikId],$A31,tblGunluk[Km_km]),0))</f>
        <v/>
      </c>
      <c r="L31" s="18">
        <f>IF($A31="","",MAX(0,MIN(100,fam_kaliteTaban-IF($K31&gt;fam_esikKmBasi,fam_kaliteCeza,0)-COUNTIFS(tblGunluk[VarlikId],$A31,tblGunluk[AlarmBayrak],"ALARM")*fam_kaliteSapma-IF($H31="HAYIR",fam_kaliteCeza,0))))</f>
        <v/>
      </c>
    </row>
    <row r="32">
      <c r="A32" s="15" t="n"/>
      <c r="B32" s="15" t="n"/>
      <c r="C32" s="15" t="n"/>
      <c r="D32" s="15" t="n"/>
      <c r="E32" s="16" t="n"/>
      <c r="F32" s="17" t="n"/>
      <c r="G32" s="17" t="n"/>
      <c r="H32" s="15" t="n"/>
      <c r="I32" s="18">
        <f>IF($A32="","",SUMIF(tblGunluk[VarlikId],$A32,tblGunluk[Km_km]))</f>
        <v/>
      </c>
      <c r="J32" s="18">
        <f>IF($A32="","",SUMIF(tblGunluk[VarlikId],$A32,tblGunluk[FormulToplamTl]))</f>
        <v/>
      </c>
      <c r="K32" s="18">
        <f>IF($A32="","",IFERROR(SUMIF(tblGunluk[VarlikId],$A32,tblGunluk[FormulToplamTl])/SUMIF(tblGunluk[VarlikId],$A32,tblGunluk[Km_km]),0))</f>
        <v/>
      </c>
      <c r="L32" s="18">
        <f>IF($A32="","",MAX(0,MIN(100,fam_kaliteTaban-IF($K32&gt;fam_esikKmBasi,fam_kaliteCeza,0)-COUNTIFS(tblGunluk[VarlikId],$A32,tblGunluk[AlarmBayrak],"ALARM")*fam_kaliteSapma-IF($H32="HAYIR",fam_kaliteCeza,0))))</f>
        <v/>
      </c>
    </row>
    <row r="33">
      <c r="A33" s="15" t="n"/>
      <c r="B33" s="15" t="n"/>
      <c r="C33" s="15" t="n"/>
      <c r="D33" s="15" t="n"/>
      <c r="E33" s="16" t="n"/>
      <c r="F33" s="17" t="n"/>
      <c r="G33" s="17" t="n"/>
      <c r="H33" s="15" t="n"/>
      <c r="I33" s="18">
        <f>IF($A33="","",SUMIF(tblGunluk[VarlikId],$A33,tblGunluk[Km_km]))</f>
        <v/>
      </c>
      <c r="J33" s="18">
        <f>IF($A33="","",SUMIF(tblGunluk[VarlikId],$A33,tblGunluk[FormulToplamTl]))</f>
        <v/>
      </c>
      <c r="K33" s="18">
        <f>IF($A33="","",IFERROR(SUMIF(tblGunluk[VarlikId],$A33,tblGunluk[FormulToplamTl])/SUMIF(tblGunluk[VarlikId],$A33,tblGunluk[Km_km]),0))</f>
        <v/>
      </c>
      <c r="L33" s="18">
        <f>IF($A33="","",MAX(0,MIN(100,fam_kaliteTaban-IF($K33&gt;fam_esikKmBasi,fam_kaliteCeza,0)-COUNTIFS(tblGunluk[VarlikId],$A33,tblGunluk[AlarmBayrak],"ALARM")*fam_kaliteSapma-IF($H33="HAYIR",fam_kaliteCeza,0))))</f>
        <v/>
      </c>
    </row>
    <row r="34">
      <c r="A34" s="15" t="n"/>
      <c r="B34" s="15" t="n"/>
      <c r="C34" s="15" t="n"/>
      <c r="D34" s="15" t="n"/>
      <c r="E34" s="16" t="n"/>
      <c r="F34" s="17" t="n"/>
      <c r="G34" s="17" t="n"/>
      <c r="H34" s="15" t="n"/>
      <c r="I34" s="18">
        <f>IF($A34="","",SUMIF(tblGunluk[VarlikId],$A34,tblGunluk[Km_km]))</f>
        <v/>
      </c>
      <c r="J34" s="18">
        <f>IF($A34="","",SUMIF(tblGunluk[VarlikId],$A34,tblGunluk[FormulToplamTl]))</f>
        <v/>
      </c>
      <c r="K34" s="18">
        <f>IF($A34="","",IFERROR(SUMIF(tblGunluk[VarlikId],$A34,tblGunluk[FormulToplamTl])/SUMIF(tblGunluk[VarlikId],$A34,tblGunluk[Km_km]),0))</f>
        <v/>
      </c>
      <c r="L34" s="18">
        <f>IF($A34="","",MAX(0,MIN(100,fam_kaliteTaban-IF($K34&gt;fam_esikKmBasi,fam_kaliteCeza,0)-COUNTIFS(tblGunluk[VarlikId],$A34,tblGunluk[AlarmBayrak],"ALARM")*fam_kaliteSapma-IF($H34="HAYIR",fam_kaliteCeza,0))))</f>
        <v/>
      </c>
    </row>
    <row r="35">
      <c r="A35" s="15" t="n"/>
      <c r="B35" s="15" t="n"/>
      <c r="C35" s="15" t="n"/>
      <c r="D35" s="15" t="n"/>
      <c r="E35" s="16" t="n"/>
      <c r="F35" s="17" t="n"/>
      <c r="G35" s="17" t="n"/>
      <c r="H35" s="15" t="n"/>
      <c r="I35" s="18">
        <f>IF($A35="","",SUMIF(tblGunluk[VarlikId],$A35,tblGunluk[Km_km]))</f>
        <v/>
      </c>
      <c r="J35" s="18">
        <f>IF($A35="","",SUMIF(tblGunluk[VarlikId],$A35,tblGunluk[FormulToplamTl]))</f>
        <v/>
      </c>
      <c r="K35" s="18">
        <f>IF($A35="","",IFERROR(SUMIF(tblGunluk[VarlikId],$A35,tblGunluk[FormulToplamTl])/SUMIF(tblGunluk[VarlikId],$A35,tblGunluk[Km_km]),0))</f>
        <v/>
      </c>
      <c r="L35" s="18">
        <f>IF($A35="","",MAX(0,MIN(100,fam_kaliteTaban-IF($K35&gt;fam_esikKmBasi,fam_kaliteCeza,0)-COUNTIFS(tblGunluk[VarlikId],$A35,tblGunluk[AlarmBayrak],"ALARM")*fam_kaliteSapma-IF($H35="HAYIR",fam_kaliteCeza,0))))</f>
        <v/>
      </c>
    </row>
    <row r="36">
      <c r="A36" s="15" t="n"/>
      <c r="B36" s="15" t="n"/>
      <c r="C36" s="15" t="n"/>
      <c r="D36" s="15" t="n"/>
      <c r="E36" s="16" t="n"/>
      <c r="F36" s="17" t="n"/>
      <c r="G36" s="17" t="n"/>
      <c r="H36" s="15" t="n"/>
      <c r="I36" s="18">
        <f>IF($A36="","",SUMIF(tblGunluk[VarlikId],$A36,tblGunluk[Km_km]))</f>
        <v/>
      </c>
      <c r="J36" s="18">
        <f>IF($A36="","",SUMIF(tblGunluk[VarlikId],$A36,tblGunluk[FormulToplamTl]))</f>
        <v/>
      </c>
      <c r="K36" s="18">
        <f>IF($A36="","",IFERROR(SUMIF(tblGunluk[VarlikId],$A36,tblGunluk[FormulToplamTl])/SUMIF(tblGunluk[VarlikId],$A36,tblGunluk[Km_km]),0))</f>
        <v/>
      </c>
      <c r="L36" s="18">
        <f>IF($A36="","",MAX(0,MIN(100,fam_kaliteTaban-IF($K36&gt;fam_esikKmBasi,fam_kaliteCeza,0)-COUNTIFS(tblGunluk[VarlikId],$A36,tblGunluk[AlarmBayrak],"ALARM")*fam_kaliteSapma-IF($H36="HAYIR",fam_kaliteCeza,0))))</f>
        <v/>
      </c>
    </row>
    <row r="37">
      <c r="A37" s="15" t="n"/>
      <c r="B37" s="15" t="n"/>
      <c r="C37" s="15" t="n"/>
      <c r="D37" s="15" t="n"/>
      <c r="E37" s="16" t="n"/>
      <c r="F37" s="17" t="n"/>
      <c r="G37" s="17" t="n"/>
      <c r="H37" s="15" t="n"/>
      <c r="I37" s="18">
        <f>IF($A37="","",SUMIF(tblGunluk[VarlikId],$A37,tblGunluk[Km_km]))</f>
        <v/>
      </c>
      <c r="J37" s="18">
        <f>IF($A37="","",SUMIF(tblGunluk[VarlikId],$A37,tblGunluk[FormulToplamTl]))</f>
        <v/>
      </c>
      <c r="K37" s="18">
        <f>IF($A37="","",IFERROR(SUMIF(tblGunluk[VarlikId],$A37,tblGunluk[FormulToplamTl])/SUMIF(tblGunluk[VarlikId],$A37,tblGunluk[Km_km]),0))</f>
        <v/>
      </c>
      <c r="L37" s="18">
        <f>IF($A37="","",MAX(0,MIN(100,fam_kaliteTaban-IF($K37&gt;fam_esikKmBasi,fam_kaliteCeza,0)-COUNTIFS(tblGunluk[VarlikId],$A37,tblGunluk[AlarmBayrak],"ALARM")*fam_kaliteSapma-IF($H37="HAYIR",fam_kaliteCeza,0))))</f>
        <v/>
      </c>
    </row>
    <row r="38">
      <c r="A38" s="15" t="n"/>
      <c r="B38" s="15" t="n"/>
      <c r="C38" s="15" t="n"/>
      <c r="D38" s="15" t="n"/>
      <c r="E38" s="16" t="n"/>
      <c r="F38" s="17" t="n"/>
      <c r="G38" s="17" t="n"/>
      <c r="H38" s="15" t="n"/>
      <c r="I38" s="18">
        <f>IF($A38="","",SUMIF(tblGunluk[VarlikId],$A38,tblGunluk[Km_km]))</f>
        <v/>
      </c>
      <c r="J38" s="18">
        <f>IF($A38="","",SUMIF(tblGunluk[VarlikId],$A38,tblGunluk[FormulToplamTl]))</f>
        <v/>
      </c>
      <c r="K38" s="18">
        <f>IF($A38="","",IFERROR(SUMIF(tblGunluk[VarlikId],$A38,tblGunluk[FormulToplamTl])/SUMIF(tblGunluk[VarlikId],$A38,tblGunluk[Km_km]),0))</f>
        <v/>
      </c>
      <c r="L38" s="18">
        <f>IF($A38="","",MAX(0,MIN(100,fam_kaliteTaban-IF($K38&gt;fam_esikKmBasi,fam_kaliteCeza,0)-COUNTIFS(tblGunluk[VarlikId],$A38,tblGunluk[AlarmBayrak],"ALARM")*fam_kaliteSapma-IF($H38="HAYIR",fam_kaliteCeza,0))))</f>
        <v/>
      </c>
    </row>
    <row r="39">
      <c r="A39" s="15" t="n"/>
      <c r="B39" s="15" t="n"/>
      <c r="C39" s="15" t="n"/>
      <c r="D39" s="15" t="n"/>
      <c r="E39" s="16" t="n"/>
      <c r="F39" s="17" t="n"/>
      <c r="G39" s="17" t="n"/>
      <c r="H39" s="15" t="n"/>
      <c r="I39" s="18">
        <f>IF($A39="","",SUMIF(tblGunluk[VarlikId],$A39,tblGunluk[Km_km]))</f>
        <v/>
      </c>
      <c r="J39" s="18">
        <f>IF($A39="","",SUMIF(tblGunluk[VarlikId],$A39,tblGunluk[FormulToplamTl]))</f>
        <v/>
      </c>
      <c r="K39" s="18">
        <f>IF($A39="","",IFERROR(SUMIF(tblGunluk[VarlikId],$A39,tblGunluk[FormulToplamTl])/SUMIF(tblGunluk[VarlikId],$A39,tblGunluk[Km_km]),0))</f>
        <v/>
      </c>
      <c r="L39" s="18">
        <f>IF($A39="","",MAX(0,MIN(100,fam_kaliteTaban-IF($K39&gt;fam_esikKmBasi,fam_kaliteCeza,0)-COUNTIFS(tblGunluk[VarlikId],$A39,tblGunluk[AlarmBayrak],"ALARM")*fam_kaliteSapma-IF($H39="HAYIR",fam_kaliteCeza,0))))</f>
        <v/>
      </c>
    </row>
    <row r="40">
      <c r="A40" s="15" t="n"/>
      <c r="B40" s="15" t="n"/>
      <c r="C40" s="15" t="n"/>
      <c r="D40" s="15" t="n"/>
      <c r="E40" s="16" t="n"/>
      <c r="F40" s="17" t="n"/>
      <c r="G40" s="17" t="n"/>
      <c r="H40" s="15" t="n"/>
      <c r="I40" s="18">
        <f>IF($A40="","",SUMIF(tblGunluk[VarlikId],$A40,tblGunluk[Km_km]))</f>
        <v/>
      </c>
      <c r="J40" s="18">
        <f>IF($A40="","",SUMIF(tblGunluk[VarlikId],$A40,tblGunluk[FormulToplamTl]))</f>
        <v/>
      </c>
      <c r="K40" s="18">
        <f>IF($A40="","",IFERROR(SUMIF(tblGunluk[VarlikId],$A40,tblGunluk[FormulToplamTl])/SUMIF(tblGunluk[VarlikId],$A40,tblGunluk[Km_km]),0))</f>
        <v/>
      </c>
      <c r="L40" s="18">
        <f>IF($A40="","",MAX(0,MIN(100,fam_kaliteTaban-IF($K40&gt;fam_esikKmBasi,fam_kaliteCeza,0)-COUNTIFS(tblGunluk[VarlikId],$A40,tblGunluk[AlarmBayrak],"ALARM")*fam_kaliteSapma-IF($H40="HAYIR",fam_kaliteCeza,0))))</f>
        <v/>
      </c>
    </row>
    <row r="41">
      <c r="A41" s="15" t="n"/>
      <c r="B41" s="15" t="n"/>
      <c r="C41" s="15" t="n"/>
      <c r="D41" s="15" t="n"/>
      <c r="E41" s="16" t="n"/>
      <c r="F41" s="17" t="n"/>
      <c r="G41" s="17" t="n"/>
      <c r="H41" s="15" t="n"/>
      <c r="I41" s="18">
        <f>IF($A41="","",SUMIF(tblGunluk[VarlikId],$A41,tblGunluk[Km_km]))</f>
        <v/>
      </c>
      <c r="J41" s="18">
        <f>IF($A41="","",SUMIF(tblGunluk[VarlikId],$A41,tblGunluk[FormulToplamTl]))</f>
        <v/>
      </c>
      <c r="K41" s="18">
        <f>IF($A41="","",IFERROR(SUMIF(tblGunluk[VarlikId],$A41,tblGunluk[FormulToplamTl])/SUMIF(tblGunluk[VarlikId],$A41,tblGunluk[Km_km]),0))</f>
        <v/>
      </c>
      <c r="L41" s="18">
        <f>IF($A41="","",MAX(0,MIN(100,fam_kaliteTaban-IF($K41&gt;fam_esikKmBasi,fam_kaliteCeza,0)-COUNTIFS(tblGunluk[VarlikId],$A41,tblGunluk[AlarmBayrak],"ALARM")*fam_kaliteSapma-IF($H41="HAYIR",fam_kaliteCeza,0))))</f>
        <v/>
      </c>
    </row>
    <row r="42">
      <c r="A42" s="15" t="n"/>
      <c r="B42" s="15" t="n"/>
      <c r="C42" s="15" t="n"/>
      <c r="D42" s="15" t="n"/>
      <c r="E42" s="16" t="n"/>
      <c r="F42" s="17" t="n"/>
      <c r="G42" s="17" t="n"/>
      <c r="H42" s="15" t="n"/>
      <c r="I42" s="18">
        <f>IF($A42="","",SUMIF(tblGunluk[VarlikId],$A42,tblGunluk[Km_km]))</f>
        <v/>
      </c>
      <c r="J42" s="18">
        <f>IF($A42="","",SUMIF(tblGunluk[VarlikId],$A42,tblGunluk[FormulToplamTl]))</f>
        <v/>
      </c>
      <c r="K42" s="18">
        <f>IF($A42="","",IFERROR(SUMIF(tblGunluk[VarlikId],$A42,tblGunluk[FormulToplamTl])/SUMIF(tblGunluk[VarlikId],$A42,tblGunluk[Km_km]),0))</f>
        <v/>
      </c>
      <c r="L42" s="18">
        <f>IF($A42="","",MAX(0,MIN(100,fam_kaliteTaban-IF($K42&gt;fam_esikKmBasi,fam_kaliteCeza,0)-COUNTIFS(tblGunluk[VarlikId],$A42,tblGunluk[AlarmBayrak],"ALARM")*fam_kaliteSapma-IF($H42="HAYIR",fam_kaliteCeza,0))))</f>
        <v/>
      </c>
    </row>
    <row r="43">
      <c r="A43" s="15" t="n"/>
      <c r="B43" s="15" t="n"/>
      <c r="C43" s="15" t="n"/>
      <c r="D43" s="15" t="n"/>
      <c r="E43" s="16" t="n"/>
      <c r="F43" s="17" t="n"/>
      <c r="G43" s="17" t="n"/>
      <c r="H43" s="15" t="n"/>
      <c r="I43" s="18">
        <f>IF($A43="","",SUMIF(tblGunluk[VarlikId],$A43,tblGunluk[Km_km]))</f>
        <v/>
      </c>
      <c r="J43" s="18">
        <f>IF($A43="","",SUMIF(tblGunluk[VarlikId],$A43,tblGunluk[FormulToplamTl]))</f>
        <v/>
      </c>
      <c r="K43" s="18">
        <f>IF($A43="","",IFERROR(SUMIF(tblGunluk[VarlikId],$A43,tblGunluk[FormulToplamTl])/SUMIF(tblGunluk[VarlikId],$A43,tblGunluk[Km_km]),0))</f>
        <v/>
      </c>
      <c r="L43" s="18">
        <f>IF($A43="","",MAX(0,MIN(100,fam_kaliteTaban-IF($K43&gt;fam_esikKmBasi,fam_kaliteCeza,0)-COUNTIFS(tblGunluk[VarlikId],$A43,tblGunluk[AlarmBayrak],"ALARM")*fam_kaliteSapma-IF($H43="HAYIR",fam_kaliteCeza,0))))</f>
        <v/>
      </c>
    </row>
    <row r="44">
      <c r="A44" s="15" t="n"/>
      <c r="B44" s="15" t="n"/>
      <c r="C44" s="15" t="n"/>
      <c r="D44" s="15" t="n"/>
      <c r="E44" s="16" t="n"/>
      <c r="F44" s="17" t="n"/>
      <c r="G44" s="17" t="n"/>
      <c r="H44" s="15" t="n"/>
      <c r="I44" s="18">
        <f>IF($A44="","",SUMIF(tblGunluk[VarlikId],$A44,tblGunluk[Km_km]))</f>
        <v/>
      </c>
      <c r="J44" s="18">
        <f>IF($A44="","",SUMIF(tblGunluk[VarlikId],$A44,tblGunluk[FormulToplamTl]))</f>
        <v/>
      </c>
      <c r="K44" s="18">
        <f>IF($A44="","",IFERROR(SUMIF(tblGunluk[VarlikId],$A44,tblGunluk[FormulToplamTl])/SUMIF(tblGunluk[VarlikId],$A44,tblGunluk[Km_km]),0))</f>
        <v/>
      </c>
      <c r="L44" s="18">
        <f>IF($A44="","",MAX(0,MIN(100,fam_kaliteTaban-IF($K44&gt;fam_esikKmBasi,fam_kaliteCeza,0)-COUNTIFS(tblGunluk[VarlikId],$A44,tblGunluk[AlarmBayrak],"ALARM")*fam_kaliteSapma-IF($H44="HAYIR",fam_kaliteCeza,0))))</f>
        <v/>
      </c>
    </row>
    <row r="45">
      <c r="A45" s="15" t="n"/>
      <c r="B45" s="15" t="n"/>
      <c r="C45" s="15" t="n"/>
      <c r="D45" s="15" t="n"/>
      <c r="E45" s="16" t="n"/>
      <c r="F45" s="17" t="n"/>
      <c r="G45" s="17" t="n"/>
      <c r="H45" s="15" t="n"/>
      <c r="I45" s="18">
        <f>IF($A45="","",SUMIF(tblGunluk[VarlikId],$A45,tblGunluk[Km_km]))</f>
        <v/>
      </c>
      <c r="J45" s="18">
        <f>IF($A45="","",SUMIF(tblGunluk[VarlikId],$A45,tblGunluk[FormulToplamTl]))</f>
        <v/>
      </c>
      <c r="K45" s="18">
        <f>IF($A45="","",IFERROR(SUMIF(tblGunluk[VarlikId],$A45,tblGunluk[FormulToplamTl])/SUMIF(tblGunluk[VarlikId],$A45,tblGunluk[Km_km]),0))</f>
        <v/>
      </c>
      <c r="L45" s="18">
        <f>IF($A45="","",MAX(0,MIN(100,fam_kaliteTaban-IF($K45&gt;fam_esikKmBasi,fam_kaliteCeza,0)-COUNTIFS(tblGunluk[VarlikId],$A45,tblGunluk[AlarmBayrak],"ALARM")*fam_kaliteSapma-IF($H45="HAYIR",fam_kaliteCeza,0))))</f>
        <v/>
      </c>
    </row>
    <row r="46">
      <c r="A46" s="15" t="n"/>
      <c r="B46" s="15" t="n"/>
      <c r="C46" s="15" t="n"/>
      <c r="D46" s="15" t="n"/>
      <c r="E46" s="16" t="n"/>
      <c r="F46" s="17" t="n"/>
      <c r="G46" s="17" t="n"/>
      <c r="H46" s="15" t="n"/>
      <c r="I46" s="18">
        <f>IF($A46="","",SUMIF(tblGunluk[VarlikId],$A46,tblGunluk[Km_km]))</f>
        <v/>
      </c>
      <c r="J46" s="18">
        <f>IF($A46="","",SUMIF(tblGunluk[VarlikId],$A46,tblGunluk[FormulToplamTl]))</f>
        <v/>
      </c>
      <c r="K46" s="18">
        <f>IF($A46="","",IFERROR(SUMIF(tblGunluk[VarlikId],$A46,tblGunluk[FormulToplamTl])/SUMIF(tblGunluk[VarlikId],$A46,tblGunluk[Km_km]),0))</f>
        <v/>
      </c>
      <c r="L46" s="18">
        <f>IF($A46="","",MAX(0,MIN(100,fam_kaliteTaban-IF($K46&gt;fam_esikKmBasi,fam_kaliteCeza,0)-COUNTIFS(tblGunluk[VarlikId],$A46,tblGunluk[AlarmBayrak],"ALARM")*fam_kaliteSapma-IF($H46="HAYIR",fam_kaliteCeza,0))))</f>
        <v/>
      </c>
    </row>
    <row r="47">
      <c r="A47" s="15" t="n"/>
      <c r="B47" s="15" t="n"/>
      <c r="C47" s="15" t="n"/>
      <c r="D47" s="15" t="n"/>
      <c r="E47" s="16" t="n"/>
      <c r="F47" s="17" t="n"/>
      <c r="G47" s="17" t="n"/>
      <c r="H47" s="15" t="n"/>
      <c r="I47" s="18">
        <f>IF($A47="","",SUMIF(tblGunluk[VarlikId],$A47,tblGunluk[Km_km]))</f>
        <v/>
      </c>
      <c r="J47" s="18">
        <f>IF($A47="","",SUMIF(tblGunluk[VarlikId],$A47,tblGunluk[FormulToplamTl]))</f>
        <v/>
      </c>
      <c r="K47" s="18">
        <f>IF($A47="","",IFERROR(SUMIF(tblGunluk[VarlikId],$A47,tblGunluk[FormulToplamTl])/SUMIF(tblGunluk[VarlikId],$A47,tblGunluk[Km_km]),0))</f>
        <v/>
      </c>
      <c r="L47" s="18">
        <f>IF($A47="","",MAX(0,MIN(100,fam_kaliteTaban-IF($K47&gt;fam_esikKmBasi,fam_kaliteCeza,0)-COUNTIFS(tblGunluk[VarlikId],$A47,tblGunluk[AlarmBayrak],"ALARM")*fam_kaliteSapma-IF($H47="HAYIR",fam_kaliteCeza,0))))</f>
        <v/>
      </c>
    </row>
    <row r="48">
      <c r="A48" s="15" t="n"/>
      <c r="B48" s="15" t="n"/>
      <c r="C48" s="15" t="n"/>
      <c r="D48" s="15" t="n"/>
      <c r="E48" s="16" t="n"/>
      <c r="F48" s="17" t="n"/>
      <c r="G48" s="17" t="n"/>
      <c r="H48" s="15" t="n"/>
      <c r="I48" s="18">
        <f>IF($A48="","",SUMIF(tblGunluk[VarlikId],$A48,tblGunluk[Km_km]))</f>
        <v/>
      </c>
      <c r="J48" s="18">
        <f>IF($A48="","",SUMIF(tblGunluk[VarlikId],$A48,tblGunluk[FormulToplamTl]))</f>
        <v/>
      </c>
      <c r="K48" s="18">
        <f>IF($A48="","",IFERROR(SUMIF(tblGunluk[VarlikId],$A48,tblGunluk[FormulToplamTl])/SUMIF(tblGunluk[VarlikId],$A48,tblGunluk[Km_km]),0))</f>
        <v/>
      </c>
      <c r="L48" s="18">
        <f>IF($A48="","",MAX(0,MIN(100,fam_kaliteTaban-IF($K48&gt;fam_esikKmBasi,fam_kaliteCeza,0)-COUNTIFS(tblGunluk[VarlikId],$A48,tblGunluk[AlarmBayrak],"ALARM")*fam_kaliteSapma-IF($H48="HAYIR",fam_kaliteCeza,0))))</f>
        <v/>
      </c>
    </row>
    <row r="49">
      <c r="A49" s="15" t="n"/>
      <c r="B49" s="15" t="n"/>
      <c r="C49" s="15" t="n"/>
      <c r="D49" s="15" t="n"/>
      <c r="E49" s="16" t="n"/>
      <c r="F49" s="17" t="n"/>
      <c r="G49" s="17" t="n"/>
      <c r="H49" s="15" t="n"/>
      <c r="I49" s="18">
        <f>IF($A49="","",SUMIF(tblGunluk[VarlikId],$A49,tblGunluk[Km_km]))</f>
        <v/>
      </c>
      <c r="J49" s="18">
        <f>IF($A49="","",SUMIF(tblGunluk[VarlikId],$A49,tblGunluk[FormulToplamTl]))</f>
        <v/>
      </c>
      <c r="K49" s="18">
        <f>IF($A49="","",IFERROR(SUMIF(tblGunluk[VarlikId],$A49,tblGunluk[FormulToplamTl])/SUMIF(tblGunluk[VarlikId],$A49,tblGunluk[Km_km]),0))</f>
        <v/>
      </c>
      <c r="L49" s="18">
        <f>IF($A49="","",MAX(0,MIN(100,fam_kaliteTaban-IF($K49&gt;fam_esikKmBasi,fam_kaliteCeza,0)-COUNTIFS(tblGunluk[VarlikId],$A49,tblGunluk[AlarmBayrak],"ALARM")*fam_kaliteSapma-IF($H49="HAYIR",fam_kaliteCeza,0))))</f>
        <v/>
      </c>
    </row>
    <row r="50">
      <c r="A50" s="15" t="n"/>
      <c r="B50" s="15" t="n"/>
      <c r="C50" s="15" t="n"/>
      <c r="D50" s="15" t="n"/>
      <c r="E50" s="16" t="n"/>
      <c r="F50" s="17" t="n"/>
      <c r="G50" s="17" t="n"/>
      <c r="H50" s="15" t="n"/>
      <c r="I50" s="18">
        <f>IF($A50="","",SUMIF(tblGunluk[VarlikId],$A50,tblGunluk[Km_km]))</f>
        <v/>
      </c>
      <c r="J50" s="18">
        <f>IF($A50="","",SUMIF(tblGunluk[VarlikId],$A50,tblGunluk[FormulToplamTl]))</f>
        <v/>
      </c>
      <c r="K50" s="18">
        <f>IF($A50="","",IFERROR(SUMIF(tblGunluk[VarlikId],$A50,tblGunluk[FormulToplamTl])/SUMIF(tblGunluk[VarlikId],$A50,tblGunluk[Km_km]),0))</f>
        <v/>
      </c>
      <c r="L50" s="18">
        <f>IF($A50="","",MAX(0,MIN(100,fam_kaliteTaban-IF($K50&gt;fam_esikKmBasi,fam_kaliteCeza,0)-COUNTIFS(tblGunluk[VarlikId],$A50,tblGunluk[AlarmBayrak],"ALARM")*fam_kaliteSapma-IF($H50="HAYIR",fam_kaliteCeza,0))))</f>
        <v/>
      </c>
    </row>
    <row r="51">
      <c r="A51" s="15" t="n"/>
      <c r="B51" s="15" t="n"/>
      <c r="C51" s="15" t="n"/>
      <c r="D51" s="15" t="n"/>
      <c r="E51" s="16" t="n"/>
      <c r="F51" s="17" t="n"/>
      <c r="G51" s="17" t="n"/>
      <c r="H51" s="15" t="n"/>
      <c r="I51" s="18">
        <f>IF($A51="","",SUMIF(tblGunluk[VarlikId],$A51,tblGunluk[Km_km]))</f>
        <v/>
      </c>
      <c r="J51" s="18">
        <f>IF($A51="","",SUMIF(tblGunluk[VarlikId],$A51,tblGunluk[FormulToplamTl]))</f>
        <v/>
      </c>
      <c r="K51" s="18">
        <f>IF($A51="","",IFERROR(SUMIF(tblGunluk[VarlikId],$A51,tblGunluk[FormulToplamTl])/SUMIF(tblGunluk[VarlikId],$A51,tblGunluk[Km_km]),0))</f>
        <v/>
      </c>
      <c r="L51" s="18">
        <f>IF($A51="","",MAX(0,MIN(100,fam_kaliteTaban-IF($K51&gt;fam_esikKmBasi,fam_kaliteCeza,0)-COUNTIFS(tblGunluk[VarlikId],$A51,tblGunluk[AlarmBayrak],"ALARM")*fam_kaliteSapma-IF($H51="HAYIR",fam_kaliteCeza,0))))</f>
        <v/>
      </c>
    </row>
    <row r="52">
      <c r="A52" s="15" t="n"/>
      <c r="B52" s="15" t="n"/>
      <c r="C52" s="15" t="n"/>
      <c r="D52" s="15" t="n"/>
      <c r="E52" s="16" t="n"/>
      <c r="F52" s="17" t="n"/>
      <c r="G52" s="17" t="n"/>
      <c r="H52" s="15" t="n"/>
      <c r="I52" s="18">
        <f>IF($A52="","",SUMIF(tblGunluk[VarlikId],$A52,tblGunluk[Km_km]))</f>
        <v/>
      </c>
      <c r="J52" s="18">
        <f>IF($A52="","",SUMIF(tblGunluk[VarlikId],$A52,tblGunluk[FormulToplamTl]))</f>
        <v/>
      </c>
      <c r="K52" s="18">
        <f>IF($A52="","",IFERROR(SUMIF(tblGunluk[VarlikId],$A52,tblGunluk[FormulToplamTl])/SUMIF(tblGunluk[VarlikId],$A52,tblGunluk[Km_km]),0))</f>
        <v/>
      </c>
      <c r="L52" s="18">
        <f>IF($A52="","",MAX(0,MIN(100,fam_kaliteTaban-IF($K52&gt;fam_esikKmBasi,fam_kaliteCeza,0)-COUNTIFS(tblGunluk[VarlikId],$A52,tblGunluk[AlarmBayrak],"ALARM")*fam_kaliteSapma-IF($H52="HAYIR",fam_kaliteCeza,0))))</f>
        <v/>
      </c>
    </row>
    <row r="53">
      <c r="A53" s="15" t="n"/>
      <c r="B53" s="15" t="n"/>
      <c r="C53" s="15" t="n"/>
      <c r="D53" s="15" t="n"/>
      <c r="E53" s="16" t="n"/>
      <c r="F53" s="17" t="n"/>
      <c r="G53" s="17" t="n"/>
      <c r="H53" s="15" t="n"/>
      <c r="I53" s="18">
        <f>IF($A53="","",SUMIF(tblGunluk[VarlikId],$A53,tblGunluk[Km_km]))</f>
        <v/>
      </c>
      <c r="J53" s="18">
        <f>IF($A53="","",SUMIF(tblGunluk[VarlikId],$A53,tblGunluk[FormulToplamTl]))</f>
        <v/>
      </c>
      <c r="K53" s="18">
        <f>IF($A53="","",IFERROR(SUMIF(tblGunluk[VarlikId],$A53,tblGunluk[FormulToplamTl])/SUMIF(tblGunluk[VarlikId],$A53,tblGunluk[Km_km]),0))</f>
        <v/>
      </c>
      <c r="L53" s="18">
        <f>IF($A53="","",MAX(0,MIN(100,fam_kaliteTaban-IF($K53&gt;fam_esikKmBasi,fam_kaliteCeza,0)-COUNTIFS(tblGunluk[VarlikId],$A53,tblGunluk[AlarmBayrak],"ALARM")*fam_kaliteSapma-IF($H53="HAYIR",fam_kaliteCeza,0))))</f>
        <v/>
      </c>
    </row>
    <row r="54">
      <c r="A54" s="15" t="n"/>
      <c r="B54" s="15" t="n"/>
      <c r="C54" s="15" t="n"/>
      <c r="D54" s="15" t="n"/>
      <c r="E54" s="16" t="n"/>
      <c r="F54" s="17" t="n"/>
      <c r="G54" s="17" t="n"/>
      <c r="H54" s="15" t="n"/>
      <c r="I54" s="18">
        <f>IF($A54="","",SUMIF(tblGunluk[VarlikId],$A54,tblGunluk[Km_km]))</f>
        <v/>
      </c>
      <c r="J54" s="18">
        <f>IF($A54="","",SUMIF(tblGunluk[VarlikId],$A54,tblGunluk[FormulToplamTl]))</f>
        <v/>
      </c>
      <c r="K54" s="18">
        <f>IF($A54="","",IFERROR(SUMIF(tblGunluk[VarlikId],$A54,tblGunluk[FormulToplamTl])/SUMIF(tblGunluk[VarlikId],$A54,tblGunluk[Km_km]),0))</f>
        <v/>
      </c>
      <c r="L54" s="18">
        <f>IF($A54="","",MAX(0,MIN(100,fam_kaliteTaban-IF($K54&gt;fam_esikKmBasi,fam_kaliteCeza,0)-COUNTIFS(tblGunluk[VarlikId],$A54,tblGunluk[AlarmBayrak],"ALARM")*fam_kaliteSapma-IF($H54="HAYIR",fam_kaliteCeza,0))))</f>
        <v/>
      </c>
    </row>
    <row r="55">
      <c r="A55" s="15" t="n"/>
      <c r="B55" s="15" t="n"/>
      <c r="C55" s="15" t="n"/>
      <c r="D55" s="15" t="n"/>
      <c r="E55" s="16" t="n"/>
      <c r="F55" s="17" t="n"/>
      <c r="G55" s="17" t="n"/>
      <c r="H55" s="15" t="n"/>
      <c r="I55" s="18">
        <f>IF($A55="","",SUMIF(tblGunluk[VarlikId],$A55,tblGunluk[Km_km]))</f>
        <v/>
      </c>
      <c r="J55" s="18">
        <f>IF($A55="","",SUMIF(tblGunluk[VarlikId],$A55,tblGunluk[FormulToplamTl]))</f>
        <v/>
      </c>
      <c r="K55" s="18">
        <f>IF($A55="","",IFERROR(SUMIF(tblGunluk[VarlikId],$A55,tblGunluk[FormulToplamTl])/SUMIF(tblGunluk[VarlikId],$A55,tblGunluk[Km_km]),0))</f>
        <v/>
      </c>
      <c r="L55" s="18">
        <f>IF($A55="","",MAX(0,MIN(100,fam_kaliteTaban-IF($K55&gt;fam_esikKmBasi,fam_kaliteCeza,0)-COUNTIFS(tblGunluk[VarlikId],$A55,tblGunluk[AlarmBayrak],"ALARM")*fam_kaliteSapma-IF($H55="HAYIR",fam_kaliteCeza,0))))</f>
        <v/>
      </c>
    </row>
    <row r="56">
      <c r="A56" s="15" t="n"/>
      <c r="B56" s="15" t="n"/>
      <c r="C56" s="15" t="n"/>
      <c r="D56" s="15" t="n"/>
      <c r="E56" s="16" t="n"/>
      <c r="F56" s="17" t="n"/>
      <c r="G56" s="17" t="n"/>
      <c r="H56" s="15" t="n"/>
      <c r="I56" s="18">
        <f>IF($A56="","",SUMIF(tblGunluk[VarlikId],$A56,tblGunluk[Km_km]))</f>
        <v/>
      </c>
      <c r="J56" s="18">
        <f>IF($A56="","",SUMIF(tblGunluk[VarlikId],$A56,tblGunluk[FormulToplamTl]))</f>
        <v/>
      </c>
      <c r="K56" s="18">
        <f>IF($A56="","",IFERROR(SUMIF(tblGunluk[VarlikId],$A56,tblGunluk[FormulToplamTl])/SUMIF(tblGunluk[VarlikId],$A56,tblGunluk[Km_km]),0))</f>
        <v/>
      </c>
      <c r="L56" s="18">
        <f>IF($A56="","",MAX(0,MIN(100,fam_kaliteTaban-IF($K56&gt;fam_esikKmBasi,fam_kaliteCeza,0)-COUNTIFS(tblGunluk[VarlikId],$A56,tblGunluk[AlarmBayrak],"ALARM")*fam_kaliteSapma-IF($H56="HAYIR",fam_kaliteCeza,0))))</f>
        <v/>
      </c>
    </row>
    <row r="57">
      <c r="A57" s="15" t="n"/>
      <c r="B57" s="15" t="n"/>
      <c r="C57" s="15" t="n"/>
      <c r="D57" s="15" t="n"/>
      <c r="E57" s="16" t="n"/>
      <c r="F57" s="17" t="n"/>
      <c r="G57" s="17" t="n"/>
      <c r="H57" s="15" t="n"/>
      <c r="I57" s="18">
        <f>IF($A57="","",SUMIF(tblGunluk[VarlikId],$A57,tblGunluk[Km_km]))</f>
        <v/>
      </c>
      <c r="J57" s="18">
        <f>IF($A57="","",SUMIF(tblGunluk[VarlikId],$A57,tblGunluk[FormulToplamTl]))</f>
        <v/>
      </c>
      <c r="K57" s="18">
        <f>IF($A57="","",IFERROR(SUMIF(tblGunluk[VarlikId],$A57,tblGunluk[FormulToplamTl])/SUMIF(tblGunluk[VarlikId],$A57,tblGunluk[Km_km]),0))</f>
        <v/>
      </c>
      <c r="L57" s="18">
        <f>IF($A57="","",MAX(0,MIN(100,fam_kaliteTaban-IF($K57&gt;fam_esikKmBasi,fam_kaliteCeza,0)-COUNTIFS(tblGunluk[VarlikId],$A57,tblGunluk[AlarmBayrak],"ALARM")*fam_kaliteSapma-IF($H57="HAYIR",fam_kaliteCeza,0))))</f>
        <v/>
      </c>
    </row>
    <row r="58">
      <c r="A58" s="15" t="n"/>
      <c r="B58" s="15" t="n"/>
      <c r="C58" s="15" t="n"/>
      <c r="D58" s="15" t="n"/>
      <c r="E58" s="16" t="n"/>
      <c r="F58" s="17" t="n"/>
      <c r="G58" s="17" t="n"/>
      <c r="H58" s="15" t="n"/>
      <c r="I58" s="18">
        <f>IF($A58="","",SUMIF(tblGunluk[VarlikId],$A58,tblGunluk[Km_km]))</f>
        <v/>
      </c>
      <c r="J58" s="18">
        <f>IF($A58="","",SUMIF(tblGunluk[VarlikId],$A58,tblGunluk[FormulToplamTl]))</f>
        <v/>
      </c>
      <c r="K58" s="18">
        <f>IF($A58="","",IFERROR(SUMIF(tblGunluk[VarlikId],$A58,tblGunluk[FormulToplamTl])/SUMIF(tblGunluk[VarlikId],$A58,tblGunluk[Km_km]),0))</f>
        <v/>
      </c>
      <c r="L58" s="18">
        <f>IF($A58="","",MAX(0,MIN(100,fam_kaliteTaban-IF($K58&gt;fam_esikKmBasi,fam_kaliteCeza,0)-COUNTIFS(tblGunluk[VarlikId],$A58,tblGunluk[AlarmBayrak],"ALARM")*fam_kaliteSapma-IF($H58="HAYIR",fam_kaliteCeza,0))))</f>
        <v/>
      </c>
    </row>
    <row r="59">
      <c r="A59" s="15" t="n"/>
      <c r="B59" s="15" t="n"/>
      <c r="C59" s="15" t="n"/>
      <c r="D59" s="15" t="n"/>
      <c r="E59" s="16" t="n"/>
      <c r="F59" s="17" t="n"/>
      <c r="G59" s="17" t="n"/>
      <c r="H59" s="15" t="n"/>
      <c r="I59" s="18">
        <f>IF($A59="","",SUMIF(tblGunluk[VarlikId],$A59,tblGunluk[Km_km]))</f>
        <v/>
      </c>
      <c r="J59" s="18">
        <f>IF($A59="","",SUMIF(tblGunluk[VarlikId],$A59,tblGunluk[FormulToplamTl]))</f>
        <v/>
      </c>
      <c r="K59" s="18">
        <f>IF($A59="","",IFERROR(SUMIF(tblGunluk[VarlikId],$A59,tblGunluk[FormulToplamTl])/SUMIF(tblGunluk[VarlikId],$A59,tblGunluk[Km_km]),0))</f>
        <v/>
      </c>
      <c r="L59" s="18">
        <f>IF($A59="","",MAX(0,MIN(100,fam_kaliteTaban-IF($K59&gt;fam_esikKmBasi,fam_kaliteCeza,0)-COUNTIFS(tblGunluk[VarlikId],$A59,tblGunluk[AlarmBayrak],"ALARM")*fam_kaliteSapma-IF($H59="HAYIR",fam_kaliteCeza,0))))</f>
        <v/>
      </c>
    </row>
    <row r="60">
      <c r="A60" s="15" t="n"/>
      <c r="B60" s="15" t="n"/>
      <c r="C60" s="15" t="n"/>
      <c r="D60" s="15" t="n"/>
      <c r="E60" s="16" t="n"/>
      <c r="F60" s="17" t="n"/>
      <c r="G60" s="17" t="n"/>
      <c r="H60" s="15" t="n"/>
      <c r="I60" s="18">
        <f>IF($A60="","",SUMIF(tblGunluk[VarlikId],$A60,tblGunluk[Km_km]))</f>
        <v/>
      </c>
      <c r="J60" s="18">
        <f>IF($A60="","",SUMIF(tblGunluk[VarlikId],$A60,tblGunluk[FormulToplamTl]))</f>
        <v/>
      </c>
      <c r="K60" s="18">
        <f>IF($A60="","",IFERROR(SUMIF(tblGunluk[VarlikId],$A60,tblGunluk[FormulToplamTl])/SUMIF(tblGunluk[VarlikId],$A60,tblGunluk[Km_km]),0))</f>
        <v/>
      </c>
      <c r="L60" s="18">
        <f>IF($A60="","",MAX(0,MIN(100,fam_kaliteTaban-IF($K60&gt;fam_esikKmBasi,fam_kaliteCeza,0)-COUNTIFS(tblGunluk[VarlikId],$A60,tblGunluk[AlarmBayrak],"ALARM")*fam_kaliteSapma-IF($H60="HAYIR",fam_kaliteCeza,0))))</f>
        <v/>
      </c>
    </row>
    <row r="61">
      <c r="A61" s="15" t="n"/>
      <c r="B61" s="15" t="n"/>
      <c r="C61" s="15" t="n"/>
      <c r="D61" s="15" t="n"/>
      <c r="E61" s="16" t="n"/>
      <c r="F61" s="17" t="n"/>
      <c r="G61" s="17" t="n"/>
      <c r="H61" s="15" t="n"/>
      <c r="I61" s="18">
        <f>IF($A61="","",SUMIF(tblGunluk[VarlikId],$A61,tblGunluk[Km_km]))</f>
        <v/>
      </c>
      <c r="J61" s="18">
        <f>IF($A61="","",SUMIF(tblGunluk[VarlikId],$A61,tblGunluk[FormulToplamTl]))</f>
        <v/>
      </c>
      <c r="K61" s="18">
        <f>IF($A61="","",IFERROR(SUMIF(tblGunluk[VarlikId],$A61,tblGunluk[FormulToplamTl])/SUMIF(tblGunluk[VarlikId],$A61,tblGunluk[Km_km]),0))</f>
        <v/>
      </c>
      <c r="L61" s="18">
        <f>IF($A61="","",MAX(0,MIN(100,fam_kaliteTaban-IF($K61&gt;fam_esikKmBasi,fam_kaliteCeza,0)-COUNTIFS(tblGunluk[VarlikId],$A61,tblGunluk[AlarmBayrak],"ALARM")*fam_kaliteSapma-IF($H61="HAYIR",fam_kaliteCeza,0))))</f>
        <v/>
      </c>
    </row>
    <row r="62">
      <c r="A62" s="15" t="n"/>
      <c r="B62" s="15" t="n"/>
      <c r="C62" s="15" t="n"/>
      <c r="D62" s="15" t="n"/>
      <c r="E62" s="16" t="n"/>
      <c r="F62" s="17" t="n"/>
      <c r="G62" s="17" t="n"/>
      <c r="H62" s="15" t="n"/>
      <c r="I62" s="18">
        <f>IF($A62="","",SUMIF(tblGunluk[VarlikId],$A62,tblGunluk[Km_km]))</f>
        <v/>
      </c>
      <c r="J62" s="18">
        <f>IF($A62="","",SUMIF(tblGunluk[VarlikId],$A62,tblGunluk[FormulToplamTl]))</f>
        <v/>
      </c>
      <c r="K62" s="18">
        <f>IF($A62="","",IFERROR(SUMIF(tblGunluk[VarlikId],$A62,tblGunluk[FormulToplamTl])/SUMIF(tblGunluk[VarlikId],$A62,tblGunluk[Km_km]),0))</f>
        <v/>
      </c>
      <c r="L62" s="18">
        <f>IF($A62="","",MAX(0,MIN(100,fam_kaliteTaban-IF($K62&gt;fam_esikKmBasi,fam_kaliteCeza,0)-COUNTIFS(tblGunluk[VarlikId],$A62,tblGunluk[AlarmBayrak],"ALARM")*fam_kaliteSapma-IF($H62="HAYIR",fam_kaliteCeza,0))))</f>
        <v/>
      </c>
    </row>
    <row r="63">
      <c r="A63" s="15" t="n"/>
      <c r="B63" s="15" t="n"/>
      <c r="C63" s="15" t="n"/>
      <c r="D63" s="15" t="n"/>
      <c r="E63" s="16" t="n"/>
      <c r="F63" s="17" t="n"/>
      <c r="G63" s="17" t="n"/>
      <c r="H63" s="15" t="n"/>
      <c r="I63" s="18">
        <f>IF($A63="","",SUMIF(tblGunluk[VarlikId],$A63,tblGunluk[Km_km]))</f>
        <v/>
      </c>
      <c r="J63" s="18">
        <f>IF($A63="","",SUMIF(tblGunluk[VarlikId],$A63,tblGunluk[FormulToplamTl]))</f>
        <v/>
      </c>
      <c r="K63" s="18">
        <f>IF($A63="","",IFERROR(SUMIF(tblGunluk[VarlikId],$A63,tblGunluk[FormulToplamTl])/SUMIF(tblGunluk[VarlikId],$A63,tblGunluk[Km_km]),0))</f>
        <v/>
      </c>
      <c r="L63" s="18">
        <f>IF($A63="","",MAX(0,MIN(100,fam_kaliteTaban-IF($K63&gt;fam_esikKmBasi,fam_kaliteCeza,0)-COUNTIFS(tblGunluk[VarlikId],$A63,tblGunluk[AlarmBayrak],"ALARM")*fam_kaliteSapma-IF($H63="HAYIR",fam_kaliteCeza,0))))</f>
        <v/>
      </c>
    </row>
    <row r="64">
      <c r="A64" s="15" t="n"/>
      <c r="B64" s="15" t="n"/>
      <c r="C64" s="15" t="n"/>
      <c r="D64" s="15" t="n"/>
      <c r="E64" s="16" t="n"/>
      <c r="F64" s="17" t="n"/>
      <c r="G64" s="17" t="n"/>
      <c r="H64" s="15" t="n"/>
      <c r="I64" s="18">
        <f>IF($A64="","",SUMIF(tblGunluk[VarlikId],$A64,tblGunluk[Km_km]))</f>
        <v/>
      </c>
      <c r="J64" s="18">
        <f>IF($A64="","",SUMIF(tblGunluk[VarlikId],$A64,tblGunluk[FormulToplamTl]))</f>
        <v/>
      </c>
      <c r="K64" s="18">
        <f>IF($A64="","",IFERROR(SUMIF(tblGunluk[VarlikId],$A64,tblGunluk[FormulToplamTl])/SUMIF(tblGunluk[VarlikId],$A64,tblGunluk[Km_km]),0))</f>
        <v/>
      </c>
      <c r="L64" s="18">
        <f>IF($A64="","",MAX(0,MIN(100,fam_kaliteTaban-IF($K64&gt;fam_esikKmBasi,fam_kaliteCeza,0)-COUNTIFS(tblGunluk[VarlikId],$A64,tblGunluk[AlarmBayrak],"ALARM")*fam_kaliteSapma-IF($H64="HAYIR",fam_kaliteCeza,0))))</f>
        <v/>
      </c>
    </row>
    <row r="65">
      <c r="A65" s="15" t="n"/>
      <c r="B65" s="15" t="n"/>
      <c r="C65" s="15" t="n"/>
      <c r="D65" s="15" t="n"/>
      <c r="E65" s="16" t="n"/>
      <c r="F65" s="17" t="n"/>
      <c r="G65" s="17" t="n"/>
      <c r="H65" s="15" t="n"/>
      <c r="I65" s="18">
        <f>IF($A65="","",SUMIF(tblGunluk[VarlikId],$A65,tblGunluk[Km_km]))</f>
        <v/>
      </c>
      <c r="J65" s="18">
        <f>IF($A65="","",SUMIF(tblGunluk[VarlikId],$A65,tblGunluk[FormulToplamTl]))</f>
        <v/>
      </c>
      <c r="K65" s="18">
        <f>IF($A65="","",IFERROR(SUMIF(tblGunluk[VarlikId],$A65,tblGunluk[FormulToplamTl])/SUMIF(tblGunluk[VarlikId],$A65,tblGunluk[Km_km]),0))</f>
        <v/>
      </c>
      <c r="L65" s="18">
        <f>IF($A65="","",MAX(0,MIN(100,fam_kaliteTaban-IF($K65&gt;fam_esikKmBasi,fam_kaliteCeza,0)-COUNTIFS(tblGunluk[VarlikId],$A65,tblGunluk[AlarmBayrak],"ALARM")*fam_kaliteSapma-IF($H65="HAYIR",fam_kaliteCeza,0))))</f>
        <v/>
      </c>
    </row>
    <row r="66">
      <c r="A66" s="15" t="n"/>
      <c r="B66" s="15" t="n"/>
      <c r="C66" s="15" t="n"/>
      <c r="D66" s="15" t="n"/>
      <c r="E66" s="16" t="n"/>
      <c r="F66" s="17" t="n"/>
      <c r="G66" s="17" t="n"/>
      <c r="H66" s="15" t="n"/>
      <c r="I66" s="18">
        <f>IF($A66="","",SUMIF(tblGunluk[VarlikId],$A66,tblGunluk[Km_km]))</f>
        <v/>
      </c>
      <c r="J66" s="18">
        <f>IF($A66="","",SUMIF(tblGunluk[VarlikId],$A66,tblGunluk[FormulToplamTl]))</f>
        <v/>
      </c>
      <c r="K66" s="18">
        <f>IF($A66="","",IFERROR(SUMIF(tblGunluk[VarlikId],$A66,tblGunluk[FormulToplamTl])/SUMIF(tblGunluk[VarlikId],$A66,tblGunluk[Km_km]),0))</f>
        <v/>
      </c>
      <c r="L66" s="18">
        <f>IF($A66="","",MAX(0,MIN(100,fam_kaliteTaban-IF($K66&gt;fam_esikKmBasi,fam_kaliteCeza,0)-COUNTIFS(tblGunluk[VarlikId],$A66,tblGunluk[AlarmBayrak],"ALARM")*fam_kaliteSapma-IF($H66="HAYIR",fam_kaliteCeza,0))))</f>
        <v/>
      </c>
    </row>
    <row r="67">
      <c r="A67" s="15" t="n"/>
      <c r="B67" s="15" t="n"/>
      <c r="C67" s="15" t="n"/>
      <c r="D67" s="15" t="n"/>
      <c r="E67" s="16" t="n"/>
      <c r="F67" s="17" t="n"/>
      <c r="G67" s="17" t="n"/>
      <c r="H67" s="15" t="n"/>
      <c r="I67" s="18">
        <f>IF($A67="","",SUMIF(tblGunluk[VarlikId],$A67,tblGunluk[Km_km]))</f>
        <v/>
      </c>
      <c r="J67" s="18">
        <f>IF($A67="","",SUMIF(tblGunluk[VarlikId],$A67,tblGunluk[FormulToplamTl]))</f>
        <v/>
      </c>
      <c r="K67" s="18">
        <f>IF($A67="","",IFERROR(SUMIF(tblGunluk[VarlikId],$A67,tblGunluk[FormulToplamTl])/SUMIF(tblGunluk[VarlikId],$A67,tblGunluk[Km_km]),0))</f>
        <v/>
      </c>
      <c r="L67" s="18">
        <f>IF($A67="","",MAX(0,MIN(100,fam_kaliteTaban-IF($K67&gt;fam_esikKmBasi,fam_kaliteCeza,0)-COUNTIFS(tblGunluk[VarlikId],$A67,tblGunluk[AlarmBayrak],"ALARM")*fam_kaliteSapma-IF($H67="HAYIR",fam_kaliteCeza,0))))</f>
        <v/>
      </c>
    </row>
    <row r="68">
      <c r="A68" s="15" t="n"/>
      <c r="B68" s="15" t="n"/>
      <c r="C68" s="15" t="n"/>
      <c r="D68" s="15" t="n"/>
      <c r="E68" s="16" t="n"/>
      <c r="F68" s="17" t="n"/>
      <c r="G68" s="17" t="n"/>
      <c r="H68" s="15" t="n"/>
      <c r="I68" s="18">
        <f>IF($A68="","",SUMIF(tblGunluk[VarlikId],$A68,tblGunluk[Km_km]))</f>
        <v/>
      </c>
      <c r="J68" s="18">
        <f>IF($A68="","",SUMIF(tblGunluk[VarlikId],$A68,tblGunluk[FormulToplamTl]))</f>
        <v/>
      </c>
      <c r="K68" s="18">
        <f>IF($A68="","",IFERROR(SUMIF(tblGunluk[VarlikId],$A68,tblGunluk[FormulToplamTl])/SUMIF(tblGunluk[VarlikId],$A68,tblGunluk[Km_km]),0))</f>
        <v/>
      </c>
      <c r="L68" s="18">
        <f>IF($A68="","",MAX(0,MIN(100,fam_kaliteTaban-IF($K68&gt;fam_esikKmBasi,fam_kaliteCeza,0)-COUNTIFS(tblGunluk[VarlikId],$A68,tblGunluk[AlarmBayrak],"ALARM")*fam_kaliteSapma-IF($H68="HAYIR",fam_kaliteCeza,0))))</f>
        <v/>
      </c>
    </row>
    <row r="69">
      <c r="A69" s="15" t="n"/>
      <c r="B69" s="15" t="n"/>
      <c r="C69" s="15" t="n"/>
      <c r="D69" s="15" t="n"/>
      <c r="E69" s="16" t="n"/>
      <c r="F69" s="17" t="n"/>
      <c r="G69" s="17" t="n"/>
      <c r="H69" s="15" t="n"/>
      <c r="I69" s="18">
        <f>IF($A69="","",SUMIF(tblGunluk[VarlikId],$A69,tblGunluk[Km_km]))</f>
        <v/>
      </c>
      <c r="J69" s="18">
        <f>IF($A69="","",SUMIF(tblGunluk[VarlikId],$A69,tblGunluk[FormulToplamTl]))</f>
        <v/>
      </c>
      <c r="K69" s="18">
        <f>IF($A69="","",IFERROR(SUMIF(tblGunluk[VarlikId],$A69,tblGunluk[FormulToplamTl])/SUMIF(tblGunluk[VarlikId],$A69,tblGunluk[Km_km]),0))</f>
        <v/>
      </c>
      <c r="L69" s="18">
        <f>IF($A69="","",MAX(0,MIN(100,fam_kaliteTaban-IF($K69&gt;fam_esikKmBasi,fam_kaliteCeza,0)-COUNTIFS(tblGunluk[VarlikId],$A69,tblGunluk[AlarmBayrak],"ALARM")*fam_kaliteSapma-IF($H69="HAYIR",fam_kaliteCeza,0))))</f>
        <v/>
      </c>
    </row>
    <row r="70">
      <c r="A70" s="15" t="n"/>
      <c r="B70" s="15" t="n"/>
      <c r="C70" s="15" t="n"/>
      <c r="D70" s="15" t="n"/>
      <c r="E70" s="16" t="n"/>
      <c r="F70" s="17" t="n"/>
      <c r="G70" s="17" t="n"/>
      <c r="H70" s="15" t="n"/>
      <c r="I70" s="18">
        <f>IF($A70="","",SUMIF(tblGunluk[VarlikId],$A70,tblGunluk[Km_km]))</f>
        <v/>
      </c>
      <c r="J70" s="18">
        <f>IF($A70="","",SUMIF(tblGunluk[VarlikId],$A70,tblGunluk[FormulToplamTl]))</f>
        <v/>
      </c>
      <c r="K70" s="18">
        <f>IF($A70="","",IFERROR(SUMIF(tblGunluk[VarlikId],$A70,tblGunluk[FormulToplamTl])/SUMIF(tblGunluk[VarlikId],$A70,tblGunluk[Km_km]),0))</f>
        <v/>
      </c>
      <c r="L70" s="18">
        <f>IF($A70="","",MAX(0,MIN(100,fam_kaliteTaban-IF($K70&gt;fam_esikKmBasi,fam_kaliteCeza,0)-COUNTIFS(tblGunluk[VarlikId],$A70,tblGunluk[AlarmBayrak],"ALARM")*fam_kaliteSapma-IF($H70="HAYIR",fam_kaliteCeza,0))))</f>
        <v/>
      </c>
    </row>
    <row r="71">
      <c r="A71" s="15" t="n"/>
      <c r="B71" s="15" t="n"/>
      <c r="C71" s="15" t="n"/>
      <c r="D71" s="15" t="n"/>
      <c r="E71" s="16" t="n"/>
      <c r="F71" s="17" t="n"/>
      <c r="G71" s="17" t="n"/>
      <c r="H71" s="15" t="n"/>
      <c r="I71" s="18">
        <f>IF($A71="","",SUMIF(tblGunluk[VarlikId],$A71,tblGunluk[Km_km]))</f>
        <v/>
      </c>
      <c r="J71" s="18">
        <f>IF($A71="","",SUMIF(tblGunluk[VarlikId],$A71,tblGunluk[FormulToplamTl]))</f>
        <v/>
      </c>
      <c r="K71" s="18">
        <f>IF($A71="","",IFERROR(SUMIF(tblGunluk[VarlikId],$A71,tblGunluk[FormulToplamTl])/SUMIF(tblGunluk[VarlikId],$A71,tblGunluk[Km_km]),0))</f>
        <v/>
      </c>
      <c r="L71" s="18">
        <f>IF($A71="","",MAX(0,MIN(100,fam_kaliteTaban-IF($K71&gt;fam_esikKmBasi,fam_kaliteCeza,0)-COUNTIFS(tblGunluk[VarlikId],$A71,tblGunluk[AlarmBayrak],"ALARM")*fam_kaliteSapma-IF($H71="HAYIR",fam_kaliteCeza,0))))</f>
        <v/>
      </c>
    </row>
    <row r="72">
      <c r="A72" s="15" t="n"/>
      <c r="B72" s="15" t="n"/>
      <c r="C72" s="15" t="n"/>
      <c r="D72" s="15" t="n"/>
      <c r="E72" s="16" t="n"/>
      <c r="F72" s="17" t="n"/>
      <c r="G72" s="17" t="n"/>
      <c r="H72" s="15" t="n"/>
      <c r="I72" s="18">
        <f>IF($A72="","",SUMIF(tblGunluk[VarlikId],$A72,tblGunluk[Km_km]))</f>
        <v/>
      </c>
      <c r="J72" s="18">
        <f>IF($A72="","",SUMIF(tblGunluk[VarlikId],$A72,tblGunluk[FormulToplamTl]))</f>
        <v/>
      </c>
      <c r="K72" s="18">
        <f>IF($A72="","",IFERROR(SUMIF(tblGunluk[VarlikId],$A72,tblGunluk[FormulToplamTl])/SUMIF(tblGunluk[VarlikId],$A72,tblGunluk[Km_km]),0))</f>
        <v/>
      </c>
      <c r="L72" s="18">
        <f>IF($A72="","",MAX(0,MIN(100,fam_kaliteTaban-IF($K72&gt;fam_esikKmBasi,fam_kaliteCeza,0)-COUNTIFS(tblGunluk[VarlikId],$A72,tblGunluk[AlarmBayrak],"ALARM")*fam_kaliteSapma-IF($H72="HAYIR",fam_kaliteCeza,0))))</f>
        <v/>
      </c>
    </row>
    <row r="73">
      <c r="A73" s="15" t="n"/>
      <c r="B73" s="15" t="n"/>
      <c r="C73" s="15" t="n"/>
      <c r="D73" s="15" t="n"/>
      <c r="E73" s="16" t="n"/>
      <c r="F73" s="17" t="n"/>
      <c r="G73" s="17" t="n"/>
      <c r="H73" s="15" t="n"/>
      <c r="I73" s="18">
        <f>IF($A73="","",SUMIF(tblGunluk[VarlikId],$A73,tblGunluk[Km_km]))</f>
        <v/>
      </c>
      <c r="J73" s="18">
        <f>IF($A73="","",SUMIF(tblGunluk[VarlikId],$A73,tblGunluk[FormulToplamTl]))</f>
        <v/>
      </c>
      <c r="K73" s="18">
        <f>IF($A73="","",IFERROR(SUMIF(tblGunluk[VarlikId],$A73,tblGunluk[FormulToplamTl])/SUMIF(tblGunluk[VarlikId],$A73,tblGunluk[Km_km]),0))</f>
        <v/>
      </c>
      <c r="L73" s="18">
        <f>IF($A73="","",MAX(0,MIN(100,fam_kaliteTaban-IF($K73&gt;fam_esikKmBasi,fam_kaliteCeza,0)-COUNTIFS(tblGunluk[VarlikId],$A73,tblGunluk[AlarmBayrak],"ALARM")*fam_kaliteSapma-IF($H73="HAYIR",fam_kaliteCeza,0))))</f>
        <v/>
      </c>
    </row>
    <row r="74">
      <c r="A74" s="15" t="n"/>
      <c r="B74" s="15" t="n"/>
      <c r="C74" s="15" t="n"/>
      <c r="D74" s="15" t="n"/>
      <c r="E74" s="16" t="n"/>
      <c r="F74" s="17" t="n"/>
      <c r="G74" s="17" t="n"/>
      <c r="H74" s="15" t="n"/>
      <c r="I74" s="18">
        <f>IF($A74="","",SUMIF(tblGunluk[VarlikId],$A74,tblGunluk[Km_km]))</f>
        <v/>
      </c>
      <c r="J74" s="18">
        <f>IF($A74="","",SUMIF(tblGunluk[VarlikId],$A74,tblGunluk[FormulToplamTl]))</f>
        <v/>
      </c>
      <c r="K74" s="18">
        <f>IF($A74="","",IFERROR(SUMIF(tblGunluk[VarlikId],$A74,tblGunluk[FormulToplamTl])/SUMIF(tblGunluk[VarlikId],$A74,tblGunluk[Km_km]),0))</f>
        <v/>
      </c>
      <c r="L74" s="18">
        <f>IF($A74="","",MAX(0,MIN(100,fam_kaliteTaban-IF($K74&gt;fam_esikKmBasi,fam_kaliteCeza,0)-COUNTIFS(tblGunluk[VarlikId],$A74,tblGunluk[AlarmBayrak],"ALARM")*fam_kaliteSapma-IF($H74="HAYIR",fam_kaliteCeza,0))))</f>
        <v/>
      </c>
    </row>
    <row r="75">
      <c r="A75" s="15" t="n"/>
      <c r="B75" s="15" t="n"/>
      <c r="C75" s="15" t="n"/>
      <c r="D75" s="15" t="n"/>
      <c r="E75" s="16" t="n"/>
      <c r="F75" s="17" t="n"/>
      <c r="G75" s="17" t="n"/>
      <c r="H75" s="15" t="n"/>
      <c r="I75" s="18">
        <f>IF($A75="","",SUMIF(tblGunluk[VarlikId],$A75,tblGunluk[Km_km]))</f>
        <v/>
      </c>
      <c r="J75" s="18">
        <f>IF($A75="","",SUMIF(tblGunluk[VarlikId],$A75,tblGunluk[FormulToplamTl]))</f>
        <v/>
      </c>
      <c r="K75" s="18">
        <f>IF($A75="","",IFERROR(SUMIF(tblGunluk[VarlikId],$A75,tblGunluk[FormulToplamTl])/SUMIF(tblGunluk[VarlikId],$A75,tblGunluk[Km_km]),0))</f>
        <v/>
      </c>
      <c r="L75" s="18">
        <f>IF($A75="","",MAX(0,MIN(100,fam_kaliteTaban-IF($K75&gt;fam_esikKmBasi,fam_kaliteCeza,0)-COUNTIFS(tblGunluk[VarlikId],$A75,tblGunluk[AlarmBayrak],"ALARM")*fam_kaliteSapma-IF($H75="HAYIR",fam_kaliteCeza,0))))</f>
        <v/>
      </c>
    </row>
    <row r="76">
      <c r="A76" s="15" t="n"/>
      <c r="B76" s="15" t="n"/>
      <c r="C76" s="15" t="n"/>
      <c r="D76" s="15" t="n"/>
      <c r="E76" s="16" t="n"/>
      <c r="F76" s="17" t="n"/>
      <c r="G76" s="17" t="n"/>
      <c r="H76" s="15" t="n"/>
      <c r="I76" s="18">
        <f>IF($A76="","",SUMIF(tblGunluk[VarlikId],$A76,tblGunluk[Km_km]))</f>
        <v/>
      </c>
      <c r="J76" s="18">
        <f>IF($A76="","",SUMIF(tblGunluk[VarlikId],$A76,tblGunluk[FormulToplamTl]))</f>
        <v/>
      </c>
      <c r="K76" s="18">
        <f>IF($A76="","",IFERROR(SUMIF(tblGunluk[VarlikId],$A76,tblGunluk[FormulToplamTl])/SUMIF(tblGunluk[VarlikId],$A76,tblGunluk[Km_km]),0))</f>
        <v/>
      </c>
      <c r="L76" s="18">
        <f>IF($A76="","",MAX(0,MIN(100,fam_kaliteTaban-IF($K76&gt;fam_esikKmBasi,fam_kaliteCeza,0)-COUNTIFS(tblGunluk[VarlikId],$A76,tblGunluk[AlarmBayrak],"ALARM")*fam_kaliteSapma-IF($H76="HAYIR",fam_kaliteCeza,0))))</f>
        <v/>
      </c>
    </row>
    <row r="77">
      <c r="A77" s="15" t="n"/>
      <c r="B77" s="15" t="n"/>
      <c r="C77" s="15" t="n"/>
      <c r="D77" s="15" t="n"/>
      <c r="E77" s="16" t="n"/>
      <c r="F77" s="17" t="n"/>
      <c r="G77" s="17" t="n"/>
      <c r="H77" s="15" t="n"/>
      <c r="I77" s="18">
        <f>IF($A77="","",SUMIF(tblGunluk[VarlikId],$A77,tblGunluk[Km_km]))</f>
        <v/>
      </c>
      <c r="J77" s="18">
        <f>IF($A77="","",SUMIF(tblGunluk[VarlikId],$A77,tblGunluk[FormulToplamTl]))</f>
        <v/>
      </c>
      <c r="K77" s="18">
        <f>IF($A77="","",IFERROR(SUMIF(tblGunluk[VarlikId],$A77,tblGunluk[FormulToplamTl])/SUMIF(tblGunluk[VarlikId],$A77,tblGunluk[Km_km]),0))</f>
        <v/>
      </c>
      <c r="L77" s="18">
        <f>IF($A77="","",MAX(0,MIN(100,fam_kaliteTaban-IF($K77&gt;fam_esikKmBasi,fam_kaliteCeza,0)-COUNTIFS(tblGunluk[VarlikId],$A77,tblGunluk[AlarmBayrak],"ALARM")*fam_kaliteSapma-IF($H77="HAYIR",fam_kaliteCeza,0))))</f>
        <v/>
      </c>
    </row>
    <row r="78">
      <c r="A78" s="15" t="n"/>
      <c r="B78" s="15" t="n"/>
      <c r="C78" s="15" t="n"/>
      <c r="D78" s="15" t="n"/>
      <c r="E78" s="16" t="n"/>
      <c r="F78" s="17" t="n"/>
      <c r="G78" s="17" t="n"/>
      <c r="H78" s="15" t="n"/>
      <c r="I78" s="18">
        <f>IF($A78="","",SUMIF(tblGunluk[VarlikId],$A78,tblGunluk[Km_km]))</f>
        <v/>
      </c>
      <c r="J78" s="18">
        <f>IF($A78="","",SUMIF(tblGunluk[VarlikId],$A78,tblGunluk[FormulToplamTl]))</f>
        <v/>
      </c>
      <c r="K78" s="18">
        <f>IF($A78="","",IFERROR(SUMIF(tblGunluk[VarlikId],$A78,tblGunluk[FormulToplamTl])/SUMIF(tblGunluk[VarlikId],$A78,tblGunluk[Km_km]),0))</f>
        <v/>
      </c>
      <c r="L78" s="18">
        <f>IF($A78="","",MAX(0,MIN(100,fam_kaliteTaban-IF($K78&gt;fam_esikKmBasi,fam_kaliteCeza,0)-COUNTIFS(tblGunluk[VarlikId],$A78,tblGunluk[AlarmBayrak],"ALARM")*fam_kaliteSapma-IF($H78="HAYIR",fam_kaliteCeza,0))))</f>
        <v/>
      </c>
    </row>
    <row r="79">
      <c r="A79" s="15" t="n"/>
      <c r="B79" s="15" t="n"/>
      <c r="C79" s="15" t="n"/>
      <c r="D79" s="15" t="n"/>
      <c r="E79" s="16" t="n"/>
      <c r="F79" s="17" t="n"/>
      <c r="G79" s="17" t="n"/>
      <c r="H79" s="15" t="n"/>
      <c r="I79" s="18">
        <f>IF($A79="","",SUMIF(tblGunluk[VarlikId],$A79,tblGunluk[Km_km]))</f>
        <v/>
      </c>
      <c r="J79" s="18">
        <f>IF($A79="","",SUMIF(tblGunluk[VarlikId],$A79,tblGunluk[FormulToplamTl]))</f>
        <v/>
      </c>
      <c r="K79" s="18">
        <f>IF($A79="","",IFERROR(SUMIF(tblGunluk[VarlikId],$A79,tblGunluk[FormulToplamTl])/SUMIF(tblGunluk[VarlikId],$A79,tblGunluk[Km_km]),0))</f>
        <v/>
      </c>
      <c r="L79" s="18">
        <f>IF($A79="","",MAX(0,MIN(100,fam_kaliteTaban-IF($K79&gt;fam_esikKmBasi,fam_kaliteCeza,0)-COUNTIFS(tblGunluk[VarlikId],$A79,tblGunluk[AlarmBayrak],"ALARM")*fam_kaliteSapma-IF($H79="HAYIR",fam_kaliteCeza,0))))</f>
        <v/>
      </c>
    </row>
    <row r="80">
      <c r="A80" s="15" t="n"/>
      <c r="B80" s="15" t="n"/>
      <c r="C80" s="15" t="n"/>
      <c r="D80" s="15" t="n"/>
      <c r="E80" s="16" t="n"/>
      <c r="F80" s="17" t="n"/>
      <c r="G80" s="17" t="n"/>
      <c r="H80" s="15" t="n"/>
      <c r="I80" s="18">
        <f>IF($A80="","",SUMIF(tblGunluk[VarlikId],$A80,tblGunluk[Km_km]))</f>
        <v/>
      </c>
      <c r="J80" s="18">
        <f>IF($A80="","",SUMIF(tblGunluk[VarlikId],$A80,tblGunluk[FormulToplamTl]))</f>
        <v/>
      </c>
      <c r="K80" s="18">
        <f>IF($A80="","",IFERROR(SUMIF(tblGunluk[VarlikId],$A80,tblGunluk[FormulToplamTl])/SUMIF(tblGunluk[VarlikId],$A80,tblGunluk[Km_km]),0))</f>
        <v/>
      </c>
      <c r="L80" s="18">
        <f>IF($A80="","",MAX(0,MIN(100,fam_kaliteTaban-IF($K80&gt;fam_esikKmBasi,fam_kaliteCeza,0)-COUNTIFS(tblGunluk[VarlikId],$A80,tblGunluk[AlarmBayrak],"ALARM")*fam_kaliteSapma-IF($H80="HAYIR",fam_kaliteCeza,0))))</f>
        <v/>
      </c>
    </row>
    <row r="81">
      <c r="A81" s="15" t="n"/>
      <c r="B81" s="15" t="n"/>
      <c r="C81" s="15" t="n"/>
      <c r="D81" s="15" t="n"/>
      <c r="E81" s="16" t="n"/>
      <c r="F81" s="17" t="n"/>
      <c r="G81" s="17" t="n"/>
      <c r="H81" s="15" t="n"/>
      <c r="I81" s="18">
        <f>IF($A81="","",SUMIF(tblGunluk[VarlikId],$A81,tblGunluk[Km_km]))</f>
        <v/>
      </c>
      <c r="J81" s="18">
        <f>IF($A81="","",SUMIF(tblGunluk[VarlikId],$A81,tblGunluk[FormulToplamTl]))</f>
        <v/>
      </c>
      <c r="K81" s="18">
        <f>IF($A81="","",IFERROR(SUMIF(tblGunluk[VarlikId],$A81,tblGunluk[FormulToplamTl])/SUMIF(tblGunluk[VarlikId],$A81,tblGunluk[Km_km]),0))</f>
        <v/>
      </c>
      <c r="L81" s="18">
        <f>IF($A81="","",MAX(0,MIN(100,fam_kaliteTaban-IF($K81&gt;fam_esikKmBasi,fam_kaliteCeza,0)-COUNTIFS(tblGunluk[VarlikId],$A81,tblGunluk[AlarmBayrak],"ALARM")*fam_kaliteSapma-IF($H81="HAYIR",fam_kaliteCeza,0))))</f>
        <v/>
      </c>
    </row>
    <row r="82">
      <c r="A82" s="15" t="n"/>
      <c r="B82" s="15" t="n"/>
      <c r="C82" s="15" t="n"/>
      <c r="D82" s="15" t="n"/>
      <c r="E82" s="16" t="n"/>
      <c r="F82" s="17" t="n"/>
      <c r="G82" s="17" t="n"/>
      <c r="H82" s="15" t="n"/>
      <c r="I82" s="18">
        <f>IF($A82="","",SUMIF(tblGunluk[VarlikId],$A82,tblGunluk[Km_km]))</f>
        <v/>
      </c>
      <c r="J82" s="18">
        <f>IF($A82="","",SUMIF(tblGunluk[VarlikId],$A82,tblGunluk[FormulToplamTl]))</f>
        <v/>
      </c>
      <c r="K82" s="18">
        <f>IF($A82="","",IFERROR(SUMIF(tblGunluk[VarlikId],$A82,tblGunluk[FormulToplamTl])/SUMIF(tblGunluk[VarlikId],$A82,tblGunluk[Km_km]),0))</f>
        <v/>
      </c>
      <c r="L82" s="18">
        <f>IF($A82="","",MAX(0,MIN(100,fam_kaliteTaban-IF($K82&gt;fam_esikKmBasi,fam_kaliteCeza,0)-COUNTIFS(tblGunluk[VarlikId],$A82,tblGunluk[AlarmBayrak],"ALARM")*fam_kaliteSapma-IF($H82="HAYIR",fam_kaliteCeza,0))))</f>
        <v/>
      </c>
    </row>
    <row r="83">
      <c r="A83" s="15" t="n"/>
      <c r="B83" s="15" t="n"/>
      <c r="C83" s="15" t="n"/>
      <c r="D83" s="15" t="n"/>
      <c r="E83" s="16" t="n"/>
      <c r="F83" s="17" t="n"/>
      <c r="G83" s="17" t="n"/>
      <c r="H83" s="15" t="n"/>
      <c r="I83" s="18">
        <f>IF($A83="","",SUMIF(tblGunluk[VarlikId],$A83,tblGunluk[Km_km]))</f>
        <v/>
      </c>
      <c r="J83" s="18">
        <f>IF($A83="","",SUMIF(tblGunluk[VarlikId],$A83,tblGunluk[FormulToplamTl]))</f>
        <v/>
      </c>
      <c r="K83" s="18">
        <f>IF($A83="","",IFERROR(SUMIF(tblGunluk[VarlikId],$A83,tblGunluk[FormulToplamTl])/SUMIF(tblGunluk[VarlikId],$A83,tblGunluk[Km_km]),0))</f>
        <v/>
      </c>
      <c r="L83" s="18">
        <f>IF($A83="","",MAX(0,MIN(100,fam_kaliteTaban-IF($K83&gt;fam_esikKmBasi,fam_kaliteCeza,0)-COUNTIFS(tblGunluk[VarlikId],$A83,tblGunluk[AlarmBayrak],"ALARM")*fam_kaliteSapma-IF($H83="HAYIR",fam_kaliteCeza,0))))</f>
        <v/>
      </c>
    </row>
    <row r="84">
      <c r="A84" s="15" t="n"/>
      <c r="B84" s="15" t="n"/>
      <c r="C84" s="15" t="n"/>
      <c r="D84" s="15" t="n"/>
      <c r="E84" s="16" t="n"/>
      <c r="F84" s="17" t="n"/>
      <c r="G84" s="17" t="n"/>
      <c r="H84" s="15" t="n"/>
      <c r="I84" s="18">
        <f>IF($A84="","",SUMIF(tblGunluk[VarlikId],$A84,tblGunluk[Km_km]))</f>
        <v/>
      </c>
      <c r="J84" s="18">
        <f>IF($A84="","",SUMIF(tblGunluk[VarlikId],$A84,tblGunluk[FormulToplamTl]))</f>
        <v/>
      </c>
      <c r="K84" s="18">
        <f>IF($A84="","",IFERROR(SUMIF(tblGunluk[VarlikId],$A84,tblGunluk[FormulToplamTl])/SUMIF(tblGunluk[VarlikId],$A84,tblGunluk[Km_km]),0))</f>
        <v/>
      </c>
      <c r="L84" s="18">
        <f>IF($A84="","",MAX(0,MIN(100,fam_kaliteTaban-IF($K84&gt;fam_esikKmBasi,fam_kaliteCeza,0)-COUNTIFS(tblGunluk[VarlikId],$A84,tblGunluk[AlarmBayrak],"ALARM")*fam_kaliteSapma-IF($H84="HAYIR",fam_kaliteCeza,0))))</f>
        <v/>
      </c>
    </row>
    <row r="85">
      <c r="A85" s="15" t="n"/>
      <c r="B85" s="15" t="n"/>
      <c r="C85" s="15" t="n"/>
      <c r="D85" s="15" t="n"/>
      <c r="E85" s="16" t="n"/>
      <c r="F85" s="17" t="n"/>
      <c r="G85" s="17" t="n"/>
      <c r="H85" s="15" t="n"/>
      <c r="I85" s="18">
        <f>IF($A85="","",SUMIF(tblGunluk[VarlikId],$A85,tblGunluk[Km_km]))</f>
        <v/>
      </c>
      <c r="J85" s="18">
        <f>IF($A85="","",SUMIF(tblGunluk[VarlikId],$A85,tblGunluk[FormulToplamTl]))</f>
        <v/>
      </c>
      <c r="K85" s="18">
        <f>IF($A85="","",IFERROR(SUMIF(tblGunluk[VarlikId],$A85,tblGunluk[FormulToplamTl])/SUMIF(tblGunluk[VarlikId],$A85,tblGunluk[Km_km]),0))</f>
        <v/>
      </c>
      <c r="L85" s="18">
        <f>IF($A85="","",MAX(0,MIN(100,fam_kaliteTaban-IF($K85&gt;fam_esikKmBasi,fam_kaliteCeza,0)-COUNTIFS(tblGunluk[VarlikId],$A85,tblGunluk[AlarmBayrak],"ALARM")*fam_kaliteSapma-IF($H85="HAYIR",fam_kaliteCeza,0))))</f>
        <v/>
      </c>
    </row>
    <row r="86">
      <c r="A86" s="15" t="n"/>
      <c r="B86" s="15" t="n"/>
      <c r="C86" s="15" t="n"/>
      <c r="D86" s="15" t="n"/>
      <c r="E86" s="16" t="n"/>
      <c r="F86" s="17" t="n"/>
      <c r="G86" s="17" t="n"/>
      <c r="H86" s="15" t="n"/>
      <c r="I86" s="18">
        <f>IF($A86="","",SUMIF(tblGunluk[VarlikId],$A86,tblGunluk[Km_km]))</f>
        <v/>
      </c>
      <c r="J86" s="18">
        <f>IF($A86="","",SUMIF(tblGunluk[VarlikId],$A86,tblGunluk[FormulToplamTl]))</f>
        <v/>
      </c>
      <c r="K86" s="18">
        <f>IF($A86="","",IFERROR(SUMIF(tblGunluk[VarlikId],$A86,tblGunluk[FormulToplamTl])/SUMIF(tblGunluk[VarlikId],$A86,tblGunluk[Km_km]),0))</f>
        <v/>
      </c>
      <c r="L86" s="18">
        <f>IF($A86="","",MAX(0,MIN(100,fam_kaliteTaban-IF($K86&gt;fam_esikKmBasi,fam_kaliteCeza,0)-COUNTIFS(tblGunluk[VarlikId],$A86,tblGunluk[AlarmBayrak],"ALARM")*fam_kaliteSapma-IF($H86="HAYIR",fam_kaliteCeza,0))))</f>
        <v/>
      </c>
    </row>
    <row r="87">
      <c r="A87" s="15" t="n"/>
      <c r="B87" s="15" t="n"/>
      <c r="C87" s="15" t="n"/>
      <c r="D87" s="15" t="n"/>
      <c r="E87" s="16" t="n"/>
      <c r="F87" s="17" t="n"/>
      <c r="G87" s="17" t="n"/>
      <c r="H87" s="15" t="n"/>
      <c r="I87" s="18">
        <f>IF($A87="","",SUMIF(tblGunluk[VarlikId],$A87,tblGunluk[Km_km]))</f>
        <v/>
      </c>
      <c r="J87" s="18">
        <f>IF($A87="","",SUMIF(tblGunluk[VarlikId],$A87,tblGunluk[FormulToplamTl]))</f>
        <v/>
      </c>
      <c r="K87" s="18">
        <f>IF($A87="","",IFERROR(SUMIF(tblGunluk[VarlikId],$A87,tblGunluk[FormulToplamTl])/SUMIF(tblGunluk[VarlikId],$A87,tblGunluk[Km_km]),0))</f>
        <v/>
      </c>
      <c r="L87" s="18">
        <f>IF($A87="","",MAX(0,MIN(100,fam_kaliteTaban-IF($K87&gt;fam_esikKmBasi,fam_kaliteCeza,0)-COUNTIFS(tblGunluk[VarlikId],$A87,tblGunluk[AlarmBayrak],"ALARM")*fam_kaliteSapma-IF($H87="HAYIR",fam_kaliteCeza,0))))</f>
        <v/>
      </c>
    </row>
    <row r="88">
      <c r="A88" s="15" t="n"/>
      <c r="B88" s="15" t="n"/>
      <c r="C88" s="15" t="n"/>
      <c r="D88" s="15" t="n"/>
      <c r="E88" s="16" t="n"/>
      <c r="F88" s="17" t="n"/>
      <c r="G88" s="17" t="n"/>
      <c r="H88" s="15" t="n"/>
      <c r="I88" s="18">
        <f>IF($A88="","",SUMIF(tblGunluk[VarlikId],$A88,tblGunluk[Km_km]))</f>
        <v/>
      </c>
      <c r="J88" s="18">
        <f>IF($A88="","",SUMIF(tblGunluk[VarlikId],$A88,tblGunluk[FormulToplamTl]))</f>
        <v/>
      </c>
      <c r="K88" s="18">
        <f>IF($A88="","",IFERROR(SUMIF(tblGunluk[VarlikId],$A88,tblGunluk[FormulToplamTl])/SUMIF(tblGunluk[VarlikId],$A88,tblGunluk[Km_km]),0))</f>
        <v/>
      </c>
      <c r="L88" s="18">
        <f>IF($A88="","",MAX(0,MIN(100,fam_kaliteTaban-IF($K88&gt;fam_esikKmBasi,fam_kaliteCeza,0)-COUNTIFS(tblGunluk[VarlikId],$A88,tblGunluk[AlarmBayrak],"ALARM")*fam_kaliteSapma-IF($H88="HAYIR",fam_kaliteCeza,0))))</f>
        <v/>
      </c>
    </row>
    <row r="89">
      <c r="A89" s="15" t="n"/>
      <c r="B89" s="15" t="n"/>
      <c r="C89" s="15" t="n"/>
      <c r="D89" s="15" t="n"/>
      <c r="E89" s="16" t="n"/>
      <c r="F89" s="17" t="n"/>
      <c r="G89" s="17" t="n"/>
      <c r="H89" s="15" t="n"/>
      <c r="I89" s="18">
        <f>IF($A89="","",SUMIF(tblGunluk[VarlikId],$A89,tblGunluk[Km_km]))</f>
        <v/>
      </c>
      <c r="J89" s="18">
        <f>IF($A89="","",SUMIF(tblGunluk[VarlikId],$A89,tblGunluk[FormulToplamTl]))</f>
        <v/>
      </c>
      <c r="K89" s="18">
        <f>IF($A89="","",IFERROR(SUMIF(tblGunluk[VarlikId],$A89,tblGunluk[FormulToplamTl])/SUMIF(tblGunluk[VarlikId],$A89,tblGunluk[Km_km]),0))</f>
        <v/>
      </c>
      <c r="L89" s="18">
        <f>IF($A89="","",MAX(0,MIN(100,fam_kaliteTaban-IF($K89&gt;fam_esikKmBasi,fam_kaliteCeza,0)-COUNTIFS(tblGunluk[VarlikId],$A89,tblGunluk[AlarmBayrak],"ALARM")*fam_kaliteSapma-IF($H89="HAYIR",fam_kaliteCeza,0))))</f>
        <v/>
      </c>
    </row>
    <row r="90">
      <c r="A90" s="15" t="n"/>
      <c r="B90" s="15" t="n"/>
      <c r="C90" s="15" t="n"/>
      <c r="D90" s="15" t="n"/>
      <c r="E90" s="16" t="n"/>
      <c r="F90" s="17" t="n"/>
      <c r="G90" s="17" t="n"/>
      <c r="H90" s="15" t="n"/>
      <c r="I90" s="18">
        <f>IF($A90="","",SUMIF(tblGunluk[VarlikId],$A90,tblGunluk[Km_km]))</f>
        <v/>
      </c>
      <c r="J90" s="18">
        <f>IF($A90="","",SUMIF(tblGunluk[VarlikId],$A90,tblGunluk[FormulToplamTl]))</f>
        <v/>
      </c>
      <c r="K90" s="18">
        <f>IF($A90="","",IFERROR(SUMIF(tblGunluk[VarlikId],$A90,tblGunluk[FormulToplamTl])/SUMIF(tblGunluk[VarlikId],$A90,tblGunluk[Km_km]),0))</f>
        <v/>
      </c>
      <c r="L90" s="18">
        <f>IF($A90="","",MAX(0,MIN(100,fam_kaliteTaban-IF($K90&gt;fam_esikKmBasi,fam_kaliteCeza,0)-COUNTIFS(tblGunluk[VarlikId],$A90,tblGunluk[AlarmBayrak],"ALARM")*fam_kaliteSapma-IF($H90="HAYIR",fam_kaliteCeza,0))))</f>
        <v/>
      </c>
    </row>
    <row r="91">
      <c r="A91" s="15" t="n"/>
      <c r="B91" s="15" t="n"/>
      <c r="C91" s="15" t="n"/>
      <c r="D91" s="15" t="n"/>
      <c r="E91" s="16" t="n"/>
      <c r="F91" s="17" t="n"/>
      <c r="G91" s="17" t="n"/>
      <c r="H91" s="15" t="n"/>
      <c r="I91" s="18">
        <f>IF($A91="","",SUMIF(tblGunluk[VarlikId],$A91,tblGunluk[Km_km]))</f>
        <v/>
      </c>
      <c r="J91" s="18">
        <f>IF($A91="","",SUMIF(tblGunluk[VarlikId],$A91,tblGunluk[FormulToplamTl]))</f>
        <v/>
      </c>
      <c r="K91" s="18">
        <f>IF($A91="","",IFERROR(SUMIF(tblGunluk[VarlikId],$A91,tblGunluk[FormulToplamTl])/SUMIF(tblGunluk[VarlikId],$A91,tblGunluk[Km_km]),0))</f>
        <v/>
      </c>
      <c r="L91" s="18">
        <f>IF($A91="","",MAX(0,MIN(100,fam_kaliteTaban-IF($K91&gt;fam_esikKmBasi,fam_kaliteCeza,0)-COUNTIFS(tblGunluk[VarlikId],$A91,tblGunluk[AlarmBayrak],"ALARM")*fam_kaliteSapma-IF($H91="HAYIR",fam_kaliteCeza,0))))</f>
        <v/>
      </c>
    </row>
    <row r="92">
      <c r="A92" s="15" t="n"/>
      <c r="B92" s="15" t="n"/>
      <c r="C92" s="15" t="n"/>
      <c r="D92" s="15" t="n"/>
      <c r="E92" s="16" t="n"/>
      <c r="F92" s="17" t="n"/>
      <c r="G92" s="17" t="n"/>
      <c r="H92" s="15" t="n"/>
      <c r="I92" s="18">
        <f>IF($A92="","",SUMIF(tblGunluk[VarlikId],$A92,tblGunluk[Km_km]))</f>
        <v/>
      </c>
      <c r="J92" s="18">
        <f>IF($A92="","",SUMIF(tblGunluk[VarlikId],$A92,tblGunluk[FormulToplamTl]))</f>
        <v/>
      </c>
      <c r="K92" s="18">
        <f>IF($A92="","",IFERROR(SUMIF(tblGunluk[VarlikId],$A92,tblGunluk[FormulToplamTl])/SUMIF(tblGunluk[VarlikId],$A92,tblGunluk[Km_km]),0))</f>
        <v/>
      </c>
      <c r="L92" s="18">
        <f>IF($A92="","",MAX(0,MIN(100,fam_kaliteTaban-IF($K92&gt;fam_esikKmBasi,fam_kaliteCeza,0)-COUNTIFS(tblGunluk[VarlikId],$A92,tblGunluk[AlarmBayrak],"ALARM")*fam_kaliteSapma-IF($H92="HAYIR",fam_kaliteCeza,0))))</f>
        <v/>
      </c>
    </row>
    <row r="93">
      <c r="A93" s="15" t="n"/>
      <c r="B93" s="15" t="n"/>
      <c r="C93" s="15" t="n"/>
      <c r="D93" s="15" t="n"/>
      <c r="E93" s="16" t="n"/>
      <c r="F93" s="17" t="n"/>
      <c r="G93" s="17" t="n"/>
      <c r="H93" s="15" t="n"/>
      <c r="I93" s="18">
        <f>IF($A93="","",SUMIF(tblGunluk[VarlikId],$A93,tblGunluk[Km_km]))</f>
        <v/>
      </c>
      <c r="J93" s="18">
        <f>IF($A93="","",SUMIF(tblGunluk[VarlikId],$A93,tblGunluk[FormulToplamTl]))</f>
        <v/>
      </c>
      <c r="K93" s="18">
        <f>IF($A93="","",IFERROR(SUMIF(tblGunluk[VarlikId],$A93,tblGunluk[FormulToplamTl])/SUMIF(tblGunluk[VarlikId],$A93,tblGunluk[Km_km]),0))</f>
        <v/>
      </c>
      <c r="L93" s="18">
        <f>IF($A93="","",MAX(0,MIN(100,fam_kaliteTaban-IF($K93&gt;fam_esikKmBasi,fam_kaliteCeza,0)-COUNTIFS(tblGunluk[VarlikId],$A93,tblGunluk[AlarmBayrak],"ALARM")*fam_kaliteSapma-IF($H93="HAYIR",fam_kaliteCeza,0))))</f>
        <v/>
      </c>
    </row>
    <row r="94">
      <c r="A94" s="15" t="n"/>
      <c r="B94" s="15" t="n"/>
      <c r="C94" s="15" t="n"/>
      <c r="D94" s="15" t="n"/>
      <c r="E94" s="16" t="n"/>
      <c r="F94" s="17" t="n"/>
      <c r="G94" s="17" t="n"/>
      <c r="H94" s="15" t="n"/>
      <c r="I94" s="18">
        <f>IF($A94="","",SUMIF(tblGunluk[VarlikId],$A94,tblGunluk[Km_km]))</f>
        <v/>
      </c>
      <c r="J94" s="18">
        <f>IF($A94="","",SUMIF(tblGunluk[VarlikId],$A94,tblGunluk[FormulToplamTl]))</f>
        <v/>
      </c>
      <c r="K94" s="18">
        <f>IF($A94="","",IFERROR(SUMIF(tblGunluk[VarlikId],$A94,tblGunluk[FormulToplamTl])/SUMIF(tblGunluk[VarlikId],$A94,tblGunluk[Km_km]),0))</f>
        <v/>
      </c>
      <c r="L94" s="18">
        <f>IF($A94="","",MAX(0,MIN(100,fam_kaliteTaban-IF($K94&gt;fam_esikKmBasi,fam_kaliteCeza,0)-COUNTIFS(tblGunluk[VarlikId],$A94,tblGunluk[AlarmBayrak],"ALARM")*fam_kaliteSapma-IF($H94="HAYIR",fam_kaliteCeza,0))))</f>
        <v/>
      </c>
    </row>
    <row r="95">
      <c r="A95" s="15" t="n"/>
      <c r="B95" s="15" t="n"/>
      <c r="C95" s="15" t="n"/>
      <c r="D95" s="15" t="n"/>
      <c r="E95" s="16" t="n"/>
      <c r="F95" s="17" t="n"/>
      <c r="G95" s="17" t="n"/>
      <c r="H95" s="15" t="n"/>
      <c r="I95" s="18">
        <f>IF($A95="","",SUMIF(tblGunluk[VarlikId],$A95,tblGunluk[Km_km]))</f>
        <v/>
      </c>
      <c r="J95" s="18">
        <f>IF($A95="","",SUMIF(tblGunluk[VarlikId],$A95,tblGunluk[FormulToplamTl]))</f>
        <v/>
      </c>
      <c r="K95" s="18">
        <f>IF($A95="","",IFERROR(SUMIF(tblGunluk[VarlikId],$A95,tblGunluk[FormulToplamTl])/SUMIF(tblGunluk[VarlikId],$A95,tblGunluk[Km_km]),0))</f>
        <v/>
      </c>
      <c r="L95" s="18">
        <f>IF($A95="","",MAX(0,MIN(100,fam_kaliteTaban-IF($K95&gt;fam_esikKmBasi,fam_kaliteCeza,0)-COUNTIFS(tblGunluk[VarlikId],$A95,tblGunluk[AlarmBayrak],"ALARM")*fam_kaliteSapma-IF($H95="HAYIR",fam_kaliteCeza,0))))</f>
        <v/>
      </c>
    </row>
    <row r="96">
      <c r="A96" s="15" t="n"/>
      <c r="B96" s="15" t="n"/>
      <c r="C96" s="15" t="n"/>
      <c r="D96" s="15" t="n"/>
      <c r="E96" s="16" t="n"/>
      <c r="F96" s="17" t="n"/>
      <c r="G96" s="17" t="n"/>
      <c r="H96" s="15" t="n"/>
      <c r="I96" s="18">
        <f>IF($A96="","",SUMIF(tblGunluk[VarlikId],$A96,tblGunluk[Km_km]))</f>
        <v/>
      </c>
      <c r="J96" s="18">
        <f>IF($A96="","",SUMIF(tblGunluk[VarlikId],$A96,tblGunluk[FormulToplamTl]))</f>
        <v/>
      </c>
      <c r="K96" s="18">
        <f>IF($A96="","",IFERROR(SUMIF(tblGunluk[VarlikId],$A96,tblGunluk[FormulToplamTl])/SUMIF(tblGunluk[VarlikId],$A96,tblGunluk[Km_km]),0))</f>
        <v/>
      </c>
      <c r="L96" s="18">
        <f>IF($A96="","",MAX(0,MIN(100,fam_kaliteTaban-IF($K96&gt;fam_esikKmBasi,fam_kaliteCeza,0)-COUNTIFS(tblGunluk[VarlikId],$A96,tblGunluk[AlarmBayrak],"ALARM")*fam_kaliteSapma-IF($H96="HAYIR",fam_kaliteCeza,0))))</f>
        <v/>
      </c>
    </row>
    <row r="97">
      <c r="A97" s="15" t="n"/>
      <c r="B97" s="15" t="n"/>
      <c r="C97" s="15" t="n"/>
      <c r="D97" s="15" t="n"/>
      <c r="E97" s="16" t="n"/>
      <c r="F97" s="17" t="n"/>
      <c r="G97" s="17" t="n"/>
      <c r="H97" s="15" t="n"/>
      <c r="I97" s="18">
        <f>IF($A97="","",SUMIF(tblGunluk[VarlikId],$A97,tblGunluk[Km_km]))</f>
        <v/>
      </c>
      <c r="J97" s="18">
        <f>IF($A97="","",SUMIF(tblGunluk[VarlikId],$A97,tblGunluk[FormulToplamTl]))</f>
        <v/>
      </c>
      <c r="K97" s="18">
        <f>IF($A97="","",IFERROR(SUMIF(tblGunluk[VarlikId],$A97,tblGunluk[FormulToplamTl])/SUMIF(tblGunluk[VarlikId],$A97,tblGunluk[Km_km]),0))</f>
        <v/>
      </c>
      <c r="L97" s="18">
        <f>IF($A97="","",MAX(0,MIN(100,fam_kaliteTaban-IF($K97&gt;fam_esikKmBasi,fam_kaliteCeza,0)-COUNTIFS(tblGunluk[VarlikId],$A97,tblGunluk[AlarmBayrak],"ALARM")*fam_kaliteSapma-IF($H97="HAYIR",fam_kaliteCeza,0))))</f>
        <v/>
      </c>
    </row>
    <row r="98">
      <c r="A98" s="15" t="n"/>
      <c r="B98" s="15" t="n"/>
      <c r="C98" s="15" t="n"/>
      <c r="D98" s="15" t="n"/>
      <c r="E98" s="16" t="n"/>
      <c r="F98" s="17" t="n"/>
      <c r="G98" s="17" t="n"/>
      <c r="H98" s="15" t="n"/>
      <c r="I98" s="18">
        <f>IF($A98="","",SUMIF(tblGunluk[VarlikId],$A98,tblGunluk[Km_km]))</f>
        <v/>
      </c>
      <c r="J98" s="18">
        <f>IF($A98="","",SUMIF(tblGunluk[VarlikId],$A98,tblGunluk[FormulToplamTl]))</f>
        <v/>
      </c>
      <c r="K98" s="18">
        <f>IF($A98="","",IFERROR(SUMIF(tblGunluk[VarlikId],$A98,tblGunluk[FormulToplamTl])/SUMIF(tblGunluk[VarlikId],$A98,tblGunluk[Km_km]),0))</f>
        <v/>
      </c>
      <c r="L98" s="18">
        <f>IF($A98="","",MAX(0,MIN(100,fam_kaliteTaban-IF($K98&gt;fam_esikKmBasi,fam_kaliteCeza,0)-COUNTIFS(tblGunluk[VarlikId],$A98,tblGunluk[AlarmBayrak],"ALARM")*fam_kaliteSapma-IF($H98="HAYIR",fam_kaliteCeza,0))))</f>
        <v/>
      </c>
    </row>
    <row r="99">
      <c r="A99" s="15" t="n"/>
      <c r="B99" s="15" t="n"/>
      <c r="C99" s="15" t="n"/>
      <c r="D99" s="15" t="n"/>
      <c r="E99" s="16" t="n"/>
      <c r="F99" s="17" t="n"/>
      <c r="G99" s="17" t="n"/>
      <c r="H99" s="15" t="n"/>
      <c r="I99" s="18">
        <f>IF($A99="","",SUMIF(tblGunluk[VarlikId],$A99,tblGunluk[Km_km]))</f>
        <v/>
      </c>
      <c r="J99" s="18">
        <f>IF($A99="","",SUMIF(tblGunluk[VarlikId],$A99,tblGunluk[FormulToplamTl]))</f>
        <v/>
      </c>
      <c r="K99" s="18">
        <f>IF($A99="","",IFERROR(SUMIF(tblGunluk[VarlikId],$A99,tblGunluk[FormulToplamTl])/SUMIF(tblGunluk[VarlikId],$A99,tblGunluk[Km_km]),0))</f>
        <v/>
      </c>
      <c r="L99" s="18">
        <f>IF($A99="","",MAX(0,MIN(100,fam_kaliteTaban-IF($K99&gt;fam_esikKmBasi,fam_kaliteCeza,0)-COUNTIFS(tblGunluk[VarlikId],$A99,tblGunluk[AlarmBayrak],"ALARM")*fam_kaliteSapma-IF($H99="HAYIR",fam_kaliteCeza,0))))</f>
        <v/>
      </c>
    </row>
    <row r="100">
      <c r="A100" s="15" t="n"/>
      <c r="B100" s="15" t="n"/>
      <c r="C100" s="15" t="n"/>
      <c r="D100" s="15" t="n"/>
      <c r="E100" s="16" t="n"/>
      <c r="F100" s="17" t="n"/>
      <c r="G100" s="17" t="n"/>
      <c r="H100" s="15" t="n"/>
      <c r="I100" s="18">
        <f>IF($A100="","",SUMIF(tblGunluk[VarlikId],$A100,tblGunluk[Km_km]))</f>
        <v/>
      </c>
      <c r="J100" s="18">
        <f>IF($A100="","",SUMIF(tblGunluk[VarlikId],$A100,tblGunluk[FormulToplamTl]))</f>
        <v/>
      </c>
      <c r="K100" s="18">
        <f>IF($A100="","",IFERROR(SUMIF(tblGunluk[VarlikId],$A100,tblGunluk[FormulToplamTl])/SUMIF(tblGunluk[VarlikId],$A100,tblGunluk[Km_km]),0))</f>
        <v/>
      </c>
      <c r="L100" s="18">
        <f>IF($A100="","",MAX(0,MIN(100,fam_kaliteTaban-IF($K100&gt;fam_esikKmBasi,fam_kaliteCeza,0)-COUNTIFS(tblGunluk[VarlikId],$A100,tblGunluk[AlarmBayrak],"ALARM")*fam_kaliteSapma-IF($H100="HAYIR",fam_kaliteCeza,0))))</f>
        <v/>
      </c>
    </row>
    <row r="101">
      <c r="A101" s="15" t="n"/>
      <c r="B101" s="15" t="n"/>
      <c r="C101" s="15" t="n"/>
      <c r="D101" s="15" t="n"/>
      <c r="E101" s="16" t="n"/>
      <c r="F101" s="17" t="n"/>
      <c r="G101" s="17" t="n"/>
      <c r="H101" s="15" t="n"/>
      <c r="I101" s="18">
        <f>IF($A101="","",SUMIF(tblGunluk[VarlikId],$A101,tblGunluk[Km_km]))</f>
        <v/>
      </c>
      <c r="J101" s="18">
        <f>IF($A101="","",SUMIF(tblGunluk[VarlikId],$A101,tblGunluk[FormulToplamTl]))</f>
        <v/>
      </c>
      <c r="K101" s="18">
        <f>IF($A101="","",IFERROR(SUMIF(tblGunluk[VarlikId],$A101,tblGunluk[FormulToplamTl])/SUMIF(tblGunluk[VarlikId],$A101,tblGunluk[Km_km]),0))</f>
        <v/>
      </c>
      <c r="L101" s="18">
        <f>IF($A101="","",MAX(0,MIN(100,fam_kaliteTaban-IF($K101&gt;fam_esikKmBasi,fam_kaliteCeza,0)-COUNTIFS(tblGunluk[VarlikId],$A101,tblGunluk[AlarmBayrak],"ALARM")*fam_kaliteSapma-IF($H101="HAYIR",fam_kaliteCeza,0))))</f>
        <v/>
      </c>
    </row>
    <row r="102">
      <c r="A102" s="15" t="n"/>
      <c r="B102" s="15" t="n"/>
      <c r="C102" s="15" t="n"/>
      <c r="D102" s="15" t="n"/>
      <c r="E102" s="16" t="n"/>
      <c r="F102" s="17" t="n"/>
      <c r="G102" s="17" t="n"/>
      <c r="H102" s="15" t="n"/>
      <c r="I102" s="18">
        <f>IF($A102="","",SUMIF(tblGunluk[VarlikId],$A102,tblGunluk[Km_km]))</f>
        <v/>
      </c>
      <c r="J102" s="18">
        <f>IF($A102="","",SUMIF(tblGunluk[VarlikId],$A102,tblGunluk[FormulToplamTl]))</f>
        <v/>
      </c>
      <c r="K102" s="18">
        <f>IF($A102="","",IFERROR(SUMIF(tblGunluk[VarlikId],$A102,tblGunluk[FormulToplamTl])/SUMIF(tblGunluk[VarlikId],$A102,tblGunluk[Km_km]),0))</f>
        <v/>
      </c>
      <c r="L102" s="18">
        <f>IF($A102="","",MAX(0,MIN(100,fam_kaliteTaban-IF($K102&gt;fam_esikKmBasi,fam_kaliteCeza,0)-COUNTIFS(tblGunluk[VarlikId],$A102,tblGunluk[AlarmBayrak],"ALARM")*fam_kaliteSapma-IF($H102="HAYIR",fam_kaliteCeza,0))))</f>
        <v/>
      </c>
    </row>
    <row r="103">
      <c r="A103" s="15" t="n"/>
      <c r="B103" s="15" t="n"/>
      <c r="C103" s="15" t="n"/>
      <c r="D103" s="15" t="n"/>
      <c r="E103" s="16" t="n"/>
      <c r="F103" s="17" t="n"/>
      <c r="G103" s="17" t="n"/>
      <c r="H103" s="15" t="n"/>
      <c r="I103" s="18">
        <f>IF($A103="","",SUMIF(tblGunluk[VarlikId],$A103,tblGunluk[Km_km]))</f>
        <v/>
      </c>
      <c r="J103" s="18">
        <f>IF($A103="","",SUMIF(tblGunluk[VarlikId],$A103,tblGunluk[FormulToplamTl]))</f>
        <v/>
      </c>
      <c r="K103" s="18">
        <f>IF($A103="","",IFERROR(SUMIF(tblGunluk[VarlikId],$A103,tblGunluk[FormulToplamTl])/SUMIF(tblGunluk[VarlikId],$A103,tblGunluk[Km_km]),0))</f>
        <v/>
      </c>
      <c r="L103" s="18">
        <f>IF($A103="","",MAX(0,MIN(100,fam_kaliteTaban-IF($K103&gt;fam_esikKmBasi,fam_kaliteCeza,0)-COUNTIFS(tblGunluk[VarlikId],$A103,tblGunluk[AlarmBayrak],"ALARM")*fam_kaliteSapma-IF($H103="HAYIR",fam_kaliteCeza,0))))</f>
        <v/>
      </c>
    </row>
    <row r="104">
      <c r="A104" s="15" t="n"/>
      <c r="B104" s="15" t="n"/>
      <c r="C104" s="15" t="n"/>
      <c r="D104" s="15" t="n"/>
      <c r="E104" s="16" t="n"/>
      <c r="F104" s="17" t="n"/>
      <c r="G104" s="17" t="n"/>
      <c r="H104" s="15" t="n"/>
      <c r="I104" s="18">
        <f>IF($A104="","",SUMIF(tblGunluk[VarlikId],$A104,tblGunluk[Km_km]))</f>
        <v/>
      </c>
      <c r="J104" s="18">
        <f>IF($A104="","",SUMIF(tblGunluk[VarlikId],$A104,tblGunluk[FormulToplamTl]))</f>
        <v/>
      </c>
      <c r="K104" s="18">
        <f>IF($A104="","",IFERROR(SUMIF(tblGunluk[VarlikId],$A104,tblGunluk[FormulToplamTl])/SUMIF(tblGunluk[VarlikId],$A104,tblGunluk[Km_km]),0))</f>
        <v/>
      </c>
      <c r="L104" s="18">
        <f>IF($A104="","",MAX(0,MIN(100,fam_kaliteTaban-IF($K104&gt;fam_esikKmBasi,fam_kaliteCeza,0)-COUNTIFS(tblGunluk[VarlikId],$A104,tblGunluk[AlarmBayrak],"ALARM")*fam_kaliteSapma-IF($H104="HAYIR",fam_kaliteCeza,0))))</f>
        <v/>
      </c>
    </row>
    <row r="105">
      <c r="A105" s="15" t="n"/>
      <c r="B105" s="15" t="n"/>
      <c r="C105" s="15" t="n"/>
      <c r="D105" s="15" t="n"/>
      <c r="E105" s="16" t="n"/>
      <c r="F105" s="17" t="n"/>
      <c r="G105" s="17" t="n"/>
      <c r="H105" s="15" t="n"/>
      <c r="I105" s="18">
        <f>IF($A105="","",SUMIF(tblGunluk[VarlikId],$A105,tblGunluk[Km_km]))</f>
        <v/>
      </c>
      <c r="J105" s="18">
        <f>IF($A105="","",SUMIF(tblGunluk[VarlikId],$A105,tblGunluk[FormulToplamTl]))</f>
        <v/>
      </c>
      <c r="K105" s="18">
        <f>IF($A105="","",IFERROR(SUMIF(tblGunluk[VarlikId],$A105,tblGunluk[FormulToplamTl])/SUMIF(tblGunluk[VarlikId],$A105,tblGunluk[Km_km]),0))</f>
        <v/>
      </c>
      <c r="L105" s="18">
        <f>IF($A105="","",MAX(0,MIN(100,fam_kaliteTaban-IF($K105&gt;fam_esikKmBasi,fam_kaliteCeza,0)-COUNTIFS(tblGunluk[VarlikId],$A105,tblGunluk[AlarmBayrak],"ALARM")*fam_kaliteSapma-IF($H105="HAYIR",fam_kaliteCeza,0))))</f>
        <v/>
      </c>
    </row>
    <row r="106">
      <c r="A106" s="15" t="n"/>
      <c r="B106" s="15" t="n"/>
      <c r="C106" s="15" t="n"/>
      <c r="D106" s="15" t="n"/>
      <c r="E106" s="16" t="n"/>
      <c r="F106" s="17" t="n"/>
      <c r="G106" s="17" t="n"/>
      <c r="H106" s="15" t="n"/>
      <c r="I106" s="18">
        <f>IF($A106="","",SUMIF(tblGunluk[VarlikId],$A106,tblGunluk[Km_km]))</f>
        <v/>
      </c>
      <c r="J106" s="18">
        <f>IF($A106="","",SUMIF(tblGunluk[VarlikId],$A106,tblGunluk[FormulToplamTl]))</f>
        <v/>
      </c>
      <c r="K106" s="18">
        <f>IF($A106="","",IFERROR(SUMIF(tblGunluk[VarlikId],$A106,tblGunluk[FormulToplamTl])/SUMIF(tblGunluk[VarlikId],$A106,tblGunluk[Km_km]),0))</f>
        <v/>
      </c>
      <c r="L106" s="18">
        <f>IF($A106="","",MAX(0,MIN(100,fam_kaliteTaban-IF($K106&gt;fam_esikKmBasi,fam_kaliteCeza,0)-COUNTIFS(tblGunluk[VarlikId],$A106,tblGunluk[AlarmBayrak],"ALARM")*fam_kaliteSapma-IF($H106="HAYIR",fam_kaliteCeza,0))))</f>
        <v/>
      </c>
    </row>
    <row r="107">
      <c r="A107" s="15" t="n"/>
      <c r="B107" s="15" t="n"/>
      <c r="C107" s="15" t="n"/>
      <c r="D107" s="15" t="n"/>
      <c r="E107" s="16" t="n"/>
      <c r="F107" s="17" t="n"/>
      <c r="G107" s="17" t="n"/>
      <c r="H107" s="15" t="n"/>
      <c r="I107" s="18">
        <f>IF($A107="","",SUMIF(tblGunluk[VarlikId],$A107,tblGunluk[Km_km]))</f>
        <v/>
      </c>
      <c r="J107" s="18">
        <f>IF($A107="","",SUMIF(tblGunluk[VarlikId],$A107,tblGunluk[FormulToplamTl]))</f>
        <v/>
      </c>
      <c r="K107" s="18">
        <f>IF($A107="","",IFERROR(SUMIF(tblGunluk[VarlikId],$A107,tblGunluk[FormulToplamTl])/SUMIF(tblGunluk[VarlikId],$A107,tblGunluk[Km_km]),0))</f>
        <v/>
      </c>
      <c r="L107" s="18">
        <f>IF($A107="","",MAX(0,MIN(100,fam_kaliteTaban-IF($K107&gt;fam_esikKmBasi,fam_kaliteCeza,0)-COUNTIFS(tblGunluk[VarlikId],$A107,tblGunluk[AlarmBayrak],"ALARM")*fam_kaliteSapma-IF($H107="HAYIR",fam_kaliteCeza,0))))</f>
        <v/>
      </c>
    </row>
    <row r="108">
      <c r="A108" s="15" t="n"/>
      <c r="B108" s="15" t="n"/>
      <c r="C108" s="15" t="n"/>
      <c r="D108" s="15" t="n"/>
      <c r="E108" s="16" t="n"/>
      <c r="F108" s="17" t="n"/>
      <c r="G108" s="17" t="n"/>
      <c r="H108" s="15" t="n"/>
      <c r="I108" s="18">
        <f>IF($A108="","",SUMIF(tblGunluk[VarlikId],$A108,tblGunluk[Km_km]))</f>
        <v/>
      </c>
      <c r="J108" s="18">
        <f>IF($A108="","",SUMIF(tblGunluk[VarlikId],$A108,tblGunluk[FormulToplamTl]))</f>
        <v/>
      </c>
      <c r="K108" s="18">
        <f>IF($A108="","",IFERROR(SUMIF(tblGunluk[VarlikId],$A108,tblGunluk[FormulToplamTl])/SUMIF(tblGunluk[VarlikId],$A108,tblGunluk[Km_km]),0))</f>
        <v/>
      </c>
      <c r="L108" s="18">
        <f>IF($A108="","",MAX(0,MIN(100,fam_kaliteTaban-IF($K108&gt;fam_esikKmBasi,fam_kaliteCeza,0)-COUNTIFS(tblGunluk[VarlikId],$A108,tblGunluk[AlarmBayrak],"ALARM")*fam_kaliteSapma-IF($H108="HAYIR",fam_kaliteCeza,0))))</f>
        <v/>
      </c>
    </row>
    <row r="109">
      <c r="A109" s="15" t="n"/>
      <c r="B109" s="15" t="n"/>
      <c r="C109" s="15" t="n"/>
      <c r="D109" s="15" t="n"/>
      <c r="E109" s="16" t="n"/>
      <c r="F109" s="17" t="n"/>
      <c r="G109" s="17" t="n"/>
      <c r="H109" s="15" t="n"/>
      <c r="I109" s="18">
        <f>IF($A109="","",SUMIF(tblGunluk[VarlikId],$A109,tblGunluk[Km_km]))</f>
        <v/>
      </c>
      <c r="J109" s="18">
        <f>IF($A109="","",SUMIF(tblGunluk[VarlikId],$A109,tblGunluk[FormulToplamTl]))</f>
        <v/>
      </c>
      <c r="K109" s="18">
        <f>IF($A109="","",IFERROR(SUMIF(tblGunluk[VarlikId],$A109,tblGunluk[FormulToplamTl])/SUMIF(tblGunluk[VarlikId],$A109,tblGunluk[Km_km]),0))</f>
        <v/>
      </c>
      <c r="L109" s="18">
        <f>IF($A109="","",MAX(0,MIN(100,fam_kaliteTaban-IF($K109&gt;fam_esikKmBasi,fam_kaliteCeza,0)-COUNTIFS(tblGunluk[VarlikId],$A109,tblGunluk[AlarmBayrak],"ALARM")*fam_kaliteSapma-IF($H109="HAYIR",fam_kaliteCeza,0))))</f>
        <v/>
      </c>
    </row>
    <row r="110">
      <c r="A110" s="15" t="n"/>
      <c r="B110" s="15" t="n"/>
      <c r="C110" s="15" t="n"/>
      <c r="D110" s="15" t="n"/>
      <c r="E110" s="16" t="n"/>
      <c r="F110" s="17" t="n"/>
      <c r="G110" s="17" t="n"/>
      <c r="H110" s="15" t="n"/>
      <c r="I110" s="18">
        <f>IF($A110="","",SUMIF(tblGunluk[VarlikId],$A110,tblGunluk[Km_km]))</f>
        <v/>
      </c>
      <c r="J110" s="18">
        <f>IF($A110="","",SUMIF(tblGunluk[VarlikId],$A110,tblGunluk[FormulToplamTl]))</f>
        <v/>
      </c>
      <c r="K110" s="18">
        <f>IF($A110="","",IFERROR(SUMIF(tblGunluk[VarlikId],$A110,tblGunluk[FormulToplamTl])/SUMIF(tblGunluk[VarlikId],$A110,tblGunluk[Km_km]),0))</f>
        <v/>
      </c>
      <c r="L110" s="18">
        <f>IF($A110="","",MAX(0,MIN(100,fam_kaliteTaban-IF($K110&gt;fam_esikKmBasi,fam_kaliteCeza,0)-COUNTIFS(tblGunluk[VarlikId],$A110,tblGunluk[AlarmBayrak],"ALARM")*fam_kaliteSapma-IF($H110="HAYIR",fam_kaliteCeza,0))))</f>
        <v/>
      </c>
    </row>
    <row r="111">
      <c r="A111" s="15" t="n"/>
      <c r="B111" s="15" t="n"/>
      <c r="C111" s="15" t="n"/>
      <c r="D111" s="15" t="n"/>
      <c r="E111" s="16" t="n"/>
      <c r="F111" s="17" t="n"/>
      <c r="G111" s="17" t="n"/>
      <c r="H111" s="15" t="n"/>
      <c r="I111" s="18">
        <f>IF($A111="","",SUMIF(tblGunluk[VarlikId],$A111,tblGunluk[Km_km]))</f>
        <v/>
      </c>
      <c r="J111" s="18">
        <f>IF($A111="","",SUMIF(tblGunluk[VarlikId],$A111,tblGunluk[FormulToplamTl]))</f>
        <v/>
      </c>
      <c r="K111" s="18">
        <f>IF($A111="","",IFERROR(SUMIF(tblGunluk[VarlikId],$A111,tblGunluk[FormulToplamTl])/SUMIF(tblGunluk[VarlikId],$A111,tblGunluk[Km_km]),0))</f>
        <v/>
      </c>
      <c r="L111" s="18">
        <f>IF($A111="","",MAX(0,MIN(100,fam_kaliteTaban-IF($K111&gt;fam_esikKmBasi,fam_kaliteCeza,0)-COUNTIFS(tblGunluk[VarlikId],$A111,tblGunluk[AlarmBayrak],"ALARM")*fam_kaliteSapma-IF($H111="HAYIR",fam_kaliteCeza,0))))</f>
        <v/>
      </c>
    </row>
    <row r="112">
      <c r="A112" s="15" t="n"/>
      <c r="B112" s="15" t="n"/>
      <c r="C112" s="15" t="n"/>
      <c r="D112" s="15" t="n"/>
      <c r="E112" s="16" t="n"/>
      <c r="F112" s="17" t="n"/>
      <c r="G112" s="17" t="n"/>
      <c r="H112" s="15" t="n"/>
      <c r="I112" s="18">
        <f>IF($A112="","",SUMIF(tblGunluk[VarlikId],$A112,tblGunluk[Km_km]))</f>
        <v/>
      </c>
      <c r="J112" s="18">
        <f>IF($A112="","",SUMIF(tblGunluk[VarlikId],$A112,tblGunluk[FormulToplamTl]))</f>
        <v/>
      </c>
      <c r="K112" s="18">
        <f>IF($A112="","",IFERROR(SUMIF(tblGunluk[VarlikId],$A112,tblGunluk[FormulToplamTl])/SUMIF(tblGunluk[VarlikId],$A112,tblGunluk[Km_km]),0))</f>
        <v/>
      </c>
      <c r="L112" s="18">
        <f>IF($A112="","",MAX(0,MIN(100,fam_kaliteTaban-IF($K112&gt;fam_esikKmBasi,fam_kaliteCeza,0)-COUNTIFS(tblGunluk[VarlikId],$A112,tblGunluk[AlarmBayrak],"ALARM")*fam_kaliteSapma-IF($H112="HAYIR",fam_kaliteCeza,0))))</f>
        <v/>
      </c>
    </row>
    <row r="113">
      <c r="A113" s="15" t="n"/>
      <c r="B113" s="15" t="n"/>
      <c r="C113" s="15" t="n"/>
      <c r="D113" s="15" t="n"/>
      <c r="E113" s="16" t="n"/>
      <c r="F113" s="17" t="n"/>
      <c r="G113" s="17" t="n"/>
      <c r="H113" s="15" t="n"/>
      <c r="I113" s="18">
        <f>IF($A113="","",SUMIF(tblGunluk[VarlikId],$A113,tblGunluk[Km_km]))</f>
        <v/>
      </c>
      <c r="J113" s="18">
        <f>IF($A113="","",SUMIF(tblGunluk[VarlikId],$A113,tblGunluk[FormulToplamTl]))</f>
        <v/>
      </c>
      <c r="K113" s="18">
        <f>IF($A113="","",IFERROR(SUMIF(tblGunluk[VarlikId],$A113,tblGunluk[FormulToplamTl])/SUMIF(tblGunluk[VarlikId],$A113,tblGunluk[Km_km]),0))</f>
        <v/>
      </c>
      <c r="L113" s="18">
        <f>IF($A113="","",MAX(0,MIN(100,fam_kaliteTaban-IF($K113&gt;fam_esikKmBasi,fam_kaliteCeza,0)-COUNTIFS(tblGunluk[VarlikId],$A113,tblGunluk[AlarmBayrak],"ALARM")*fam_kaliteSapma-IF($H113="HAYIR",fam_kaliteCeza,0))))</f>
        <v/>
      </c>
    </row>
    <row r="114">
      <c r="A114" s="15" t="n"/>
      <c r="B114" s="15" t="n"/>
      <c r="C114" s="15" t="n"/>
      <c r="D114" s="15" t="n"/>
      <c r="E114" s="16" t="n"/>
      <c r="F114" s="17" t="n"/>
      <c r="G114" s="17" t="n"/>
      <c r="H114" s="15" t="n"/>
      <c r="I114" s="18">
        <f>IF($A114="","",SUMIF(tblGunluk[VarlikId],$A114,tblGunluk[Km_km]))</f>
        <v/>
      </c>
      <c r="J114" s="18">
        <f>IF($A114="","",SUMIF(tblGunluk[VarlikId],$A114,tblGunluk[FormulToplamTl]))</f>
        <v/>
      </c>
      <c r="K114" s="18">
        <f>IF($A114="","",IFERROR(SUMIF(tblGunluk[VarlikId],$A114,tblGunluk[FormulToplamTl])/SUMIF(tblGunluk[VarlikId],$A114,tblGunluk[Km_km]),0))</f>
        <v/>
      </c>
      <c r="L114" s="18">
        <f>IF($A114="","",MAX(0,MIN(100,fam_kaliteTaban-IF($K114&gt;fam_esikKmBasi,fam_kaliteCeza,0)-COUNTIFS(tblGunluk[VarlikId],$A114,tblGunluk[AlarmBayrak],"ALARM")*fam_kaliteSapma-IF($H114="HAYIR",fam_kaliteCeza,0))))</f>
        <v/>
      </c>
    </row>
    <row r="115">
      <c r="A115" s="15" t="n"/>
      <c r="B115" s="15" t="n"/>
      <c r="C115" s="15" t="n"/>
      <c r="D115" s="15" t="n"/>
      <c r="E115" s="16" t="n"/>
      <c r="F115" s="17" t="n"/>
      <c r="G115" s="17" t="n"/>
      <c r="H115" s="15" t="n"/>
      <c r="I115" s="18">
        <f>IF($A115="","",SUMIF(tblGunluk[VarlikId],$A115,tblGunluk[Km_km]))</f>
        <v/>
      </c>
      <c r="J115" s="18">
        <f>IF($A115="","",SUMIF(tblGunluk[VarlikId],$A115,tblGunluk[FormulToplamTl]))</f>
        <v/>
      </c>
      <c r="K115" s="18">
        <f>IF($A115="","",IFERROR(SUMIF(tblGunluk[VarlikId],$A115,tblGunluk[FormulToplamTl])/SUMIF(tblGunluk[VarlikId],$A115,tblGunluk[Km_km]),0))</f>
        <v/>
      </c>
      <c r="L115" s="18">
        <f>IF($A115="","",MAX(0,MIN(100,fam_kaliteTaban-IF($K115&gt;fam_esikKmBasi,fam_kaliteCeza,0)-COUNTIFS(tblGunluk[VarlikId],$A115,tblGunluk[AlarmBayrak],"ALARM")*fam_kaliteSapma-IF($H115="HAYIR",fam_kaliteCeza,0))))</f>
        <v/>
      </c>
    </row>
    <row r="116">
      <c r="A116" s="15" t="n"/>
      <c r="B116" s="15" t="n"/>
      <c r="C116" s="15" t="n"/>
      <c r="D116" s="15" t="n"/>
      <c r="E116" s="16" t="n"/>
      <c r="F116" s="17" t="n"/>
      <c r="G116" s="17" t="n"/>
      <c r="H116" s="15" t="n"/>
      <c r="I116" s="18">
        <f>IF($A116="","",SUMIF(tblGunluk[VarlikId],$A116,tblGunluk[Km_km]))</f>
        <v/>
      </c>
      <c r="J116" s="18">
        <f>IF($A116="","",SUMIF(tblGunluk[VarlikId],$A116,tblGunluk[FormulToplamTl]))</f>
        <v/>
      </c>
      <c r="K116" s="18">
        <f>IF($A116="","",IFERROR(SUMIF(tblGunluk[VarlikId],$A116,tblGunluk[FormulToplamTl])/SUMIF(tblGunluk[VarlikId],$A116,tblGunluk[Km_km]),0))</f>
        <v/>
      </c>
      <c r="L116" s="18">
        <f>IF($A116="","",MAX(0,MIN(100,fam_kaliteTaban-IF($K116&gt;fam_esikKmBasi,fam_kaliteCeza,0)-COUNTIFS(tblGunluk[VarlikId],$A116,tblGunluk[AlarmBayrak],"ALARM")*fam_kaliteSapma-IF($H116="HAYIR",fam_kaliteCeza,0))))</f>
        <v/>
      </c>
    </row>
    <row r="117">
      <c r="A117" s="15" t="n"/>
      <c r="B117" s="15" t="n"/>
      <c r="C117" s="15" t="n"/>
      <c r="D117" s="15" t="n"/>
      <c r="E117" s="16" t="n"/>
      <c r="F117" s="17" t="n"/>
      <c r="G117" s="17" t="n"/>
      <c r="H117" s="15" t="n"/>
      <c r="I117" s="18">
        <f>IF($A117="","",SUMIF(tblGunluk[VarlikId],$A117,tblGunluk[Km_km]))</f>
        <v/>
      </c>
      <c r="J117" s="18">
        <f>IF($A117="","",SUMIF(tblGunluk[VarlikId],$A117,tblGunluk[FormulToplamTl]))</f>
        <v/>
      </c>
      <c r="K117" s="18">
        <f>IF($A117="","",IFERROR(SUMIF(tblGunluk[VarlikId],$A117,tblGunluk[FormulToplamTl])/SUMIF(tblGunluk[VarlikId],$A117,tblGunluk[Km_km]),0))</f>
        <v/>
      </c>
      <c r="L117" s="18">
        <f>IF($A117="","",MAX(0,MIN(100,fam_kaliteTaban-IF($K117&gt;fam_esikKmBasi,fam_kaliteCeza,0)-COUNTIFS(tblGunluk[VarlikId],$A117,tblGunluk[AlarmBayrak],"ALARM")*fam_kaliteSapma-IF($H117="HAYIR",fam_kaliteCeza,0))))</f>
        <v/>
      </c>
    </row>
    <row r="118">
      <c r="A118" s="15" t="n"/>
      <c r="B118" s="15" t="n"/>
      <c r="C118" s="15" t="n"/>
      <c r="D118" s="15" t="n"/>
      <c r="E118" s="16" t="n"/>
      <c r="F118" s="17" t="n"/>
      <c r="G118" s="17" t="n"/>
      <c r="H118" s="15" t="n"/>
      <c r="I118" s="18">
        <f>IF($A118="","",SUMIF(tblGunluk[VarlikId],$A118,tblGunluk[Km_km]))</f>
        <v/>
      </c>
      <c r="J118" s="18">
        <f>IF($A118="","",SUMIF(tblGunluk[VarlikId],$A118,tblGunluk[FormulToplamTl]))</f>
        <v/>
      </c>
      <c r="K118" s="18">
        <f>IF($A118="","",IFERROR(SUMIF(tblGunluk[VarlikId],$A118,tblGunluk[FormulToplamTl])/SUMIF(tblGunluk[VarlikId],$A118,tblGunluk[Km_km]),0))</f>
        <v/>
      </c>
      <c r="L118" s="18">
        <f>IF($A118="","",MAX(0,MIN(100,fam_kaliteTaban-IF($K118&gt;fam_esikKmBasi,fam_kaliteCeza,0)-COUNTIFS(tblGunluk[VarlikId],$A118,tblGunluk[AlarmBayrak],"ALARM")*fam_kaliteSapma-IF($H118="HAYIR",fam_kaliteCeza,0))))</f>
        <v/>
      </c>
    </row>
    <row r="119">
      <c r="A119" s="15" t="n"/>
      <c r="B119" s="15" t="n"/>
      <c r="C119" s="15" t="n"/>
      <c r="D119" s="15" t="n"/>
      <c r="E119" s="16" t="n"/>
      <c r="F119" s="17" t="n"/>
      <c r="G119" s="17" t="n"/>
      <c r="H119" s="15" t="n"/>
      <c r="I119" s="18">
        <f>IF($A119="","",SUMIF(tblGunluk[VarlikId],$A119,tblGunluk[Km_km]))</f>
        <v/>
      </c>
      <c r="J119" s="18">
        <f>IF($A119="","",SUMIF(tblGunluk[VarlikId],$A119,tblGunluk[FormulToplamTl]))</f>
        <v/>
      </c>
      <c r="K119" s="18">
        <f>IF($A119="","",IFERROR(SUMIF(tblGunluk[VarlikId],$A119,tblGunluk[FormulToplamTl])/SUMIF(tblGunluk[VarlikId],$A119,tblGunluk[Km_km]),0))</f>
        <v/>
      </c>
      <c r="L119" s="18">
        <f>IF($A119="","",MAX(0,MIN(100,fam_kaliteTaban-IF($K119&gt;fam_esikKmBasi,fam_kaliteCeza,0)-COUNTIFS(tblGunluk[VarlikId],$A119,tblGunluk[AlarmBayrak],"ALARM")*fam_kaliteSapma-IF($H119="HAYIR",fam_kaliteCeza,0))))</f>
        <v/>
      </c>
    </row>
    <row r="120">
      <c r="A120" s="15" t="n"/>
      <c r="B120" s="15" t="n"/>
      <c r="C120" s="15" t="n"/>
      <c r="D120" s="15" t="n"/>
      <c r="E120" s="16" t="n"/>
      <c r="F120" s="17" t="n"/>
      <c r="G120" s="17" t="n"/>
      <c r="H120" s="15" t="n"/>
      <c r="I120" s="18">
        <f>IF($A120="","",SUMIF(tblGunluk[VarlikId],$A120,tblGunluk[Km_km]))</f>
        <v/>
      </c>
      <c r="J120" s="18">
        <f>IF($A120="","",SUMIF(tblGunluk[VarlikId],$A120,tblGunluk[FormulToplamTl]))</f>
        <v/>
      </c>
      <c r="K120" s="18">
        <f>IF($A120="","",IFERROR(SUMIF(tblGunluk[VarlikId],$A120,tblGunluk[FormulToplamTl])/SUMIF(tblGunluk[VarlikId],$A120,tblGunluk[Km_km]),0))</f>
        <v/>
      </c>
      <c r="L120" s="18">
        <f>IF($A120="","",MAX(0,MIN(100,fam_kaliteTaban-IF($K120&gt;fam_esikKmBasi,fam_kaliteCeza,0)-COUNTIFS(tblGunluk[VarlikId],$A120,tblGunluk[AlarmBayrak],"ALARM")*fam_kaliteSapma-IF($H120="HAYIR",fam_kaliteCeza,0))))</f>
        <v/>
      </c>
    </row>
    <row r="121">
      <c r="A121" s="15" t="n"/>
      <c r="B121" s="15" t="n"/>
      <c r="C121" s="15" t="n"/>
      <c r="D121" s="15" t="n"/>
      <c r="E121" s="16" t="n"/>
      <c r="F121" s="17" t="n"/>
      <c r="G121" s="17" t="n"/>
      <c r="H121" s="15" t="n"/>
      <c r="I121" s="18">
        <f>IF($A121="","",SUMIF(tblGunluk[VarlikId],$A121,tblGunluk[Km_km]))</f>
        <v/>
      </c>
      <c r="J121" s="18">
        <f>IF($A121="","",SUMIF(tblGunluk[VarlikId],$A121,tblGunluk[FormulToplamTl]))</f>
        <v/>
      </c>
      <c r="K121" s="18">
        <f>IF($A121="","",IFERROR(SUMIF(tblGunluk[VarlikId],$A121,tblGunluk[FormulToplamTl])/SUMIF(tblGunluk[VarlikId],$A121,tblGunluk[Km_km]),0))</f>
        <v/>
      </c>
      <c r="L121" s="18">
        <f>IF($A121="","",MAX(0,MIN(100,fam_kaliteTaban-IF($K121&gt;fam_esikKmBasi,fam_kaliteCeza,0)-COUNTIFS(tblGunluk[VarlikId],$A121,tblGunluk[AlarmBayrak],"ALARM")*fam_kaliteSapma-IF($H121="HAYIR",fam_kaliteCeza,0))))</f>
        <v/>
      </c>
    </row>
    <row r="122">
      <c r="A122" s="15" t="n"/>
      <c r="B122" s="15" t="n"/>
      <c r="C122" s="15" t="n"/>
      <c r="D122" s="15" t="n"/>
      <c r="E122" s="16" t="n"/>
      <c r="F122" s="17" t="n"/>
      <c r="G122" s="17" t="n"/>
      <c r="H122" s="15" t="n"/>
      <c r="I122" s="18">
        <f>IF($A122="","",SUMIF(tblGunluk[VarlikId],$A122,tblGunluk[Km_km]))</f>
        <v/>
      </c>
      <c r="J122" s="18">
        <f>IF($A122="","",SUMIF(tblGunluk[VarlikId],$A122,tblGunluk[FormulToplamTl]))</f>
        <v/>
      </c>
      <c r="K122" s="18">
        <f>IF($A122="","",IFERROR(SUMIF(tblGunluk[VarlikId],$A122,tblGunluk[FormulToplamTl])/SUMIF(tblGunluk[VarlikId],$A122,tblGunluk[Km_km]),0))</f>
        <v/>
      </c>
      <c r="L122" s="18">
        <f>IF($A122="","",MAX(0,MIN(100,fam_kaliteTaban-IF($K122&gt;fam_esikKmBasi,fam_kaliteCeza,0)-COUNTIFS(tblGunluk[VarlikId],$A122,tblGunluk[AlarmBayrak],"ALARM")*fam_kaliteSapma-IF($H122="HAYIR",fam_kaliteCeza,0))))</f>
        <v/>
      </c>
    </row>
    <row r="123">
      <c r="A123" s="15" t="n"/>
      <c r="B123" s="15" t="n"/>
      <c r="C123" s="15" t="n"/>
      <c r="D123" s="15" t="n"/>
      <c r="E123" s="16" t="n"/>
      <c r="F123" s="17" t="n"/>
      <c r="G123" s="17" t="n"/>
      <c r="H123" s="15" t="n"/>
      <c r="I123" s="18">
        <f>IF($A123="","",SUMIF(tblGunluk[VarlikId],$A123,tblGunluk[Km_km]))</f>
        <v/>
      </c>
      <c r="J123" s="18">
        <f>IF($A123="","",SUMIF(tblGunluk[VarlikId],$A123,tblGunluk[FormulToplamTl]))</f>
        <v/>
      </c>
      <c r="K123" s="18">
        <f>IF($A123="","",IFERROR(SUMIF(tblGunluk[VarlikId],$A123,tblGunluk[FormulToplamTl])/SUMIF(tblGunluk[VarlikId],$A123,tblGunluk[Km_km]),0))</f>
        <v/>
      </c>
      <c r="L123" s="18">
        <f>IF($A123="","",MAX(0,MIN(100,fam_kaliteTaban-IF($K123&gt;fam_esikKmBasi,fam_kaliteCeza,0)-COUNTIFS(tblGunluk[VarlikId],$A123,tblGunluk[AlarmBayrak],"ALARM")*fam_kaliteSapma-IF($H123="HAYIR",fam_kaliteCeza,0))))</f>
        <v/>
      </c>
    </row>
    <row r="124">
      <c r="A124" s="15" t="n"/>
      <c r="B124" s="15" t="n"/>
      <c r="C124" s="15" t="n"/>
      <c r="D124" s="15" t="n"/>
      <c r="E124" s="16" t="n"/>
      <c r="F124" s="17" t="n"/>
      <c r="G124" s="17" t="n"/>
      <c r="H124" s="15" t="n"/>
      <c r="I124" s="18">
        <f>IF($A124="","",SUMIF(tblGunluk[VarlikId],$A124,tblGunluk[Km_km]))</f>
        <v/>
      </c>
      <c r="J124" s="18">
        <f>IF($A124="","",SUMIF(tblGunluk[VarlikId],$A124,tblGunluk[FormulToplamTl]))</f>
        <v/>
      </c>
      <c r="K124" s="18">
        <f>IF($A124="","",IFERROR(SUMIF(tblGunluk[VarlikId],$A124,tblGunluk[FormulToplamTl])/SUMIF(tblGunluk[VarlikId],$A124,tblGunluk[Km_km]),0))</f>
        <v/>
      </c>
      <c r="L124" s="18">
        <f>IF($A124="","",MAX(0,MIN(100,fam_kaliteTaban-IF($K124&gt;fam_esikKmBasi,fam_kaliteCeza,0)-COUNTIFS(tblGunluk[VarlikId],$A124,tblGunluk[AlarmBayrak],"ALARM")*fam_kaliteSapma-IF($H124="HAYIR",fam_kaliteCeza,0))))</f>
        <v/>
      </c>
    </row>
    <row r="125">
      <c r="A125" s="15" t="n"/>
      <c r="B125" s="15" t="n"/>
      <c r="C125" s="15" t="n"/>
      <c r="D125" s="15" t="n"/>
      <c r="E125" s="16" t="n"/>
      <c r="F125" s="17" t="n"/>
      <c r="G125" s="17" t="n"/>
      <c r="H125" s="15" t="n"/>
      <c r="I125" s="18">
        <f>IF($A125="","",SUMIF(tblGunluk[VarlikId],$A125,tblGunluk[Km_km]))</f>
        <v/>
      </c>
      <c r="J125" s="18">
        <f>IF($A125="","",SUMIF(tblGunluk[VarlikId],$A125,tblGunluk[FormulToplamTl]))</f>
        <v/>
      </c>
      <c r="K125" s="18">
        <f>IF($A125="","",IFERROR(SUMIF(tblGunluk[VarlikId],$A125,tblGunluk[FormulToplamTl])/SUMIF(tblGunluk[VarlikId],$A125,tblGunluk[Km_km]),0))</f>
        <v/>
      </c>
      <c r="L125" s="18">
        <f>IF($A125="","",MAX(0,MIN(100,fam_kaliteTaban-IF($K125&gt;fam_esikKmBasi,fam_kaliteCeza,0)-COUNTIFS(tblGunluk[VarlikId],$A125,tblGunluk[AlarmBayrak],"ALARM")*fam_kaliteSapma-IF($H125="HAYIR",fam_kaliteCeza,0))))</f>
        <v/>
      </c>
    </row>
    <row r="126">
      <c r="A126" s="15" t="n"/>
      <c r="B126" s="15" t="n"/>
      <c r="C126" s="15" t="n"/>
      <c r="D126" s="15" t="n"/>
      <c r="E126" s="16" t="n"/>
      <c r="F126" s="17" t="n"/>
      <c r="G126" s="17" t="n"/>
      <c r="H126" s="15" t="n"/>
      <c r="I126" s="18">
        <f>IF($A126="","",SUMIF(tblGunluk[VarlikId],$A126,tblGunluk[Km_km]))</f>
        <v/>
      </c>
      <c r="J126" s="18">
        <f>IF($A126="","",SUMIF(tblGunluk[VarlikId],$A126,tblGunluk[FormulToplamTl]))</f>
        <v/>
      </c>
      <c r="K126" s="18">
        <f>IF($A126="","",IFERROR(SUMIF(tblGunluk[VarlikId],$A126,tblGunluk[FormulToplamTl])/SUMIF(tblGunluk[VarlikId],$A126,tblGunluk[Km_km]),0))</f>
        <v/>
      </c>
      <c r="L126" s="18">
        <f>IF($A126="","",MAX(0,MIN(100,fam_kaliteTaban-IF($K126&gt;fam_esikKmBasi,fam_kaliteCeza,0)-COUNTIFS(tblGunluk[VarlikId],$A126,tblGunluk[AlarmBayrak],"ALARM")*fam_kaliteSapma-IF($H126="HAYIR",fam_kaliteCeza,0))))</f>
        <v/>
      </c>
    </row>
    <row r="127">
      <c r="A127" s="15" t="n"/>
      <c r="B127" s="15" t="n"/>
      <c r="C127" s="15" t="n"/>
      <c r="D127" s="15" t="n"/>
      <c r="E127" s="16" t="n"/>
      <c r="F127" s="17" t="n"/>
      <c r="G127" s="17" t="n"/>
      <c r="H127" s="15" t="n"/>
      <c r="I127" s="18">
        <f>IF($A127="","",SUMIF(tblGunluk[VarlikId],$A127,tblGunluk[Km_km]))</f>
        <v/>
      </c>
      <c r="J127" s="18">
        <f>IF($A127="","",SUMIF(tblGunluk[VarlikId],$A127,tblGunluk[FormulToplamTl]))</f>
        <v/>
      </c>
      <c r="K127" s="18">
        <f>IF($A127="","",IFERROR(SUMIF(tblGunluk[VarlikId],$A127,tblGunluk[FormulToplamTl])/SUMIF(tblGunluk[VarlikId],$A127,tblGunluk[Km_km]),0))</f>
        <v/>
      </c>
      <c r="L127" s="18">
        <f>IF($A127="","",MAX(0,MIN(100,fam_kaliteTaban-IF($K127&gt;fam_esikKmBasi,fam_kaliteCeza,0)-COUNTIFS(tblGunluk[VarlikId],$A127,tblGunluk[AlarmBayrak],"ALARM")*fam_kaliteSapma-IF($H127="HAYIR",fam_kaliteCeza,0))))</f>
        <v/>
      </c>
    </row>
    <row r="128">
      <c r="A128" s="15" t="n"/>
      <c r="B128" s="15" t="n"/>
      <c r="C128" s="15" t="n"/>
      <c r="D128" s="15" t="n"/>
      <c r="E128" s="16" t="n"/>
      <c r="F128" s="17" t="n"/>
      <c r="G128" s="17" t="n"/>
      <c r="H128" s="15" t="n"/>
      <c r="I128" s="18">
        <f>IF($A128="","",SUMIF(tblGunluk[VarlikId],$A128,tblGunluk[Km_km]))</f>
        <v/>
      </c>
      <c r="J128" s="18">
        <f>IF($A128="","",SUMIF(tblGunluk[VarlikId],$A128,tblGunluk[FormulToplamTl]))</f>
        <v/>
      </c>
      <c r="K128" s="18">
        <f>IF($A128="","",IFERROR(SUMIF(tblGunluk[VarlikId],$A128,tblGunluk[FormulToplamTl])/SUMIF(tblGunluk[VarlikId],$A128,tblGunluk[Km_km]),0))</f>
        <v/>
      </c>
      <c r="L128" s="18">
        <f>IF($A128="","",MAX(0,MIN(100,fam_kaliteTaban-IF($K128&gt;fam_esikKmBasi,fam_kaliteCeza,0)-COUNTIFS(tblGunluk[VarlikId],$A128,tblGunluk[AlarmBayrak],"ALARM")*fam_kaliteSapma-IF($H128="HAYIR",fam_kaliteCeza,0))))</f>
        <v/>
      </c>
    </row>
    <row r="129">
      <c r="A129" s="15" t="n"/>
      <c r="B129" s="15" t="n"/>
      <c r="C129" s="15" t="n"/>
      <c r="D129" s="15" t="n"/>
      <c r="E129" s="16" t="n"/>
      <c r="F129" s="17" t="n"/>
      <c r="G129" s="17" t="n"/>
      <c r="H129" s="15" t="n"/>
      <c r="I129" s="18">
        <f>IF($A129="","",SUMIF(tblGunluk[VarlikId],$A129,tblGunluk[Km_km]))</f>
        <v/>
      </c>
      <c r="J129" s="18">
        <f>IF($A129="","",SUMIF(tblGunluk[VarlikId],$A129,tblGunluk[FormulToplamTl]))</f>
        <v/>
      </c>
      <c r="K129" s="18">
        <f>IF($A129="","",IFERROR(SUMIF(tblGunluk[VarlikId],$A129,tblGunluk[FormulToplamTl])/SUMIF(tblGunluk[VarlikId],$A129,tblGunluk[Km_km]),0))</f>
        <v/>
      </c>
      <c r="L129" s="18">
        <f>IF($A129="","",MAX(0,MIN(100,fam_kaliteTaban-IF($K129&gt;fam_esikKmBasi,fam_kaliteCeza,0)-COUNTIFS(tblGunluk[VarlikId],$A129,tblGunluk[AlarmBayrak],"ALARM")*fam_kaliteSapma-IF($H129="HAYIR",fam_kaliteCeza,0))))</f>
        <v/>
      </c>
    </row>
    <row r="130">
      <c r="A130" s="15" t="n"/>
      <c r="B130" s="15" t="n"/>
      <c r="C130" s="15" t="n"/>
      <c r="D130" s="15" t="n"/>
      <c r="E130" s="16" t="n"/>
      <c r="F130" s="17" t="n"/>
      <c r="G130" s="17" t="n"/>
      <c r="H130" s="15" t="n"/>
      <c r="I130" s="18">
        <f>IF($A130="","",SUMIF(tblGunluk[VarlikId],$A130,tblGunluk[Km_km]))</f>
        <v/>
      </c>
      <c r="J130" s="18">
        <f>IF($A130="","",SUMIF(tblGunluk[VarlikId],$A130,tblGunluk[FormulToplamTl]))</f>
        <v/>
      </c>
      <c r="K130" s="18">
        <f>IF($A130="","",IFERROR(SUMIF(tblGunluk[VarlikId],$A130,tblGunluk[FormulToplamTl])/SUMIF(tblGunluk[VarlikId],$A130,tblGunluk[Km_km]),0))</f>
        <v/>
      </c>
      <c r="L130" s="18">
        <f>IF($A130="","",MAX(0,MIN(100,fam_kaliteTaban-IF($K130&gt;fam_esikKmBasi,fam_kaliteCeza,0)-COUNTIFS(tblGunluk[VarlikId],$A130,tblGunluk[AlarmBayrak],"ALARM")*fam_kaliteSapma-IF($H130="HAYIR",fam_kaliteCeza,0))))</f>
        <v/>
      </c>
    </row>
    <row r="131">
      <c r="A131" s="15" t="n"/>
      <c r="B131" s="15" t="n"/>
      <c r="C131" s="15" t="n"/>
      <c r="D131" s="15" t="n"/>
      <c r="E131" s="16" t="n"/>
      <c r="F131" s="17" t="n"/>
      <c r="G131" s="17" t="n"/>
      <c r="H131" s="15" t="n"/>
      <c r="I131" s="18">
        <f>IF($A131="","",SUMIF(tblGunluk[VarlikId],$A131,tblGunluk[Km_km]))</f>
        <v/>
      </c>
      <c r="J131" s="18">
        <f>IF($A131="","",SUMIF(tblGunluk[VarlikId],$A131,tblGunluk[FormulToplamTl]))</f>
        <v/>
      </c>
      <c r="K131" s="18">
        <f>IF($A131="","",IFERROR(SUMIF(tblGunluk[VarlikId],$A131,tblGunluk[FormulToplamTl])/SUMIF(tblGunluk[VarlikId],$A131,tblGunluk[Km_km]),0))</f>
        <v/>
      </c>
      <c r="L131" s="18">
        <f>IF($A131="","",MAX(0,MIN(100,fam_kaliteTaban-IF($K131&gt;fam_esikKmBasi,fam_kaliteCeza,0)-COUNTIFS(tblGunluk[VarlikId],$A131,tblGunluk[AlarmBayrak],"ALARM")*fam_kaliteSapma-IF($H131="HAYIR",fam_kaliteCeza,0))))</f>
        <v/>
      </c>
    </row>
    <row r="132">
      <c r="A132" s="15" t="n"/>
      <c r="B132" s="15" t="n"/>
      <c r="C132" s="15" t="n"/>
      <c r="D132" s="15" t="n"/>
      <c r="E132" s="16" t="n"/>
      <c r="F132" s="17" t="n"/>
      <c r="G132" s="17" t="n"/>
      <c r="H132" s="15" t="n"/>
      <c r="I132" s="18">
        <f>IF($A132="","",SUMIF(tblGunluk[VarlikId],$A132,tblGunluk[Km_km]))</f>
        <v/>
      </c>
      <c r="J132" s="18">
        <f>IF($A132="","",SUMIF(tblGunluk[VarlikId],$A132,tblGunluk[FormulToplamTl]))</f>
        <v/>
      </c>
      <c r="K132" s="18">
        <f>IF($A132="","",IFERROR(SUMIF(tblGunluk[VarlikId],$A132,tblGunluk[FormulToplamTl])/SUMIF(tblGunluk[VarlikId],$A132,tblGunluk[Km_km]),0))</f>
        <v/>
      </c>
      <c r="L132" s="18">
        <f>IF($A132="","",MAX(0,MIN(100,fam_kaliteTaban-IF($K132&gt;fam_esikKmBasi,fam_kaliteCeza,0)-COUNTIFS(tblGunluk[VarlikId],$A132,tblGunluk[AlarmBayrak],"ALARM")*fam_kaliteSapma-IF($H132="HAYIR",fam_kaliteCeza,0))))</f>
        <v/>
      </c>
    </row>
    <row r="133">
      <c r="A133" s="15" t="n"/>
      <c r="B133" s="15" t="n"/>
      <c r="C133" s="15" t="n"/>
      <c r="D133" s="15" t="n"/>
      <c r="E133" s="16" t="n"/>
      <c r="F133" s="17" t="n"/>
      <c r="G133" s="17" t="n"/>
      <c r="H133" s="15" t="n"/>
      <c r="I133" s="18">
        <f>IF($A133="","",SUMIF(tblGunluk[VarlikId],$A133,tblGunluk[Km_km]))</f>
        <v/>
      </c>
      <c r="J133" s="18">
        <f>IF($A133="","",SUMIF(tblGunluk[VarlikId],$A133,tblGunluk[FormulToplamTl]))</f>
        <v/>
      </c>
      <c r="K133" s="18">
        <f>IF($A133="","",IFERROR(SUMIF(tblGunluk[VarlikId],$A133,tblGunluk[FormulToplamTl])/SUMIF(tblGunluk[VarlikId],$A133,tblGunluk[Km_km]),0))</f>
        <v/>
      </c>
      <c r="L133" s="18">
        <f>IF($A133="","",MAX(0,MIN(100,fam_kaliteTaban-IF($K133&gt;fam_esikKmBasi,fam_kaliteCeza,0)-COUNTIFS(tblGunluk[VarlikId],$A133,tblGunluk[AlarmBayrak],"ALARM")*fam_kaliteSapma-IF($H133="HAYIR",fam_kaliteCeza,0))))</f>
        <v/>
      </c>
    </row>
    <row r="134">
      <c r="A134" s="15" t="n"/>
      <c r="B134" s="15" t="n"/>
      <c r="C134" s="15" t="n"/>
      <c r="D134" s="15" t="n"/>
      <c r="E134" s="16" t="n"/>
      <c r="F134" s="17" t="n"/>
      <c r="G134" s="17" t="n"/>
      <c r="H134" s="15" t="n"/>
      <c r="I134" s="18">
        <f>IF($A134="","",SUMIF(tblGunluk[VarlikId],$A134,tblGunluk[Km_km]))</f>
        <v/>
      </c>
      <c r="J134" s="18">
        <f>IF($A134="","",SUMIF(tblGunluk[VarlikId],$A134,tblGunluk[FormulToplamTl]))</f>
        <v/>
      </c>
      <c r="K134" s="18">
        <f>IF($A134="","",IFERROR(SUMIF(tblGunluk[VarlikId],$A134,tblGunluk[FormulToplamTl])/SUMIF(tblGunluk[VarlikId],$A134,tblGunluk[Km_km]),0))</f>
        <v/>
      </c>
      <c r="L134" s="18">
        <f>IF($A134="","",MAX(0,MIN(100,fam_kaliteTaban-IF($K134&gt;fam_esikKmBasi,fam_kaliteCeza,0)-COUNTIFS(tblGunluk[VarlikId],$A134,tblGunluk[AlarmBayrak],"ALARM")*fam_kaliteSapma-IF($H134="HAYIR",fam_kaliteCeza,0))))</f>
        <v/>
      </c>
    </row>
    <row r="135">
      <c r="A135" s="15" t="n"/>
      <c r="B135" s="15" t="n"/>
      <c r="C135" s="15" t="n"/>
      <c r="D135" s="15" t="n"/>
      <c r="E135" s="16" t="n"/>
      <c r="F135" s="17" t="n"/>
      <c r="G135" s="17" t="n"/>
      <c r="H135" s="15" t="n"/>
      <c r="I135" s="18">
        <f>IF($A135="","",SUMIF(tblGunluk[VarlikId],$A135,tblGunluk[Km_km]))</f>
        <v/>
      </c>
      <c r="J135" s="18">
        <f>IF($A135="","",SUMIF(tblGunluk[VarlikId],$A135,tblGunluk[FormulToplamTl]))</f>
        <v/>
      </c>
      <c r="K135" s="18">
        <f>IF($A135="","",IFERROR(SUMIF(tblGunluk[VarlikId],$A135,tblGunluk[FormulToplamTl])/SUMIF(tblGunluk[VarlikId],$A135,tblGunluk[Km_km]),0))</f>
        <v/>
      </c>
      <c r="L135" s="18">
        <f>IF($A135="","",MAX(0,MIN(100,fam_kaliteTaban-IF($K135&gt;fam_esikKmBasi,fam_kaliteCeza,0)-COUNTIFS(tblGunluk[VarlikId],$A135,tblGunluk[AlarmBayrak],"ALARM")*fam_kaliteSapma-IF($H135="HAYIR",fam_kaliteCeza,0))))</f>
        <v/>
      </c>
    </row>
    <row r="136">
      <c r="A136" s="15" t="n"/>
      <c r="B136" s="15" t="n"/>
      <c r="C136" s="15" t="n"/>
      <c r="D136" s="15" t="n"/>
      <c r="E136" s="16" t="n"/>
      <c r="F136" s="17" t="n"/>
      <c r="G136" s="17" t="n"/>
      <c r="H136" s="15" t="n"/>
      <c r="I136" s="18">
        <f>IF($A136="","",SUMIF(tblGunluk[VarlikId],$A136,tblGunluk[Km_km]))</f>
        <v/>
      </c>
      <c r="J136" s="18">
        <f>IF($A136="","",SUMIF(tblGunluk[VarlikId],$A136,tblGunluk[FormulToplamTl]))</f>
        <v/>
      </c>
      <c r="K136" s="18">
        <f>IF($A136="","",IFERROR(SUMIF(tblGunluk[VarlikId],$A136,tblGunluk[FormulToplamTl])/SUMIF(tblGunluk[VarlikId],$A136,tblGunluk[Km_km]),0))</f>
        <v/>
      </c>
      <c r="L136" s="18">
        <f>IF($A136="","",MAX(0,MIN(100,fam_kaliteTaban-IF($K136&gt;fam_esikKmBasi,fam_kaliteCeza,0)-COUNTIFS(tblGunluk[VarlikId],$A136,tblGunluk[AlarmBayrak],"ALARM")*fam_kaliteSapma-IF($H136="HAYIR",fam_kaliteCeza,0))))</f>
        <v/>
      </c>
    </row>
    <row r="137">
      <c r="A137" s="15" t="n"/>
      <c r="B137" s="15" t="n"/>
      <c r="C137" s="15" t="n"/>
      <c r="D137" s="15" t="n"/>
      <c r="E137" s="16" t="n"/>
      <c r="F137" s="17" t="n"/>
      <c r="G137" s="17" t="n"/>
      <c r="H137" s="15" t="n"/>
      <c r="I137" s="18">
        <f>IF($A137="","",SUMIF(tblGunluk[VarlikId],$A137,tblGunluk[Km_km]))</f>
        <v/>
      </c>
      <c r="J137" s="18">
        <f>IF($A137="","",SUMIF(tblGunluk[VarlikId],$A137,tblGunluk[FormulToplamTl]))</f>
        <v/>
      </c>
      <c r="K137" s="18">
        <f>IF($A137="","",IFERROR(SUMIF(tblGunluk[VarlikId],$A137,tblGunluk[FormulToplamTl])/SUMIF(tblGunluk[VarlikId],$A137,tblGunluk[Km_km]),0))</f>
        <v/>
      </c>
      <c r="L137" s="18">
        <f>IF($A137="","",MAX(0,MIN(100,fam_kaliteTaban-IF($K137&gt;fam_esikKmBasi,fam_kaliteCeza,0)-COUNTIFS(tblGunluk[VarlikId],$A137,tblGunluk[AlarmBayrak],"ALARM")*fam_kaliteSapma-IF($H137="HAYIR",fam_kaliteCeza,0))))</f>
        <v/>
      </c>
    </row>
    <row r="138">
      <c r="A138" s="15" t="n"/>
      <c r="B138" s="15" t="n"/>
      <c r="C138" s="15" t="n"/>
      <c r="D138" s="15" t="n"/>
      <c r="E138" s="16" t="n"/>
      <c r="F138" s="17" t="n"/>
      <c r="G138" s="17" t="n"/>
      <c r="H138" s="15" t="n"/>
      <c r="I138" s="18">
        <f>IF($A138="","",SUMIF(tblGunluk[VarlikId],$A138,tblGunluk[Km_km]))</f>
        <v/>
      </c>
      <c r="J138" s="18">
        <f>IF($A138="","",SUMIF(tblGunluk[VarlikId],$A138,tblGunluk[FormulToplamTl]))</f>
        <v/>
      </c>
      <c r="K138" s="18">
        <f>IF($A138="","",IFERROR(SUMIF(tblGunluk[VarlikId],$A138,tblGunluk[FormulToplamTl])/SUMIF(tblGunluk[VarlikId],$A138,tblGunluk[Km_km]),0))</f>
        <v/>
      </c>
      <c r="L138" s="18">
        <f>IF($A138="","",MAX(0,MIN(100,fam_kaliteTaban-IF($K138&gt;fam_esikKmBasi,fam_kaliteCeza,0)-COUNTIFS(tblGunluk[VarlikId],$A138,tblGunluk[AlarmBayrak],"ALARM")*fam_kaliteSapma-IF($H138="HAYIR",fam_kaliteCeza,0))))</f>
        <v/>
      </c>
    </row>
    <row r="139">
      <c r="A139" s="15" t="n"/>
      <c r="B139" s="15" t="n"/>
      <c r="C139" s="15" t="n"/>
      <c r="D139" s="15" t="n"/>
      <c r="E139" s="16" t="n"/>
      <c r="F139" s="17" t="n"/>
      <c r="G139" s="17" t="n"/>
      <c r="H139" s="15" t="n"/>
      <c r="I139" s="18">
        <f>IF($A139="","",SUMIF(tblGunluk[VarlikId],$A139,tblGunluk[Km_km]))</f>
        <v/>
      </c>
      <c r="J139" s="18">
        <f>IF($A139="","",SUMIF(tblGunluk[VarlikId],$A139,tblGunluk[FormulToplamTl]))</f>
        <v/>
      </c>
      <c r="K139" s="18">
        <f>IF($A139="","",IFERROR(SUMIF(tblGunluk[VarlikId],$A139,tblGunluk[FormulToplamTl])/SUMIF(tblGunluk[VarlikId],$A139,tblGunluk[Km_km]),0))</f>
        <v/>
      </c>
      <c r="L139" s="18">
        <f>IF($A139="","",MAX(0,MIN(100,fam_kaliteTaban-IF($K139&gt;fam_esikKmBasi,fam_kaliteCeza,0)-COUNTIFS(tblGunluk[VarlikId],$A139,tblGunluk[AlarmBayrak],"ALARM")*fam_kaliteSapma-IF($H139="HAYIR",fam_kaliteCeza,0))))</f>
        <v/>
      </c>
    </row>
    <row r="140">
      <c r="A140" s="15" t="n"/>
      <c r="B140" s="15" t="n"/>
      <c r="C140" s="15" t="n"/>
      <c r="D140" s="15" t="n"/>
      <c r="E140" s="16" t="n"/>
      <c r="F140" s="17" t="n"/>
      <c r="G140" s="17" t="n"/>
      <c r="H140" s="15" t="n"/>
      <c r="I140" s="18">
        <f>IF($A140="","",SUMIF(tblGunluk[VarlikId],$A140,tblGunluk[Km_km]))</f>
        <v/>
      </c>
      <c r="J140" s="18">
        <f>IF($A140="","",SUMIF(tblGunluk[VarlikId],$A140,tblGunluk[FormulToplamTl]))</f>
        <v/>
      </c>
      <c r="K140" s="18">
        <f>IF($A140="","",IFERROR(SUMIF(tblGunluk[VarlikId],$A140,tblGunluk[FormulToplamTl])/SUMIF(tblGunluk[VarlikId],$A140,tblGunluk[Km_km]),0))</f>
        <v/>
      </c>
      <c r="L140" s="18">
        <f>IF($A140="","",MAX(0,MIN(100,fam_kaliteTaban-IF($K140&gt;fam_esikKmBasi,fam_kaliteCeza,0)-COUNTIFS(tblGunluk[VarlikId],$A140,tblGunluk[AlarmBayrak],"ALARM")*fam_kaliteSapma-IF($H140="HAYIR",fam_kaliteCeza,0))))</f>
        <v/>
      </c>
    </row>
    <row r="141">
      <c r="A141" s="15" t="n"/>
      <c r="B141" s="15" t="n"/>
      <c r="C141" s="15" t="n"/>
      <c r="D141" s="15" t="n"/>
      <c r="E141" s="16" t="n"/>
      <c r="F141" s="17" t="n"/>
      <c r="G141" s="17" t="n"/>
      <c r="H141" s="15" t="n"/>
      <c r="I141" s="18">
        <f>IF($A141="","",SUMIF(tblGunluk[VarlikId],$A141,tblGunluk[Km_km]))</f>
        <v/>
      </c>
      <c r="J141" s="18">
        <f>IF($A141="","",SUMIF(tblGunluk[VarlikId],$A141,tblGunluk[FormulToplamTl]))</f>
        <v/>
      </c>
      <c r="K141" s="18">
        <f>IF($A141="","",IFERROR(SUMIF(tblGunluk[VarlikId],$A141,tblGunluk[FormulToplamTl])/SUMIF(tblGunluk[VarlikId],$A141,tblGunluk[Km_km]),0))</f>
        <v/>
      </c>
      <c r="L141" s="18">
        <f>IF($A141="","",MAX(0,MIN(100,fam_kaliteTaban-IF($K141&gt;fam_esikKmBasi,fam_kaliteCeza,0)-COUNTIFS(tblGunluk[VarlikId],$A141,tblGunluk[AlarmBayrak],"ALARM")*fam_kaliteSapma-IF($H141="HAYIR",fam_kaliteCeza,0))))</f>
        <v/>
      </c>
    </row>
    <row r="142">
      <c r="A142" s="15" t="n"/>
      <c r="B142" s="15" t="n"/>
      <c r="C142" s="15" t="n"/>
      <c r="D142" s="15" t="n"/>
      <c r="E142" s="16" t="n"/>
      <c r="F142" s="17" t="n"/>
      <c r="G142" s="17" t="n"/>
      <c r="H142" s="15" t="n"/>
      <c r="I142" s="18">
        <f>IF($A142="","",SUMIF(tblGunluk[VarlikId],$A142,tblGunluk[Km_km]))</f>
        <v/>
      </c>
      <c r="J142" s="18">
        <f>IF($A142="","",SUMIF(tblGunluk[VarlikId],$A142,tblGunluk[FormulToplamTl]))</f>
        <v/>
      </c>
      <c r="K142" s="18">
        <f>IF($A142="","",IFERROR(SUMIF(tblGunluk[VarlikId],$A142,tblGunluk[FormulToplamTl])/SUMIF(tblGunluk[VarlikId],$A142,tblGunluk[Km_km]),0))</f>
        <v/>
      </c>
      <c r="L142" s="18">
        <f>IF($A142="","",MAX(0,MIN(100,fam_kaliteTaban-IF($K142&gt;fam_esikKmBasi,fam_kaliteCeza,0)-COUNTIFS(tblGunluk[VarlikId],$A142,tblGunluk[AlarmBayrak],"ALARM")*fam_kaliteSapma-IF($H142="HAYIR",fam_kaliteCeza,0))))</f>
        <v/>
      </c>
    </row>
    <row r="143">
      <c r="A143" s="15" t="n"/>
      <c r="B143" s="15" t="n"/>
      <c r="C143" s="15" t="n"/>
      <c r="D143" s="15" t="n"/>
      <c r="E143" s="16" t="n"/>
      <c r="F143" s="17" t="n"/>
      <c r="G143" s="17" t="n"/>
      <c r="H143" s="15" t="n"/>
      <c r="I143" s="18">
        <f>IF($A143="","",SUMIF(tblGunluk[VarlikId],$A143,tblGunluk[Km_km]))</f>
        <v/>
      </c>
      <c r="J143" s="18">
        <f>IF($A143="","",SUMIF(tblGunluk[VarlikId],$A143,tblGunluk[FormulToplamTl]))</f>
        <v/>
      </c>
      <c r="K143" s="18">
        <f>IF($A143="","",IFERROR(SUMIF(tblGunluk[VarlikId],$A143,tblGunluk[FormulToplamTl])/SUMIF(tblGunluk[VarlikId],$A143,tblGunluk[Km_km]),0))</f>
        <v/>
      </c>
      <c r="L143" s="18">
        <f>IF($A143="","",MAX(0,MIN(100,fam_kaliteTaban-IF($K143&gt;fam_esikKmBasi,fam_kaliteCeza,0)-COUNTIFS(tblGunluk[VarlikId],$A143,tblGunluk[AlarmBayrak],"ALARM")*fam_kaliteSapma-IF($H143="HAYIR",fam_kaliteCeza,0))))</f>
        <v/>
      </c>
    </row>
    <row r="144">
      <c r="A144" s="15" t="n"/>
      <c r="B144" s="15" t="n"/>
      <c r="C144" s="15" t="n"/>
      <c r="D144" s="15" t="n"/>
      <c r="E144" s="16" t="n"/>
      <c r="F144" s="17" t="n"/>
      <c r="G144" s="17" t="n"/>
      <c r="H144" s="15" t="n"/>
      <c r="I144" s="18">
        <f>IF($A144="","",SUMIF(tblGunluk[VarlikId],$A144,tblGunluk[Km_km]))</f>
        <v/>
      </c>
      <c r="J144" s="18">
        <f>IF($A144="","",SUMIF(tblGunluk[VarlikId],$A144,tblGunluk[FormulToplamTl]))</f>
        <v/>
      </c>
      <c r="K144" s="18">
        <f>IF($A144="","",IFERROR(SUMIF(tblGunluk[VarlikId],$A144,tblGunluk[FormulToplamTl])/SUMIF(tblGunluk[VarlikId],$A144,tblGunluk[Km_km]),0))</f>
        <v/>
      </c>
      <c r="L144" s="18">
        <f>IF($A144="","",MAX(0,MIN(100,fam_kaliteTaban-IF($K144&gt;fam_esikKmBasi,fam_kaliteCeza,0)-COUNTIFS(tblGunluk[VarlikId],$A144,tblGunluk[AlarmBayrak],"ALARM")*fam_kaliteSapma-IF($H144="HAYIR",fam_kaliteCeza,0))))</f>
        <v/>
      </c>
    </row>
    <row r="145">
      <c r="A145" s="15" t="n"/>
      <c r="B145" s="15" t="n"/>
      <c r="C145" s="15" t="n"/>
      <c r="D145" s="15" t="n"/>
      <c r="E145" s="16" t="n"/>
      <c r="F145" s="17" t="n"/>
      <c r="G145" s="17" t="n"/>
      <c r="H145" s="15" t="n"/>
      <c r="I145" s="18">
        <f>IF($A145="","",SUMIF(tblGunluk[VarlikId],$A145,tblGunluk[Km_km]))</f>
        <v/>
      </c>
      <c r="J145" s="18">
        <f>IF($A145="","",SUMIF(tblGunluk[VarlikId],$A145,tblGunluk[FormulToplamTl]))</f>
        <v/>
      </c>
      <c r="K145" s="18">
        <f>IF($A145="","",IFERROR(SUMIF(tblGunluk[VarlikId],$A145,tblGunluk[FormulToplamTl])/SUMIF(tblGunluk[VarlikId],$A145,tblGunluk[Km_km]),0))</f>
        <v/>
      </c>
      <c r="L145" s="18">
        <f>IF($A145="","",MAX(0,MIN(100,fam_kaliteTaban-IF($K145&gt;fam_esikKmBasi,fam_kaliteCeza,0)-COUNTIFS(tblGunluk[VarlikId],$A145,tblGunluk[AlarmBayrak],"ALARM")*fam_kaliteSapma-IF($H145="HAYIR",fam_kaliteCeza,0))))</f>
        <v/>
      </c>
    </row>
    <row r="146">
      <c r="A146" s="15" t="n"/>
      <c r="B146" s="15" t="n"/>
      <c r="C146" s="15" t="n"/>
      <c r="D146" s="15" t="n"/>
      <c r="E146" s="16" t="n"/>
      <c r="F146" s="17" t="n"/>
      <c r="G146" s="17" t="n"/>
      <c r="H146" s="15" t="n"/>
      <c r="I146" s="18">
        <f>IF($A146="","",SUMIF(tblGunluk[VarlikId],$A146,tblGunluk[Km_km]))</f>
        <v/>
      </c>
      <c r="J146" s="18">
        <f>IF($A146="","",SUMIF(tblGunluk[VarlikId],$A146,tblGunluk[FormulToplamTl]))</f>
        <v/>
      </c>
      <c r="K146" s="18">
        <f>IF($A146="","",IFERROR(SUMIF(tblGunluk[VarlikId],$A146,tblGunluk[FormulToplamTl])/SUMIF(tblGunluk[VarlikId],$A146,tblGunluk[Km_km]),0))</f>
        <v/>
      </c>
      <c r="L146" s="18">
        <f>IF($A146="","",MAX(0,MIN(100,fam_kaliteTaban-IF($K146&gt;fam_esikKmBasi,fam_kaliteCeza,0)-COUNTIFS(tblGunluk[VarlikId],$A146,tblGunluk[AlarmBayrak],"ALARM")*fam_kaliteSapma-IF($H146="HAYIR",fam_kaliteCeza,0))))</f>
        <v/>
      </c>
    </row>
    <row r="147">
      <c r="A147" s="15" t="n"/>
      <c r="B147" s="15" t="n"/>
      <c r="C147" s="15" t="n"/>
      <c r="D147" s="15" t="n"/>
      <c r="E147" s="16" t="n"/>
      <c r="F147" s="17" t="n"/>
      <c r="G147" s="17" t="n"/>
      <c r="H147" s="15" t="n"/>
      <c r="I147" s="18">
        <f>IF($A147="","",SUMIF(tblGunluk[VarlikId],$A147,tblGunluk[Km_km]))</f>
        <v/>
      </c>
      <c r="J147" s="18">
        <f>IF($A147="","",SUMIF(tblGunluk[VarlikId],$A147,tblGunluk[FormulToplamTl]))</f>
        <v/>
      </c>
      <c r="K147" s="18">
        <f>IF($A147="","",IFERROR(SUMIF(tblGunluk[VarlikId],$A147,tblGunluk[FormulToplamTl])/SUMIF(tblGunluk[VarlikId],$A147,tblGunluk[Km_km]),0))</f>
        <v/>
      </c>
      <c r="L147" s="18">
        <f>IF($A147="","",MAX(0,MIN(100,fam_kaliteTaban-IF($K147&gt;fam_esikKmBasi,fam_kaliteCeza,0)-COUNTIFS(tblGunluk[VarlikId],$A147,tblGunluk[AlarmBayrak],"ALARM")*fam_kaliteSapma-IF($H147="HAYIR",fam_kaliteCeza,0))))</f>
        <v/>
      </c>
    </row>
    <row r="148">
      <c r="A148" s="15" t="n"/>
      <c r="B148" s="15" t="n"/>
      <c r="C148" s="15" t="n"/>
      <c r="D148" s="15" t="n"/>
      <c r="E148" s="16" t="n"/>
      <c r="F148" s="17" t="n"/>
      <c r="G148" s="17" t="n"/>
      <c r="H148" s="15" t="n"/>
      <c r="I148" s="18">
        <f>IF($A148="","",SUMIF(tblGunluk[VarlikId],$A148,tblGunluk[Km_km]))</f>
        <v/>
      </c>
      <c r="J148" s="18">
        <f>IF($A148="","",SUMIF(tblGunluk[VarlikId],$A148,tblGunluk[FormulToplamTl]))</f>
        <v/>
      </c>
      <c r="K148" s="18">
        <f>IF($A148="","",IFERROR(SUMIF(tblGunluk[VarlikId],$A148,tblGunluk[FormulToplamTl])/SUMIF(tblGunluk[VarlikId],$A148,tblGunluk[Km_km]),0))</f>
        <v/>
      </c>
      <c r="L148" s="18">
        <f>IF($A148="","",MAX(0,MIN(100,fam_kaliteTaban-IF($K148&gt;fam_esikKmBasi,fam_kaliteCeza,0)-COUNTIFS(tblGunluk[VarlikId],$A148,tblGunluk[AlarmBayrak],"ALARM")*fam_kaliteSapma-IF($H148="HAYIR",fam_kaliteCeza,0))))</f>
        <v/>
      </c>
    </row>
    <row r="149">
      <c r="A149" s="15" t="n"/>
      <c r="B149" s="15" t="n"/>
      <c r="C149" s="15" t="n"/>
      <c r="D149" s="15" t="n"/>
      <c r="E149" s="16" t="n"/>
      <c r="F149" s="17" t="n"/>
      <c r="G149" s="17" t="n"/>
      <c r="H149" s="15" t="n"/>
      <c r="I149" s="18">
        <f>IF($A149="","",SUMIF(tblGunluk[VarlikId],$A149,tblGunluk[Km_km]))</f>
        <v/>
      </c>
      <c r="J149" s="18">
        <f>IF($A149="","",SUMIF(tblGunluk[VarlikId],$A149,tblGunluk[FormulToplamTl]))</f>
        <v/>
      </c>
      <c r="K149" s="18">
        <f>IF($A149="","",IFERROR(SUMIF(tblGunluk[VarlikId],$A149,tblGunluk[FormulToplamTl])/SUMIF(tblGunluk[VarlikId],$A149,tblGunluk[Km_km]),0))</f>
        <v/>
      </c>
      <c r="L149" s="18">
        <f>IF($A149="","",MAX(0,MIN(100,fam_kaliteTaban-IF($K149&gt;fam_esikKmBasi,fam_kaliteCeza,0)-COUNTIFS(tblGunluk[VarlikId],$A149,tblGunluk[AlarmBayrak],"ALARM")*fam_kaliteSapma-IF($H149="HAYIR",fam_kaliteCeza,0))))</f>
        <v/>
      </c>
    </row>
    <row r="150">
      <c r="A150" s="15" t="n"/>
      <c r="B150" s="15" t="n"/>
      <c r="C150" s="15" t="n"/>
      <c r="D150" s="15" t="n"/>
      <c r="E150" s="16" t="n"/>
      <c r="F150" s="17" t="n"/>
      <c r="G150" s="17" t="n"/>
      <c r="H150" s="15" t="n"/>
      <c r="I150" s="18">
        <f>IF($A150="","",SUMIF(tblGunluk[VarlikId],$A150,tblGunluk[Km_km]))</f>
        <v/>
      </c>
      <c r="J150" s="18">
        <f>IF($A150="","",SUMIF(tblGunluk[VarlikId],$A150,tblGunluk[FormulToplamTl]))</f>
        <v/>
      </c>
      <c r="K150" s="18">
        <f>IF($A150="","",IFERROR(SUMIF(tblGunluk[VarlikId],$A150,tblGunluk[FormulToplamTl])/SUMIF(tblGunluk[VarlikId],$A150,tblGunluk[Km_km]),0))</f>
        <v/>
      </c>
      <c r="L150" s="18">
        <f>IF($A150="","",MAX(0,MIN(100,fam_kaliteTaban-IF($K150&gt;fam_esikKmBasi,fam_kaliteCeza,0)-COUNTIFS(tblGunluk[VarlikId],$A150,tblGunluk[AlarmBayrak],"ALARM")*fam_kaliteSapma-IF($H150="HAYIR",fam_kaliteCeza,0))))</f>
        <v/>
      </c>
    </row>
    <row r="151">
      <c r="A151" s="15" t="n"/>
      <c r="B151" s="15" t="n"/>
      <c r="C151" s="15" t="n"/>
      <c r="D151" s="15" t="n"/>
      <c r="E151" s="16" t="n"/>
      <c r="F151" s="17" t="n"/>
      <c r="G151" s="17" t="n"/>
      <c r="H151" s="15" t="n"/>
      <c r="I151" s="18">
        <f>IF($A151="","",SUMIF(tblGunluk[VarlikId],$A151,tblGunluk[Km_km]))</f>
        <v/>
      </c>
      <c r="J151" s="18">
        <f>IF($A151="","",SUMIF(tblGunluk[VarlikId],$A151,tblGunluk[FormulToplamTl]))</f>
        <v/>
      </c>
      <c r="K151" s="18">
        <f>IF($A151="","",IFERROR(SUMIF(tblGunluk[VarlikId],$A151,tblGunluk[FormulToplamTl])/SUMIF(tblGunluk[VarlikId],$A151,tblGunluk[Km_km]),0))</f>
        <v/>
      </c>
      <c r="L151" s="18">
        <f>IF($A151="","",MAX(0,MIN(100,fam_kaliteTaban-IF($K151&gt;fam_esikKmBasi,fam_kaliteCeza,0)-COUNTIFS(tblGunluk[VarlikId],$A151,tblGunluk[AlarmBayrak],"ALARM")*fam_kaliteSapma-IF($H151="HAYIR",fam_kaliteCeza,0))))</f>
        <v/>
      </c>
    </row>
    <row r="152">
      <c r="A152" s="15" t="n"/>
      <c r="B152" s="15" t="n"/>
      <c r="C152" s="15" t="n"/>
      <c r="D152" s="15" t="n"/>
      <c r="E152" s="16" t="n"/>
      <c r="F152" s="17" t="n"/>
      <c r="G152" s="17" t="n"/>
      <c r="H152" s="15" t="n"/>
      <c r="I152" s="18">
        <f>IF($A152="","",SUMIF(tblGunluk[VarlikId],$A152,tblGunluk[Km_km]))</f>
        <v/>
      </c>
      <c r="J152" s="18">
        <f>IF($A152="","",SUMIF(tblGunluk[VarlikId],$A152,tblGunluk[FormulToplamTl]))</f>
        <v/>
      </c>
      <c r="K152" s="18">
        <f>IF($A152="","",IFERROR(SUMIF(tblGunluk[VarlikId],$A152,tblGunluk[FormulToplamTl])/SUMIF(tblGunluk[VarlikId],$A152,tblGunluk[Km_km]),0))</f>
        <v/>
      </c>
      <c r="L152" s="18">
        <f>IF($A152="","",MAX(0,MIN(100,fam_kaliteTaban-IF($K152&gt;fam_esikKmBasi,fam_kaliteCeza,0)-COUNTIFS(tblGunluk[VarlikId],$A152,tblGunluk[AlarmBayrak],"ALARM")*fam_kaliteSapma-IF($H152="HAYIR",fam_kaliteCeza,0))))</f>
        <v/>
      </c>
    </row>
    <row r="153">
      <c r="A153" s="15" t="n"/>
      <c r="B153" s="15" t="n"/>
      <c r="C153" s="15" t="n"/>
      <c r="D153" s="15" t="n"/>
      <c r="E153" s="16" t="n"/>
      <c r="F153" s="17" t="n"/>
      <c r="G153" s="17" t="n"/>
      <c r="H153" s="15" t="n"/>
      <c r="I153" s="18">
        <f>IF($A153="","",SUMIF(tblGunluk[VarlikId],$A153,tblGunluk[Km_km]))</f>
        <v/>
      </c>
      <c r="J153" s="18">
        <f>IF($A153="","",SUMIF(tblGunluk[VarlikId],$A153,tblGunluk[FormulToplamTl]))</f>
        <v/>
      </c>
      <c r="K153" s="18">
        <f>IF($A153="","",IFERROR(SUMIF(tblGunluk[VarlikId],$A153,tblGunluk[FormulToplamTl])/SUMIF(tblGunluk[VarlikId],$A153,tblGunluk[Km_km]),0))</f>
        <v/>
      </c>
      <c r="L153" s="18">
        <f>IF($A153="","",MAX(0,MIN(100,fam_kaliteTaban-IF($K153&gt;fam_esikKmBasi,fam_kaliteCeza,0)-COUNTIFS(tblGunluk[VarlikId],$A153,tblGunluk[AlarmBayrak],"ALARM")*fam_kaliteSapma-IF($H153="HAYIR",fam_kaliteCeza,0))))</f>
        <v/>
      </c>
    </row>
    <row r="154">
      <c r="A154" s="15" t="n"/>
      <c r="B154" s="15" t="n"/>
      <c r="C154" s="15" t="n"/>
      <c r="D154" s="15" t="n"/>
      <c r="E154" s="16" t="n"/>
      <c r="F154" s="17" t="n"/>
      <c r="G154" s="17" t="n"/>
      <c r="H154" s="15" t="n"/>
      <c r="I154" s="18">
        <f>IF($A154="","",SUMIF(tblGunluk[VarlikId],$A154,tblGunluk[Km_km]))</f>
        <v/>
      </c>
      <c r="J154" s="18">
        <f>IF($A154="","",SUMIF(tblGunluk[VarlikId],$A154,tblGunluk[FormulToplamTl]))</f>
        <v/>
      </c>
      <c r="K154" s="18">
        <f>IF($A154="","",IFERROR(SUMIF(tblGunluk[VarlikId],$A154,tblGunluk[FormulToplamTl])/SUMIF(tblGunluk[VarlikId],$A154,tblGunluk[Km_km]),0))</f>
        <v/>
      </c>
      <c r="L154" s="18">
        <f>IF($A154="","",MAX(0,MIN(100,fam_kaliteTaban-IF($K154&gt;fam_esikKmBasi,fam_kaliteCeza,0)-COUNTIFS(tblGunluk[VarlikId],$A154,tblGunluk[AlarmBayrak],"ALARM")*fam_kaliteSapma-IF($H154="HAYIR",fam_kaliteCeza,0))))</f>
        <v/>
      </c>
    </row>
    <row r="155">
      <c r="A155" s="15" t="n"/>
      <c r="B155" s="15" t="n"/>
      <c r="C155" s="15" t="n"/>
      <c r="D155" s="15" t="n"/>
      <c r="E155" s="16" t="n"/>
      <c r="F155" s="17" t="n"/>
      <c r="G155" s="17" t="n"/>
      <c r="H155" s="15" t="n"/>
      <c r="I155" s="18">
        <f>IF($A155="","",SUMIF(tblGunluk[VarlikId],$A155,tblGunluk[Km_km]))</f>
        <v/>
      </c>
      <c r="J155" s="18">
        <f>IF($A155="","",SUMIF(tblGunluk[VarlikId],$A155,tblGunluk[FormulToplamTl]))</f>
        <v/>
      </c>
      <c r="K155" s="18">
        <f>IF($A155="","",IFERROR(SUMIF(tblGunluk[VarlikId],$A155,tblGunluk[FormulToplamTl])/SUMIF(tblGunluk[VarlikId],$A155,tblGunluk[Km_km]),0))</f>
        <v/>
      </c>
      <c r="L155" s="18">
        <f>IF($A155="","",MAX(0,MIN(100,fam_kaliteTaban-IF($K155&gt;fam_esikKmBasi,fam_kaliteCeza,0)-COUNTIFS(tblGunluk[VarlikId],$A155,tblGunluk[AlarmBayrak],"ALARM")*fam_kaliteSapma-IF($H155="HAYIR",fam_kaliteCeza,0))))</f>
        <v/>
      </c>
    </row>
    <row r="156">
      <c r="A156" s="15" t="n"/>
      <c r="B156" s="15" t="n"/>
      <c r="C156" s="15" t="n"/>
      <c r="D156" s="15" t="n"/>
      <c r="E156" s="16" t="n"/>
      <c r="F156" s="17" t="n"/>
      <c r="G156" s="17" t="n"/>
      <c r="H156" s="15" t="n"/>
      <c r="I156" s="18">
        <f>IF($A156="","",SUMIF(tblGunluk[VarlikId],$A156,tblGunluk[Km_km]))</f>
        <v/>
      </c>
      <c r="J156" s="18">
        <f>IF($A156="","",SUMIF(tblGunluk[VarlikId],$A156,tblGunluk[FormulToplamTl]))</f>
        <v/>
      </c>
      <c r="K156" s="18">
        <f>IF($A156="","",IFERROR(SUMIF(tblGunluk[VarlikId],$A156,tblGunluk[FormulToplamTl])/SUMIF(tblGunluk[VarlikId],$A156,tblGunluk[Km_km]),0))</f>
        <v/>
      </c>
      <c r="L156" s="18">
        <f>IF($A156="","",MAX(0,MIN(100,fam_kaliteTaban-IF($K156&gt;fam_esikKmBasi,fam_kaliteCeza,0)-COUNTIFS(tblGunluk[VarlikId],$A156,tblGunluk[AlarmBayrak],"ALARM")*fam_kaliteSapma-IF($H156="HAYIR",fam_kaliteCeza,0))))</f>
        <v/>
      </c>
    </row>
    <row r="157">
      <c r="A157" s="15" t="n"/>
      <c r="B157" s="15" t="n"/>
      <c r="C157" s="15" t="n"/>
      <c r="D157" s="15" t="n"/>
      <c r="E157" s="16" t="n"/>
      <c r="F157" s="17" t="n"/>
      <c r="G157" s="17" t="n"/>
      <c r="H157" s="15" t="n"/>
      <c r="I157" s="18">
        <f>IF($A157="","",SUMIF(tblGunluk[VarlikId],$A157,tblGunluk[Km_km]))</f>
        <v/>
      </c>
      <c r="J157" s="18">
        <f>IF($A157="","",SUMIF(tblGunluk[VarlikId],$A157,tblGunluk[FormulToplamTl]))</f>
        <v/>
      </c>
      <c r="K157" s="18">
        <f>IF($A157="","",IFERROR(SUMIF(tblGunluk[VarlikId],$A157,tblGunluk[FormulToplamTl])/SUMIF(tblGunluk[VarlikId],$A157,tblGunluk[Km_km]),0))</f>
        <v/>
      </c>
      <c r="L157" s="18">
        <f>IF($A157="","",MAX(0,MIN(100,fam_kaliteTaban-IF($K157&gt;fam_esikKmBasi,fam_kaliteCeza,0)-COUNTIFS(tblGunluk[VarlikId],$A157,tblGunluk[AlarmBayrak],"ALARM")*fam_kaliteSapma-IF($H157="HAYIR",fam_kaliteCeza,0))))</f>
        <v/>
      </c>
    </row>
    <row r="158">
      <c r="A158" s="15" t="n"/>
      <c r="B158" s="15" t="n"/>
      <c r="C158" s="15" t="n"/>
      <c r="D158" s="15" t="n"/>
      <c r="E158" s="16" t="n"/>
      <c r="F158" s="17" t="n"/>
      <c r="G158" s="17" t="n"/>
      <c r="H158" s="15" t="n"/>
      <c r="I158" s="18">
        <f>IF($A158="","",SUMIF(tblGunluk[VarlikId],$A158,tblGunluk[Km_km]))</f>
        <v/>
      </c>
      <c r="J158" s="18">
        <f>IF($A158="","",SUMIF(tblGunluk[VarlikId],$A158,tblGunluk[FormulToplamTl]))</f>
        <v/>
      </c>
      <c r="K158" s="18">
        <f>IF($A158="","",IFERROR(SUMIF(tblGunluk[VarlikId],$A158,tblGunluk[FormulToplamTl])/SUMIF(tblGunluk[VarlikId],$A158,tblGunluk[Km_km]),0))</f>
        <v/>
      </c>
      <c r="L158" s="18">
        <f>IF($A158="","",MAX(0,MIN(100,fam_kaliteTaban-IF($K158&gt;fam_esikKmBasi,fam_kaliteCeza,0)-COUNTIFS(tblGunluk[VarlikId],$A158,tblGunluk[AlarmBayrak],"ALARM")*fam_kaliteSapma-IF($H158="HAYIR",fam_kaliteCeza,0))))</f>
        <v/>
      </c>
    </row>
    <row r="159">
      <c r="A159" s="15" t="n"/>
      <c r="B159" s="15" t="n"/>
      <c r="C159" s="15" t="n"/>
      <c r="D159" s="15" t="n"/>
      <c r="E159" s="16" t="n"/>
      <c r="F159" s="17" t="n"/>
      <c r="G159" s="17" t="n"/>
      <c r="H159" s="15" t="n"/>
      <c r="I159" s="18">
        <f>IF($A159="","",SUMIF(tblGunluk[VarlikId],$A159,tblGunluk[Km_km]))</f>
        <v/>
      </c>
      <c r="J159" s="18">
        <f>IF($A159="","",SUMIF(tblGunluk[VarlikId],$A159,tblGunluk[FormulToplamTl]))</f>
        <v/>
      </c>
      <c r="K159" s="18">
        <f>IF($A159="","",IFERROR(SUMIF(tblGunluk[VarlikId],$A159,tblGunluk[FormulToplamTl])/SUMIF(tblGunluk[VarlikId],$A159,tblGunluk[Km_km]),0))</f>
        <v/>
      </c>
      <c r="L159" s="18">
        <f>IF($A159="","",MAX(0,MIN(100,fam_kaliteTaban-IF($K159&gt;fam_esikKmBasi,fam_kaliteCeza,0)-COUNTIFS(tblGunluk[VarlikId],$A159,tblGunluk[AlarmBayrak],"ALARM")*fam_kaliteSapma-IF($H159="HAYIR",fam_kaliteCeza,0))))</f>
        <v/>
      </c>
    </row>
    <row r="160">
      <c r="A160" s="15" t="n"/>
      <c r="B160" s="15" t="n"/>
      <c r="C160" s="15" t="n"/>
      <c r="D160" s="15" t="n"/>
      <c r="E160" s="16" t="n"/>
      <c r="F160" s="17" t="n"/>
      <c r="G160" s="17" t="n"/>
      <c r="H160" s="15" t="n"/>
      <c r="I160" s="18">
        <f>IF($A160="","",SUMIF(tblGunluk[VarlikId],$A160,tblGunluk[Km_km]))</f>
        <v/>
      </c>
      <c r="J160" s="18">
        <f>IF($A160="","",SUMIF(tblGunluk[VarlikId],$A160,tblGunluk[FormulToplamTl]))</f>
        <v/>
      </c>
      <c r="K160" s="18">
        <f>IF($A160="","",IFERROR(SUMIF(tblGunluk[VarlikId],$A160,tblGunluk[FormulToplamTl])/SUMIF(tblGunluk[VarlikId],$A160,tblGunluk[Km_km]),0))</f>
        <v/>
      </c>
      <c r="L160" s="18">
        <f>IF($A160="","",MAX(0,MIN(100,fam_kaliteTaban-IF($K160&gt;fam_esikKmBasi,fam_kaliteCeza,0)-COUNTIFS(tblGunluk[VarlikId],$A160,tblGunluk[AlarmBayrak],"ALARM")*fam_kaliteSapma-IF($H160="HAYIR",fam_kaliteCeza,0))))</f>
        <v/>
      </c>
    </row>
    <row r="161">
      <c r="A161" s="15" t="n"/>
      <c r="B161" s="15" t="n"/>
      <c r="C161" s="15" t="n"/>
      <c r="D161" s="15" t="n"/>
      <c r="E161" s="16" t="n"/>
      <c r="F161" s="17" t="n"/>
      <c r="G161" s="17" t="n"/>
      <c r="H161" s="15" t="n"/>
      <c r="I161" s="18">
        <f>IF($A161="","",SUMIF(tblGunluk[VarlikId],$A161,tblGunluk[Km_km]))</f>
        <v/>
      </c>
      <c r="J161" s="18">
        <f>IF($A161="","",SUMIF(tblGunluk[VarlikId],$A161,tblGunluk[FormulToplamTl]))</f>
        <v/>
      </c>
      <c r="K161" s="18">
        <f>IF($A161="","",IFERROR(SUMIF(tblGunluk[VarlikId],$A161,tblGunluk[FormulToplamTl])/SUMIF(tblGunluk[VarlikId],$A161,tblGunluk[Km_km]),0))</f>
        <v/>
      </c>
      <c r="L161" s="18">
        <f>IF($A161="","",MAX(0,MIN(100,fam_kaliteTaban-IF($K161&gt;fam_esikKmBasi,fam_kaliteCeza,0)-COUNTIFS(tblGunluk[VarlikId],$A161,tblGunluk[AlarmBayrak],"ALARM")*fam_kaliteSapma-IF($H161="HAYIR",fam_kaliteCeza,0))))</f>
        <v/>
      </c>
    </row>
    <row r="162">
      <c r="A162" s="15" t="n"/>
      <c r="B162" s="15" t="n"/>
      <c r="C162" s="15" t="n"/>
      <c r="D162" s="15" t="n"/>
      <c r="E162" s="16" t="n"/>
      <c r="F162" s="17" t="n"/>
      <c r="G162" s="17" t="n"/>
      <c r="H162" s="15" t="n"/>
      <c r="I162" s="18">
        <f>IF($A162="","",SUMIF(tblGunluk[VarlikId],$A162,tblGunluk[Km_km]))</f>
        <v/>
      </c>
      <c r="J162" s="18">
        <f>IF($A162="","",SUMIF(tblGunluk[VarlikId],$A162,tblGunluk[FormulToplamTl]))</f>
        <v/>
      </c>
      <c r="K162" s="18">
        <f>IF($A162="","",IFERROR(SUMIF(tblGunluk[VarlikId],$A162,tblGunluk[FormulToplamTl])/SUMIF(tblGunluk[VarlikId],$A162,tblGunluk[Km_km]),0))</f>
        <v/>
      </c>
      <c r="L162" s="18">
        <f>IF($A162="","",MAX(0,MIN(100,fam_kaliteTaban-IF($K162&gt;fam_esikKmBasi,fam_kaliteCeza,0)-COUNTIFS(tblGunluk[VarlikId],$A162,tblGunluk[AlarmBayrak],"ALARM")*fam_kaliteSapma-IF($H162="HAYIR",fam_kaliteCeza,0))))</f>
        <v/>
      </c>
    </row>
    <row r="163">
      <c r="A163" s="15" t="n"/>
      <c r="B163" s="15" t="n"/>
      <c r="C163" s="15" t="n"/>
      <c r="D163" s="15" t="n"/>
      <c r="E163" s="16" t="n"/>
      <c r="F163" s="17" t="n"/>
      <c r="G163" s="17" t="n"/>
      <c r="H163" s="15" t="n"/>
      <c r="I163" s="18">
        <f>IF($A163="","",SUMIF(tblGunluk[VarlikId],$A163,tblGunluk[Km_km]))</f>
        <v/>
      </c>
      <c r="J163" s="18">
        <f>IF($A163="","",SUMIF(tblGunluk[VarlikId],$A163,tblGunluk[FormulToplamTl]))</f>
        <v/>
      </c>
      <c r="K163" s="18">
        <f>IF($A163="","",IFERROR(SUMIF(tblGunluk[VarlikId],$A163,tblGunluk[FormulToplamTl])/SUMIF(tblGunluk[VarlikId],$A163,tblGunluk[Km_km]),0))</f>
        <v/>
      </c>
      <c r="L163" s="18">
        <f>IF($A163="","",MAX(0,MIN(100,fam_kaliteTaban-IF($K163&gt;fam_esikKmBasi,fam_kaliteCeza,0)-COUNTIFS(tblGunluk[VarlikId],$A163,tblGunluk[AlarmBayrak],"ALARM")*fam_kaliteSapma-IF($H163="HAYIR",fam_kaliteCeza,0))))</f>
        <v/>
      </c>
    </row>
    <row r="164">
      <c r="A164" s="15" t="n"/>
      <c r="B164" s="15" t="n"/>
      <c r="C164" s="15" t="n"/>
      <c r="D164" s="15" t="n"/>
      <c r="E164" s="16" t="n"/>
      <c r="F164" s="17" t="n"/>
      <c r="G164" s="17" t="n"/>
      <c r="H164" s="15" t="n"/>
      <c r="I164" s="18">
        <f>IF($A164="","",SUMIF(tblGunluk[VarlikId],$A164,tblGunluk[Km_km]))</f>
        <v/>
      </c>
      <c r="J164" s="18">
        <f>IF($A164="","",SUMIF(tblGunluk[VarlikId],$A164,tblGunluk[FormulToplamTl]))</f>
        <v/>
      </c>
      <c r="K164" s="18">
        <f>IF($A164="","",IFERROR(SUMIF(tblGunluk[VarlikId],$A164,tblGunluk[FormulToplamTl])/SUMIF(tblGunluk[VarlikId],$A164,tblGunluk[Km_km]),0))</f>
        <v/>
      </c>
      <c r="L164" s="18">
        <f>IF($A164="","",MAX(0,MIN(100,fam_kaliteTaban-IF($K164&gt;fam_esikKmBasi,fam_kaliteCeza,0)-COUNTIFS(tblGunluk[VarlikId],$A164,tblGunluk[AlarmBayrak],"ALARM")*fam_kaliteSapma-IF($H164="HAYIR",fam_kaliteCeza,0))))</f>
        <v/>
      </c>
    </row>
    <row r="165">
      <c r="A165" s="15" t="n"/>
      <c r="B165" s="15" t="n"/>
      <c r="C165" s="15" t="n"/>
      <c r="D165" s="15" t="n"/>
      <c r="E165" s="16" t="n"/>
      <c r="F165" s="17" t="n"/>
      <c r="G165" s="17" t="n"/>
      <c r="H165" s="15" t="n"/>
      <c r="I165" s="18">
        <f>IF($A165="","",SUMIF(tblGunluk[VarlikId],$A165,tblGunluk[Km_km]))</f>
        <v/>
      </c>
      <c r="J165" s="18">
        <f>IF($A165="","",SUMIF(tblGunluk[VarlikId],$A165,tblGunluk[FormulToplamTl]))</f>
        <v/>
      </c>
      <c r="K165" s="18">
        <f>IF($A165="","",IFERROR(SUMIF(tblGunluk[VarlikId],$A165,tblGunluk[FormulToplamTl])/SUMIF(tblGunluk[VarlikId],$A165,tblGunluk[Km_km]),0))</f>
        <v/>
      </c>
      <c r="L165" s="18">
        <f>IF($A165="","",MAX(0,MIN(100,fam_kaliteTaban-IF($K165&gt;fam_esikKmBasi,fam_kaliteCeza,0)-COUNTIFS(tblGunluk[VarlikId],$A165,tblGunluk[AlarmBayrak],"ALARM")*fam_kaliteSapma-IF($H165="HAYIR",fam_kaliteCeza,0))))</f>
        <v/>
      </c>
    </row>
    <row r="166">
      <c r="A166" s="15" t="n"/>
      <c r="B166" s="15" t="n"/>
      <c r="C166" s="15" t="n"/>
      <c r="D166" s="15" t="n"/>
      <c r="E166" s="16" t="n"/>
      <c r="F166" s="17" t="n"/>
      <c r="G166" s="17" t="n"/>
      <c r="H166" s="15" t="n"/>
      <c r="I166" s="18">
        <f>IF($A166="","",SUMIF(tblGunluk[VarlikId],$A166,tblGunluk[Km_km]))</f>
        <v/>
      </c>
      <c r="J166" s="18">
        <f>IF($A166="","",SUMIF(tblGunluk[VarlikId],$A166,tblGunluk[FormulToplamTl]))</f>
        <v/>
      </c>
      <c r="K166" s="18">
        <f>IF($A166="","",IFERROR(SUMIF(tblGunluk[VarlikId],$A166,tblGunluk[FormulToplamTl])/SUMIF(tblGunluk[VarlikId],$A166,tblGunluk[Km_km]),0))</f>
        <v/>
      </c>
      <c r="L166" s="18">
        <f>IF($A166="","",MAX(0,MIN(100,fam_kaliteTaban-IF($K166&gt;fam_esikKmBasi,fam_kaliteCeza,0)-COUNTIFS(tblGunluk[VarlikId],$A166,tblGunluk[AlarmBayrak],"ALARM")*fam_kaliteSapma-IF($H166="HAYIR",fam_kaliteCeza,0))))</f>
        <v/>
      </c>
    </row>
    <row r="167">
      <c r="A167" s="15" t="n"/>
      <c r="B167" s="15" t="n"/>
      <c r="C167" s="15" t="n"/>
      <c r="D167" s="15" t="n"/>
      <c r="E167" s="16" t="n"/>
      <c r="F167" s="17" t="n"/>
      <c r="G167" s="17" t="n"/>
      <c r="H167" s="15" t="n"/>
      <c r="I167" s="18">
        <f>IF($A167="","",SUMIF(tblGunluk[VarlikId],$A167,tblGunluk[Km_km]))</f>
        <v/>
      </c>
      <c r="J167" s="18">
        <f>IF($A167="","",SUMIF(tblGunluk[VarlikId],$A167,tblGunluk[FormulToplamTl]))</f>
        <v/>
      </c>
      <c r="K167" s="18">
        <f>IF($A167="","",IFERROR(SUMIF(tblGunluk[VarlikId],$A167,tblGunluk[FormulToplamTl])/SUMIF(tblGunluk[VarlikId],$A167,tblGunluk[Km_km]),0))</f>
        <v/>
      </c>
      <c r="L167" s="18">
        <f>IF($A167="","",MAX(0,MIN(100,fam_kaliteTaban-IF($K167&gt;fam_esikKmBasi,fam_kaliteCeza,0)-COUNTIFS(tblGunluk[VarlikId],$A167,tblGunluk[AlarmBayrak],"ALARM")*fam_kaliteSapma-IF($H167="HAYIR",fam_kaliteCeza,0))))</f>
        <v/>
      </c>
    </row>
    <row r="168">
      <c r="A168" s="15" t="n"/>
      <c r="B168" s="15" t="n"/>
      <c r="C168" s="15" t="n"/>
      <c r="D168" s="15" t="n"/>
      <c r="E168" s="16" t="n"/>
      <c r="F168" s="17" t="n"/>
      <c r="G168" s="17" t="n"/>
      <c r="H168" s="15" t="n"/>
      <c r="I168" s="18">
        <f>IF($A168="","",SUMIF(tblGunluk[VarlikId],$A168,tblGunluk[Km_km]))</f>
        <v/>
      </c>
      <c r="J168" s="18">
        <f>IF($A168="","",SUMIF(tblGunluk[VarlikId],$A168,tblGunluk[FormulToplamTl]))</f>
        <v/>
      </c>
      <c r="K168" s="18">
        <f>IF($A168="","",IFERROR(SUMIF(tblGunluk[VarlikId],$A168,tblGunluk[FormulToplamTl])/SUMIF(tblGunluk[VarlikId],$A168,tblGunluk[Km_km]),0))</f>
        <v/>
      </c>
      <c r="L168" s="18">
        <f>IF($A168="","",MAX(0,MIN(100,fam_kaliteTaban-IF($K168&gt;fam_esikKmBasi,fam_kaliteCeza,0)-COUNTIFS(tblGunluk[VarlikId],$A168,tblGunluk[AlarmBayrak],"ALARM")*fam_kaliteSapma-IF($H168="HAYIR",fam_kaliteCeza,0))))</f>
        <v/>
      </c>
    </row>
    <row r="169">
      <c r="A169" s="15" t="n"/>
      <c r="B169" s="15" t="n"/>
      <c r="C169" s="15" t="n"/>
      <c r="D169" s="15" t="n"/>
      <c r="E169" s="16" t="n"/>
      <c r="F169" s="17" t="n"/>
      <c r="G169" s="17" t="n"/>
      <c r="H169" s="15" t="n"/>
      <c r="I169" s="18">
        <f>IF($A169="","",SUMIF(tblGunluk[VarlikId],$A169,tblGunluk[Km_km]))</f>
        <v/>
      </c>
      <c r="J169" s="18">
        <f>IF($A169="","",SUMIF(tblGunluk[VarlikId],$A169,tblGunluk[FormulToplamTl]))</f>
        <v/>
      </c>
      <c r="K169" s="18">
        <f>IF($A169="","",IFERROR(SUMIF(tblGunluk[VarlikId],$A169,tblGunluk[FormulToplamTl])/SUMIF(tblGunluk[VarlikId],$A169,tblGunluk[Km_km]),0))</f>
        <v/>
      </c>
      <c r="L169" s="18">
        <f>IF($A169="","",MAX(0,MIN(100,fam_kaliteTaban-IF($K169&gt;fam_esikKmBasi,fam_kaliteCeza,0)-COUNTIFS(tblGunluk[VarlikId],$A169,tblGunluk[AlarmBayrak],"ALARM")*fam_kaliteSapma-IF($H169="HAYIR",fam_kaliteCeza,0))))</f>
        <v/>
      </c>
    </row>
    <row r="170">
      <c r="A170" s="15" t="n"/>
      <c r="B170" s="15" t="n"/>
      <c r="C170" s="15" t="n"/>
      <c r="D170" s="15" t="n"/>
      <c r="E170" s="16" t="n"/>
      <c r="F170" s="17" t="n"/>
      <c r="G170" s="17" t="n"/>
      <c r="H170" s="15" t="n"/>
      <c r="I170" s="18">
        <f>IF($A170="","",SUMIF(tblGunluk[VarlikId],$A170,tblGunluk[Km_km]))</f>
        <v/>
      </c>
      <c r="J170" s="18">
        <f>IF($A170="","",SUMIF(tblGunluk[VarlikId],$A170,tblGunluk[FormulToplamTl]))</f>
        <v/>
      </c>
      <c r="K170" s="18">
        <f>IF($A170="","",IFERROR(SUMIF(tblGunluk[VarlikId],$A170,tblGunluk[FormulToplamTl])/SUMIF(tblGunluk[VarlikId],$A170,tblGunluk[Km_km]),0))</f>
        <v/>
      </c>
      <c r="L170" s="18">
        <f>IF($A170="","",MAX(0,MIN(100,fam_kaliteTaban-IF($K170&gt;fam_esikKmBasi,fam_kaliteCeza,0)-COUNTIFS(tblGunluk[VarlikId],$A170,tblGunluk[AlarmBayrak],"ALARM")*fam_kaliteSapma-IF($H170="HAYIR",fam_kaliteCeza,0))))</f>
        <v/>
      </c>
    </row>
    <row r="171">
      <c r="A171" s="15" t="n"/>
      <c r="B171" s="15" t="n"/>
      <c r="C171" s="15" t="n"/>
      <c r="D171" s="15" t="n"/>
      <c r="E171" s="16" t="n"/>
      <c r="F171" s="17" t="n"/>
      <c r="G171" s="17" t="n"/>
      <c r="H171" s="15" t="n"/>
      <c r="I171" s="18">
        <f>IF($A171="","",SUMIF(tblGunluk[VarlikId],$A171,tblGunluk[Km_km]))</f>
        <v/>
      </c>
      <c r="J171" s="18">
        <f>IF($A171="","",SUMIF(tblGunluk[VarlikId],$A171,tblGunluk[FormulToplamTl]))</f>
        <v/>
      </c>
      <c r="K171" s="18">
        <f>IF($A171="","",IFERROR(SUMIF(tblGunluk[VarlikId],$A171,tblGunluk[FormulToplamTl])/SUMIF(tblGunluk[VarlikId],$A171,tblGunluk[Km_km]),0))</f>
        <v/>
      </c>
      <c r="L171" s="18">
        <f>IF($A171="","",MAX(0,MIN(100,fam_kaliteTaban-IF($K171&gt;fam_esikKmBasi,fam_kaliteCeza,0)-COUNTIFS(tblGunluk[VarlikId],$A171,tblGunluk[AlarmBayrak],"ALARM")*fam_kaliteSapma-IF($H171="HAYIR",fam_kaliteCeza,0))))</f>
        <v/>
      </c>
    </row>
    <row r="172">
      <c r="A172" s="15" t="n"/>
      <c r="B172" s="15" t="n"/>
      <c r="C172" s="15" t="n"/>
      <c r="D172" s="15" t="n"/>
      <c r="E172" s="16" t="n"/>
      <c r="F172" s="17" t="n"/>
      <c r="G172" s="17" t="n"/>
      <c r="H172" s="15" t="n"/>
      <c r="I172" s="18">
        <f>IF($A172="","",SUMIF(tblGunluk[VarlikId],$A172,tblGunluk[Km_km]))</f>
        <v/>
      </c>
      <c r="J172" s="18">
        <f>IF($A172="","",SUMIF(tblGunluk[VarlikId],$A172,tblGunluk[FormulToplamTl]))</f>
        <v/>
      </c>
      <c r="K172" s="18">
        <f>IF($A172="","",IFERROR(SUMIF(tblGunluk[VarlikId],$A172,tblGunluk[FormulToplamTl])/SUMIF(tblGunluk[VarlikId],$A172,tblGunluk[Km_km]),0))</f>
        <v/>
      </c>
      <c r="L172" s="18">
        <f>IF($A172="","",MAX(0,MIN(100,fam_kaliteTaban-IF($K172&gt;fam_esikKmBasi,fam_kaliteCeza,0)-COUNTIFS(tblGunluk[VarlikId],$A172,tblGunluk[AlarmBayrak],"ALARM")*fam_kaliteSapma-IF($H172="HAYIR",fam_kaliteCeza,0))))</f>
        <v/>
      </c>
    </row>
    <row r="173">
      <c r="A173" s="15" t="n"/>
      <c r="B173" s="15" t="n"/>
      <c r="C173" s="15" t="n"/>
      <c r="D173" s="15" t="n"/>
      <c r="E173" s="16" t="n"/>
      <c r="F173" s="17" t="n"/>
      <c r="G173" s="17" t="n"/>
      <c r="H173" s="15" t="n"/>
      <c r="I173" s="18">
        <f>IF($A173="","",SUMIF(tblGunluk[VarlikId],$A173,tblGunluk[Km_km]))</f>
        <v/>
      </c>
      <c r="J173" s="18">
        <f>IF($A173="","",SUMIF(tblGunluk[VarlikId],$A173,tblGunluk[FormulToplamTl]))</f>
        <v/>
      </c>
      <c r="K173" s="18">
        <f>IF($A173="","",IFERROR(SUMIF(tblGunluk[VarlikId],$A173,tblGunluk[FormulToplamTl])/SUMIF(tblGunluk[VarlikId],$A173,tblGunluk[Km_km]),0))</f>
        <v/>
      </c>
      <c r="L173" s="18">
        <f>IF($A173="","",MAX(0,MIN(100,fam_kaliteTaban-IF($K173&gt;fam_esikKmBasi,fam_kaliteCeza,0)-COUNTIFS(tblGunluk[VarlikId],$A173,tblGunluk[AlarmBayrak],"ALARM")*fam_kaliteSapma-IF($H173="HAYIR",fam_kaliteCeza,0))))</f>
        <v/>
      </c>
    </row>
    <row r="174">
      <c r="A174" s="15" t="n"/>
      <c r="B174" s="15" t="n"/>
      <c r="C174" s="15" t="n"/>
      <c r="D174" s="15" t="n"/>
      <c r="E174" s="16" t="n"/>
      <c r="F174" s="17" t="n"/>
      <c r="G174" s="17" t="n"/>
      <c r="H174" s="15" t="n"/>
      <c r="I174" s="18">
        <f>IF($A174="","",SUMIF(tblGunluk[VarlikId],$A174,tblGunluk[Km_km]))</f>
        <v/>
      </c>
      <c r="J174" s="18">
        <f>IF($A174="","",SUMIF(tblGunluk[VarlikId],$A174,tblGunluk[FormulToplamTl]))</f>
        <v/>
      </c>
      <c r="K174" s="18">
        <f>IF($A174="","",IFERROR(SUMIF(tblGunluk[VarlikId],$A174,tblGunluk[FormulToplamTl])/SUMIF(tblGunluk[VarlikId],$A174,tblGunluk[Km_km]),0))</f>
        <v/>
      </c>
      <c r="L174" s="18">
        <f>IF($A174="","",MAX(0,MIN(100,fam_kaliteTaban-IF($K174&gt;fam_esikKmBasi,fam_kaliteCeza,0)-COUNTIFS(tblGunluk[VarlikId],$A174,tblGunluk[AlarmBayrak],"ALARM")*fam_kaliteSapma-IF($H174="HAYIR",fam_kaliteCeza,0))))</f>
        <v/>
      </c>
    </row>
    <row r="175">
      <c r="A175" s="15" t="n"/>
      <c r="B175" s="15" t="n"/>
      <c r="C175" s="15" t="n"/>
      <c r="D175" s="15" t="n"/>
      <c r="E175" s="16" t="n"/>
      <c r="F175" s="17" t="n"/>
      <c r="G175" s="17" t="n"/>
      <c r="H175" s="15" t="n"/>
      <c r="I175" s="18">
        <f>IF($A175="","",SUMIF(tblGunluk[VarlikId],$A175,tblGunluk[Km_km]))</f>
        <v/>
      </c>
      <c r="J175" s="18">
        <f>IF($A175="","",SUMIF(tblGunluk[VarlikId],$A175,tblGunluk[FormulToplamTl]))</f>
        <v/>
      </c>
      <c r="K175" s="18">
        <f>IF($A175="","",IFERROR(SUMIF(tblGunluk[VarlikId],$A175,tblGunluk[FormulToplamTl])/SUMIF(tblGunluk[VarlikId],$A175,tblGunluk[Km_km]),0))</f>
        <v/>
      </c>
      <c r="L175" s="18">
        <f>IF($A175="","",MAX(0,MIN(100,fam_kaliteTaban-IF($K175&gt;fam_esikKmBasi,fam_kaliteCeza,0)-COUNTIFS(tblGunluk[VarlikId],$A175,tblGunluk[AlarmBayrak],"ALARM")*fam_kaliteSapma-IF($H175="HAYIR",fam_kaliteCeza,0))))</f>
        <v/>
      </c>
    </row>
    <row r="176">
      <c r="A176" s="15" t="n"/>
      <c r="B176" s="15" t="n"/>
      <c r="C176" s="15" t="n"/>
      <c r="D176" s="15" t="n"/>
      <c r="E176" s="16" t="n"/>
      <c r="F176" s="17" t="n"/>
      <c r="G176" s="17" t="n"/>
      <c r="H176" s="15" t="n"/>
      <c r="I176" s="18">
        <f>IF($A176="","",SUMIF(tblGunluk[VarlikId],$A176,tblGunluk[Km_km]))</f>
        <v/>
      </c>
      <c r="J176" s="18">
        <f>IF($A176="","",SUMIF(tblGunluk[VarlikId],$A176,tblGunluk[FormulToplamTl]))</f>
        <v/>
      </c>
      <c r="K176" s="18">
        <f>IF($A176="","",IFERROR(SUMIF(tblGunluk[VarlikId],$A176,tblGunluk[FormulToplamTl])/SUMIF(tblGunluk[VarlikId],$A176,tblGunluk[Km_km]),0))</f>
        <v/>
      </c>
      <c r="L176" s="18">
        <f>IF($A176="","",MAX(0,MIN(100,fam_kaliteTaban-IF($K176&gt;fam_esikKmBasi,fam_kaliteCeza,0)-COUNTIFS(tblGunluk[VarlikId],$A176,tblGunluk[AlarmBayrak],"ALARM")*fam_kaliteSapma-IF($H176="HAYIR",fam_kaliteCeza,0))))</f>
        <v/>
      </c>
    </row>
    <row r="177">
      <c r="A177" s="15" t="n"/>
      <c r="B177" s="15" t="n"/>
      <c r="C177" s="15" t="n"/>
      <c r="D177" s="15" t="n"/>
      <c r="E177" s="16" t="n"/>
      <c r="F177" s="17" t="n"/>
      <c r="G177" s="17" t="n"/>
      <c r="H177" s="15" t="n"/>
      <c r="I177" s="18">
        <f>IF($A177="","",SUMIF(tblGunluk[VarlikId],$A177,tblGunluk[Km_km]))</f>
        <v/>
      </c>
      <c r="J177" s="18">
        <f>IF($A177="","",SUMIF(tblGunluk[VarlikId],$A177,tblGunluk[FormulToplamTl]))</f>
        <v/>
      </c>
      <c r="K177" s="18">
        <f>IF($A177="","",IFERROR(SUMIF(tblGunluk[VarlikId],$A177,tblGunluk[FormulToplamTl])/SUMIF(tblGunluk[VarlikId],$A177,tblGunluk[Km_km]),0))</f>
        <v/>
      </c>
      <c r="L177" s="18">
        <f>IF($A177="","",MAX(0,MIN(100,fam_kaliteTaban-IF($K177&gt;fam_esikKmBasi,fam_kaliteCeza,0)-COUNTIFS(tblGunluk[VarlikId],$A177,tblGunluk[AlarmBayrak],"ALARM")*fam_kaliteSapma-IF($H177="HAYIR",fam_kaliteCeza,0))))</f>
        <v/>
      </c>
    </row>
    <row r="178">
      <c r="A178" s="15" t="n"/>
      <c r="B178" s="15" t="n"/>
      <c r="C178" s="15" t="n"/>
      <c r="D178" s="15" t="n"/>
      <c r="E178" s="16" t="n"/>
      <c r="F178" s="17" t="n"/>
      <c r="G178" s="17" t="n"/>
      <c r="H178" s="15" t="n"/>
      <c r="I178" s="18">
        <f>IF($A178="","",SUMIF(tblGunluk[VarlikId],$A178,tblGunluk[Km_km]))</f>
        <v/>
      </c>
      <c r="J178" s="18">
        <f>IF($A178="","",SUMIF(tblGunluk[VarlikId],$A178,tblGunluk[FormulToplamTl]))</f>
        <v/>
      </c>
      <c r="K178" s="18">
        <f>IF($A178="","",IFERROR(SUMIF(tblGunluk[VarlikId],$A178,tblGunluk[FormulToplamTl])/SUMIF(tblGunluk[VarlikId],$A178,tblGunluk[Km_km]),0))</f>
        <v/>
      </c>
      <c r="L178" s="18">
        <f>IF($A178="","",MAX(0,MIN(100,fam_kaliteTaban-IF($K178&gt;fam_esikKmBasi,fam_kaliteCeza,0)-COUNTIFS(tblGunluk[VarlikId],$A178,tblGunluk[AlarmBayrak],"ALARM")*fam_kaliteSapma-IF($H178="HAYIR",fam_kaliteCeza,0))))</f>
        <v/>
      </c>
    </row>
    <row r="179">
      <c r="A179" s="15" t="n"/>
      <c r="B179" s="15" t="n"/>
      <c r="C179" s="15" t="n"/>
      <c r="D179" s="15" t="n"/>
      <c r="E179" s="16" t="n"/>
      <c r="F179" s="17" t="n"/>
      <c r="G179" s="17" t="n"/>
      <c r="H179" s="15" t="n"/>
      <c r="I179" s="18">
        <f>IF($A179="","",SUMIF(tblGunluk[VarlikId],$A179,tblGunluk[Km_km]))</f>
        <v/>
      </c>
      <c r="J179" s="18">
        <f>IF($A179="","",SUMIF(tblGunluk[VarlikId],$A179,tblGunluk[FormulToplamTl]))</f>
        <v/>
      </c>
      <c r="K179" s="18">
        <f>IF($A179="","",IFERROR(SUMIF(tblGunluk[VarlikId],$A179,tblGunluk[FormulToplamTl])/SUMIF(tblGunluk[VarlikId],$A179,tblGunluk[Km_km]),0))</f>
        <v/>
      </c>
      <c r="L179" s="18">
        <f>IF($A179="","",MAX(0,MIN(100,fam_kaliteTaban-IF($K179&gt;fam_esikKmBasi,fam_kaliteCeza,0)-COUNTIFS(tblGunluk[VarlikId],$A179,tblGunluk[AlarmBayrak],"ALARM")*fam_kaliteSapma-IF($H179="HAYIR",fam_kaliteCeza,0))))</f>
        <v/>
      </c>
    </row>
    <row r="180">
      <c r="A180" s="15" t="n"/>
      <c r="B180" s="15" t="n"/>
      <c r="C180" s="15" t="n"/>
      <c r="D180" s="15" t="n"/>
      <c r="E180" s="16" t="n"/>
      <c r="F180" s="17" t="n"/>
      <c r="G180" s="17" t="n"/>
      <c r="H180" s="15" t="n"/>
      <c r="I180" s="18">
        <f>IF($A180="","",SUMIF(tblGunluk[VarlikId],$A180,tblGunluk[Km_km]))</f>
        <v/>
      </c>
      <c r="J180" s="18">
        <f>IF($A180="","",SUMIF(tblGunluk[VarlikId],$A180,tblGunluk[FormulToplamTl]))</f>
        <v/>
      </c>
      <c r="K180" s="18">
        <f>IF($A180="","",IFERROR(SUMIF(tblGunluk[VarlikId],$A180,tblGunluk[FormulToplamTl])/SUMIF(tblGunluk[VarlikId],$A180,tblGunluk[Km_km]),0))</f>
        <v/>
      </c>
      <c r="L180" s="18">
        <f>IF($A180="","",MAX(0,MIN(100,fam_kaliteTaban-IF($K180&gt;fam_esikKmBasi,fam_kaliteCeza,0)-COUNTIFS(tblGunluk[VarlikId],$A180,tblGunluk[AlarmBayrak],"ALARM")*fam_kaliteSapma-IF($H180="HAYIR",fam_kaliteCeza,0))))</f>
        <v/>
      </c>
    </row>
    <row r="181">
      <c r="A181" s="15" t="n"/>
      <c r="B181" s="15" t="n"/>
      <c r="C181" s="15" t="n"/>
      <c r="D181" s="15" t="n"/>
      <c r="E181" s="16" t="n"/>
      <c r="F181" s="17" t="n"/>
      <c r="G181" s="17" t="n"/>
      <c r="H181" s="15" t="n"/>
      <c r="I181" s="18">
        <f>IF($A181="","",SUMIF(tblGunluk[VarlikId],$A181,tblGunluk[Km_km]))</f>
        <v/>
      </c>
      <c r="J181" s="18">
        <f>IF($A181="","",SUMIF(tblGunluk[VarlikId],$A181,tblGunluk[FormulToplamTl]))</f>
        <v/>
      </c>
      <c r="K181" s="18">
        <f>IF($A181="","",IFERROR(SUMIF(tblGunluk[VarlikId],$A181,tblGunluk[FormulToplamTl])/SUMIF(tblGunluk[VarlikId],$A181,tblGunluk[Km_km]),0))</f>
        <v/>
      </c>
      <c r="L181" s="18">
        <f>IF($A181="","",MAX(0,MIN(100,fam_kaliteTaban-IF($K181&gt;fam_esikKmBasi,fam_kaliteCeza,0)-COUNTIFS(tblGunluk[VarlikId],$A181,tblGunluk[AlarmBayrak],"ALARM")*fam_kaliteSapma-IF($H181="HAYIR",fam_kaliteCeza,0))))</f>
        <v/>
      </c>
    </row>
    <row r="182">
      <c r="A182" s="15" t="n"/>
      <c r="B182" s="15" t="n"/>
      <c r="C182" s="15" t="n"/>
      <c r="D182" s="15" t="n"/>
      <c r="E182" s="16" t="n"/>
      <c r="F182" s="17" t="n"/>
      <c r="G182" s="17" t="n"/>
      <c r="H182" s="15" t="n"/>
      <c r="I182" s="18">
        <f>IF($A182="","",SUMIF(tblGunluk[VarlikId],$A182,tblGunluk[Km_km]))</f>
        <v/>
      </c>
      <c r="J182" s="18">
        <f>IF($A182="","",SUMIF(tblGunluk[VarlikId],$A182,tblGunluk[FormulToplamTl]))</f>
        <v/>
      </c>
      <c r="K182" s="18">
        <f>IF($A182="","",IFERROR(SUMIF(tblGunluk[VarlikId],$A182,tblGunluk[FormulToplamTl])/SUMIF(tblGunluk[VarlikId],$A182,tblGunluk[Km_km]),0))</f>
        <v/>
      </c>
      <c r="L182" s="18">
        <f>IF($A182="","",MAX(0,MIN(100,fam_kaliteTaban-IF($K182&gt;fam_esikKmBasi,fam_kaliteCeza,0)-COUNTIFS(tblGunluk[VarlikId],$A182,tblGunluk[AlarmBayrak],"ALARM")*fam_kaliteSapma-IF($H182="HAYIR",fam_kaliteCeza,0))))</f>
        <v/>
      </c>
    </row>
    <row r="183">
      <c r="A183" s="15" t="n"/>
      <c r="B183" s="15" t="n"/>
      <c r="C183" s="15" t="n"/>
      <c r="D183" s="15" t="n"/>
      <c r="E183" s="16" t="n"/>
      <c r="F183" s="17" t="n"/>
      <c r="G183" s="17" t="n"/>
      <c r="H183" s="15" t="n"/>
      <c r="I183" s="18">
        <f>IF($A183="","",SUMIF(tblGunluk[VarlikId],$A183,tblGunluk[Km_km]))</f>
        <v/>
      </c>
      <c r="J183" s="18">
        <f>IF($A183="","",SUMIF(tblGunluk[VarlikId],$A183,tblGunluk[FormulToplamTl]))</f>
        <v/>
      </c>
      <c r="K183" s="18">
        <f>IF($A183="","",IFERROR(SUMIF(tblGunluk[VarlikId],$A183,tblGunluk[FormulToplamTl])/SUMIF(tblGunluk[VarlikId],$A183,tblGunluk[Km_km]),0))</f>
        <v/>
      </c>
      <c r="L183" s="18">
        <f>IF($A183="","",MAX(0,MIN(100,fam_kaliteTaban-IF($K183&gt;fam_esikKmBasi,fam_kaliteCeza,0)-COUNTIFS(tblGunluk[VarlikId],$A183,tblGunluk[AlarmBayrak],"ALARM")*fam_kaliteSapma-IF($H183="HAYIR",fam_kaliteCeza,0))))</f>
        <v/>
      </c>
    </row>
    <row r="184">
      <c r="A184" s="15" t="n"/>
      <c r="B184" s="15" t="n"/>
      <c r="C184" s="15" t="n"/>
      <c r="D184" s="15" t="n"/>
      <c r="E184" s="16" t="n"/>
      <c r="F184" s="17" t="n"/>
      <c r="G184" s="17" t="n"/>
      <c r="H184" s="15" t="n"/>
      <c r="I184" s="18">
        <f>IF($A184="","",SUMIF(tblGunluk[VarlikId],$A184,tblGunluk[Km_km]))</f>
        <v/>
      </c>
      <c r="J184" s="18">
        <f>IF($A184="","",SUMIF(tblGunluk[VarlikId],$A184,tblGunluk[FormulToplamTl]))</f>
        <v/>
      </c>
      <c r="K184" s="18">
        <f>IF($A184="","",IFERROR(SUMIF(tblGunluk[VarlikId],$A184,tblGunluk[FormulToplamTl])/SUMIF(tblGunluk[VarlikId],$A184,tblGunluk[Km_km]),0))</f>
        <v/>
      </c>
      <c r="L184" s="18">
        <f>IF($A184="","",MAX(0,MIN(100,fam_kaliteTaban-IF($K184&gt;fam_esikKmBasi,fam_kaliteCeza,0)-COUNTIFS(tblGunluk[VarlikId],$A184,tblGunluk[AlarmBayrak],"ALARM")*fam_kaliteSapma-IF($H184="HAYIR",fam_kaliteCeza,0))))</f>
        <v/>
      </c>
    </row>
    <row r="185">
      <c r="A185" s="15" t="n"/>
      <c r="B185" s="15" t="n"/>
      <c r="C185" s="15" t="n"/>
      <c r="D185" s="15" t="n"/>
      <c r="E185" s="16" t="n"/>
      <c r="F185" s="17" t="n"/>
      <c r="G185" s="17" t="n"/>
      <c r="H185" s="15" t="n"/>
      <c r="I185" s="18">
        <f>IF($A185="","",SUMIF(tblGunluk[VarlikId],$A185,tblGunluk[Km_km]))</f>
        <v/>
      </c>
      <c r="J185" s="18">
        <f>IF($A185="","",SUMIF(tblGunluk[VarlikId],$A185,tblGunluk[FormulToplamTl]))</f>
        <v/>
      </c>
      <c r="K185" s="18">
        <f>IF($A185="","",IFERROR(SUMIF(tblGunluk[VarlikId],$A185,tblGunluk[FormulToplamTl])/SUMIF(tblGunluk[VarlikId],$A185,tblGunluk[Km_km]),0))</f>
        <v/>
      </c>
      <c r="L185" s="18">
        <f>IF($A185="","",MAX(0,MIN(100,fam_kaliteTaban-IF($K185&gt;fam_esikKmBasi,fam_kaliteCeza,0)-COUNTIFS(tblGunluk[VarlikId],$A185,tblGunluk[AlarmBayrak],"ALARM")*fam_kaliteSapma-IF($H185="HAYIR",fam_kaliteCeza,0))))</f>
        <v/>
      </c>
    </row>
    <row r="186">
      <c r="A186" s="15" t="n"/>
      <c r="B186" s="15" t="n"/>
      <c r="C186" s="15" t="n"/>
      <c r="D186" s="15" t="n"/>
      <c r="E186" s="16" t="n"/>
      <c r="F186" s="17" t="n"/>
      <c r="G186" s="17" t="n"/>
      <c r="H186" s="15" t="n"/>
      <c r="I186" s="18">
        <f>IF($A186="","",SUMIF(tblGunluk[VarlikId],$A186,tblGunluk[Km_km]))</f>
        <v/>
      </c>
      <c r="J186" s="18">
        <f>IF($A186="","",SUMIF(tblGunluk[VarlikId],$A186,tblGunluk[FormulToplamTl]))</f>
        <v/>
      </c>
      <c r="K186" s="18">
        <f>IF($A186="","",IFERROR(SUMIF(tblGunluk[VarlikId],$A186,tblGunluk[FormulToplamTl])/SUMIF(tblGunluk[VarlikId],$A186,tblGunluk[Km_km]),0))</f>
        <v/>
      </c>
      <c r="L186" s="18">
        <f>IF($A186="","",MAX(0,MIN(100,fam_kaliteTaban-IF($K186&gt;fam_esikKmBasi,fam_kaliteCeza,0)-COUNTIFS(tblGunluk[VarlikId],$A186,tblGunluk[AlarmBayrak],"ALARM")*fam_kaliteSapma-IF($H186="HAYIR",fam_kaliteCeza,0))))</f>
        <v/>
      </c>
    </row>
    <row r="187">
      <c r="A187" s="15" t="n"/>
      <c r="B187" s="15" t="n"/>
      <c r="C187" s="15" t="n"/>
      <c r="D187" s="15" t="n"/>
      <c r="E187" s="16" t="n"/>
      <c r="F187" s="17" t="n"/>
      <c r="G187" s="17" t="n"/>
      <c r="H187" s="15" t="n"/>
      <c r="I187" s="18">
        <f>IF($A187="","",SUMIF(tblGunluk[VarlikId],$A187,tblGunluk[Km_km]))</f>
        <v/>
      </c>
      <c r="J187" s="18">
        <f>IF($A187="","",SUMIF(tblGunluk[VarlikId],$A187,tblGunluk[FormulToplamTl]))</f>
        <v/>
      </c>
      <c r="K187" s="18">
        <f>IF($A187="","",IFERROR(SUMIF(tblGunluk[VarlikId],$A187,tblGunluk[FormulToplamTl])/SUMIF(tblGunluk[VarlikId],$A187,tblGunluk[Km_km]),0))</f>
        <v/>
      </c>
      <c r="L187" s="18">
        <f>IF($A187="","",MAX(0,MIN(100,fam_kaliteTaban-IF($K187&gt;fam_esikKmBasi,fam_kaliteCeza,0)-COUNTIFS(tblGunluk[VarlikId],$A187,tblGunluk[AlarmBayrak],"ALARM")*fam_kaliteSapma-IF($H187="HAYIR",fam_kaliteCeza,0))))</f>
        <v/>
      </c>
    </row>
    <row r="188">
      <c r="A188" s="15" t="n"/>
      <c r="B188" s="15" t="n"/>
      <c r="C188" s="15" t="n"/>
      <c r="D188" s="15" t="n"/>
      <c r="E188" s="16" t="n"/>
      <c r="F188" s="17" t="n"/>
      <c r="G188" s="17" t="n"/>
      <c r="H188" s="15" t="n"/>
      <c r="I188" s="18">
        <f>IF($A188="","",SUMIF(tblGunluk[VarlikId],$A188,tblGunluk[Km_km]))</f>
        <v/>
      </c>
      <c r="J188" s="18">
        <f>IF($A188="","",SUMIF(tblGunluk[VarlikId],$A188,tblGunluk[FormulToplamTl]))</f>
        <v/>
      </c>
      <c r="K188" s="18">
        <f>IF($A188="","",IFERROR(SUMIF(tblGunluk[VarlikId],$A188,tblGunluk[FormulToplamTl])/SUMIF(tblGunluk[VarlikId],$A188,tblGunluk[Km_km]),0))</f>
        <v/>
      </c>
      <c r="L188" s="18">
        <f>IF($A188="","",MAX(0,MIN(100,fam_kaliteTaban-IF($K188&gt;fam_esikKmBasi,fam_kaliteCeza,0)-COUNTIFS(tblGunluk[VarlikId],$A188,tblGunluk[AlarmBayrak],"ALARM")*fam_kaliteSapma-IF($H188="HAYIR",fam_kaliteCeza,0))))</f>
        <v/>
      </c>
    </row>
    <row r="189">
      <c r="A189" s="15" t="n"/>
      <c r="B189" s="15" t="n"/>
      <c r="C189" s="15" t="n"/>
      <c r="D189" s="15" t="n"/>
      <c r="E189" s="16" t="n"/>
      <c r="F189" s="17" t="n"/>
      <c r="G189" s="17" t="n"/>
      <c r="H189" s="15" t="n"/>
      <c r="I189" s="18">
        <f>IF($A189="","",SUMIF(tblGunluk[VarlikId],$A189,tblGunluk[Km_km]))</f>
        <v/>
      </c>
      <c r="J189" s="18">
        <f>IF($A189="","",SUMIF(tblGunluk[VarlikId],$A189,tblGunluk[FormulToplamTl]))</f>
        <v/>
      </c>
      <c r="K189" s="18">
        <f>IF($A189="","",IFERROR(SUMIF(tblGunluk[VarlikId],$A189,tblGunluk[FormulToplamTl])/SUMIF(tblGunluk[VarlikId],$A189,tblGunluk[Km_km]),0))</f>
        <v/>
      </c>
      <c r="L189" s="18">
        <f>IF($A189="","",MAX(0,MIN(100,fam_kaliteTaban-IF($K189&gt;fam_esikKmBasi,fam_kaliteCeza,0)-COUNTIFS(tblGunluk[VarlikId],$A189,tblGunluk[AlarmBayrak],"ALARM")*fam_kaliteSapma-IF($H189="HAYIR",fam_kaliteCeza,0))))</f>
        <v/>
      </c>
    </row>
    <row r="190">
      <c r="A190" s="15" t="n"/>
      <c r="B190" s="15" t="n"/>
      <c r="C190" s="15" t="n"/>
      <c r="D190" s="15" t="n"/>
      <c r="E190" s="16" t="n"/>
      <c r="F190" s="17" t="n"/>
      <c r="G190" s="17" t="n"/>
      <c r="H190" s="15" t="n"/>
      <c r="I190" s="18">
        <f>IF($A190="","",SUMIF(tblGunluk[VarlikId],$A190,tblGunluk[Km_km]))</f>
        <v/>
      </c>
      <c r="J190" s="18">
        <f>IF($A190="","",SUMIF(tblGunluk[VarlikId],$A190,tblGunluk[FormulToplamTl]))</f>
        <v/>
      </c>
      <c r="K190" s="18">
        <f>IF($A190="","",IFERROR(SUMIF(tblGunluk[VarlikId],$A190,tblGunluk[FormulToplamTl])/SUMIF(tblGunluk[VarlikId],$A190,tblGunluk[Km_km]),0))</f>
        <v/>
      </c>
      <c r="L190" s="18">
        <f>IF($A190="","",MAX(0,MIN(100,fam_kaliteTaban-IF($K190&gt;fam_esikKmBasi,fam_kaliteCeza,0)-COUNTIFS(tblGunluk[VarlikId],$A190,tblGunluk[AlarmBayrak],"ALARM")*fam_kaliteSapma-IF($H190="HAYIR",fam_kaliteCeza,0))))</f>
        <v/>
      </c>
    </row>
    <row r="191">
      <c r="A191" s="15" t="n"/>
      <c r="B191" s="15" t="n"/>
      <c r="C191" s="15" t="n"/>
      <c r="D191" s="15" t="n"/>
      <c r="E191" s="16" t="n"/>
      <c r="F191" s="17" t="n"/>
      <c r="G191" s="17" t="n"/>
      <c r="H191" s="15" t="n"/>
      <c r="I191" s="18">
        <f>IF($A191="","",SUMIF(tblGunluk[VarlikId],$A191,tblGunluk[Km_km]))</f>
        <v/>
      </c>
      <c r="J191" s="18">
        <f>IF($A191="","",SUMIF(tblGunluk[VarlikId],$A191,tblGunluk[FormulToplamTl]))</f>
        <v/>
      </c>
      <c r="K191" s="18">
        <f>IF($A191="","",IFERROR(SUMIF(tblGunluk[VarlikId],$A191,tblGunluk[FormulToplamTl])/SUMIF(tblGunluk[VarlikId],$A191,tblGunluk[Km_km]),0))</f>
        <v/>
      </c>
      <c r="L191" s="18">
        <f>IF($A191="","",MAX(0,MIN(100,fam_kaliteTaban-IF($K191&gt;fam_esikKmBasi,fam_kaliteCeza,0)-COUNTIFS(tblGunluk[VarlikId],$A191,tblGunluk[AlarmBayrak],"ALARM")*fam_kaliteSapma-IF($H191="HAYIR",fam_kaliteCeza,0))))</f>
        <v/>
      </c>
    </row>
    <row r="192">
      <c r="A192" s="15" t="n"/>
      <c r="B192" s="15" t="n"/>
      <c r="C192" s="15" t="n"/>
      <c r="D192" s="15" t="n"/>
      <c r="E192" s="16" t="n"/>
      <c r="F192" s="17" t="n"/>
      <c r="G192" s="17" t="n"/>
      <c r="H192" s="15" t="n"/>
      <c r="I192" s="18">
        <f>IF($A192="","",SUMIF(tblGunluk[VarlikId],$A192,tblGunluk[Km_km]))</f>
        <v/>
      </c>
      <c r="J192" s="18">
        <f>IF($A192="","",SUMIF(tblGunluk[VarlikId],$A192,tblGunluk[FormulToplamTl]))</f>
        <v/>
      </c>
      <c r="K192" s="18">
        <f>IF($A192="","",IFERROR(SUMIF(tblGunluk[VarlikId],$A192,tblGunluk[FormulToplamTl])/SUMIF(tblGunluk[VarlikId],$A192,tblGunluk[Km_km]),0))</f>
        <v/>
      </c>
      <c r="L192" s="18">
        <f>IF($A192="","",MAX(0,MIN(100,fam_kaliteTaban-IF($K192&gt;fam_esikKmBasi,fam_kaliteCeza,0)-COUNTIFS(tblGunluk[VarlikId],$A192,tblGunluk[AlarmBayrak],"ALARM")*fam_kaliteSapma-IF($H192="HAYIR",fam_kaliteCeza,0))))</f>
        <v/>
      </c>
    </row>
    <row r="193">
      <c r="A193" s="15" t="n"/>
      <c r="B193" s="15" t="n"/>
      <c r="C193" s="15" t="n"/>
      <c r="D193" s="15" t="n"/>
      <c r="E193" s="16" t="n"/>
      <c r="F193" s="17" t="n"/>
      <c r="G193" s="17" t="n"/>
      <c r="H193" s="15" t="n"/>
      <c r="I193" s="18">
        <f>IF($A193="","",SUMIF(tblGunluk[VarlikId],$A193,tblGunluk[Km_km]))</f>
        <v/>
      </c>
      <c r="J193" s="18">
        <f>IF($A193="","",SUMIF(tblGunluk[VarlikId],$A193,tblGunluk[FormulToplamTl]))</f>
        <v/>
      </c>
      <c r="K193" s="18">
        <f>IF($A193="","",IFERROR(SUMIF(tblGunluk[VarlikId],$A193,tblGunluk[FormulToplamTl])/SUMIF(tblGunluk[VarlikId],$A193,tblGunluk[Km_km]),0))</f>
        <v/>
      </c>
      <c r="L193" s="18">
        <f>IF($A193="","",MAX(0,MIN(100,fam_kaliteTaban-IF($K193&gt;fam_esikKmBasi,fam_kaliteCeza,0)-COUNTIFS(tblGunluk[VarlikId],$A193,tblGunluk[AlarmBayrak],"ALARM")*fam_kaliteSapma-IF($H193="HAYIR",fam_kaliteCeza,0))))</f>
        <v/>
      </c>
    </row>
    <row r="194">
      <c r="A194" s="15" t="n"/>
      <c r="B194" s="15" t="n"/>
      <c r="C194" s="15" t="n"/>
      <c r="D194" s="15" t="n"/>
      <c r="E194" s="16" t="n"/>
      <c r="F194" s="17" t="n"/>
      <c r="G194" s="17" t="n"/>
      <c r="H194" s="15" t="n"/>
      <c r="I194" s="18">
        <f>IF($A194="","",SUMIF(tblGunluk[VarlikId],$A194,tblGunluk[Km_km]))</f>
        <v/>
      </c>
      <c r="J194" s="18">
        <f>IF($A194="","",SUMIF(tblGunluk[VarlikId],$A194,tblGunluk[FormulToplamTl]))</f>
        <v/>
      </c>
      <c r="K194" s="18">
        <f>IF($A194="","",IFERROR(SUMIF(tblGunluk[VarlikId],$A194,tblGunluk[FormulToplamTl])/SUMIF(tblGunluk[VarlikId],$A194,tblGunluk[Km_km]),0))</f>
        <v/>
      </c>
      <c r="L194" s="18">
        <f>IF($A194="","",MAX(0,MIN(100,fam_kaliteTaban-IF($K194&gt;fam_esikKmBasi,fam_kaliteCeza,0)-COUNTIFS(tblGunluk[VarlikId],$A194,tblGunluk[AlarmBayrak],"ALARM")*fam_kaliteSapma-IF($H194="HAYIR",fam_kaliteCeza,0))))</f>
        <v/>
      </c>
    </row>
    <row r="195">
      <c r="A195" s="15" t="n"/>
      <c r="B195" s="15" t="n"/>
      <c r="C195" s="15" t="n"/>
      <c r="D195" s="15" t="n"/>
      <c r="E195" s="16" t="n"/>
      <c r="F195" s="17" t="n"/>
      <c r="G195" s="17" t="n"/>
      <c r="H195" s="15" t="n"/>
      <c r="I195" s="18">
        <f>IF($A195="","",SUMIF(tblGunluk[VarlikId],$A195,tblGunluk[Km_km]))</f>
        <v/>
      </c>
      <c r="J195" s="18">
        <f>IF($A195="","",SUMIF(tblGunluk[VarlikId],$A195,tblGunluk[FormulToplamTl]))</f>
        <v/>
      </c>
      <c r="K195" s="18">
        <f>IF($A195="","",IFERROR(SUMIF(tblGunluk[VarlikId],$A195,tblGunluk[FormulToplamTl])/SUMIF(tblGunluk[VarlikId],$A195,tblGunluk[Km_km]),0))</f>
        <v/>
      </c>
      <c r="L195" s="18">
        <f>IF($A195="","",MAX(0,MIN(100,fam_kaliteTaban-IF($K195&gt;fam_esikKmBasi,fam_kaliteCeza,0)-COUNTIFS(tblGunluk[VarlikId],$A195,tblGunluk[AlarmBayrak],"ALARM")*fam_kaliteSapma-IF($H195="HAYIR",fam_kaliteCeza,0))))</f>
        <v/>
      </c>
    </row>
    <row r="196">
      <c r="A196" s="15" t="n"/>
      <c r="B196" s="15" t="n"/>
      <c r="C196" s="15" t="n"/>
      <c r="D196" s="15" t="n"/>
      <c r="E196" s="16" t="n"/>
      <c r="F196" s="17" t="n"/>
      <c r="G196" s="17" t="n"/>
      <c r="H196" s="15" t="n"/>
      <c r="I196" s="18">
        <f>IF($A196="","",SUMIF(tblGunluk[VarlikId],$A196,tblGunluk[Km_km]))</f>
        <v/>
      </c>
      <c r="J196" s="18">
        <f>IF($A196="","",SUMIF(tblGunluk[VarlikId],$A196,tblGunluk[FormulToplamTl]))</f>
        <v/>
      </c>
      <c r="K196" s="18">
        <f>IF($A196="","",IFERROR(SUMIF(tblGunluk[VarlikId],$A196,tblGunluk[FormulToplamTl])/SUMIF(tblGunluk[VarlikId],$A196,tblGunluk[Km_km]),0))</f>
        <v/>
      </c>
      <c r="L196" s="18">
        <f>IF($A196="","",MAX(0,MIN(100,fam_kaliteTaban-IF($K196&gt;fam_esikKmBasi,fam_kaliteCeza,0)-COUNTIFS(tblGunluk[VarlikId],$A196,tblGunluk[AlarmBayrak],"ALARM")*fam_kaliteSapma-IF($H196="HAYIR",fam_kaliteCeza,0))))</f>
        <v/>
      </c>
    </row>
    <row r="197">
      <c r="A197" s="15" t="n"/>
      <c r="B197" s="15" t="n"/>
      <c r="C197" s="15" t="n"/>
      <c r="D197" s="15" t="n"/>
      <c r="E197" s="16" t="n"/>
      <c r="F197" s="17" t="n"/>
      <c r="G197" s="17" t="n"/>
      <c r="H197" s="15" t="n"/>
      <c r="I197" s="18">
        <f>IF($A197="","",SUMIF(tblGunluk[VarlikId],$A197,tblGunluk[Km_km]))</f>
        <v/>
      </c>
      <c r="J197" s="18">
        <f>IF($A197="","",SUMIF(tblGunluk[VarlikId],$A197,tblGunluk[FormulToplamTl]))</f>
        <v/>
      </c>
      <c r="K197" s="18">
        <f>IF($A197="","",IFERROR(SUMIF(tblGunluk[VarlikId],$A197,tblGunluk[FormulToplamTl])/SUMIF(tblGunluk[VarlikId],$A197,tblGunluk[Km_km]),0))</f>
        <v/>
      </c>
      <c r="L197" s="18">
        <f>IF($A197="","",MAX(0,MIN(100,fam_kaliteTaban-IF($K197&gt;fam_esikKmBasi,fam_kaliteCeza,0)-COUNTIFS(tblGunluk[VarlikId],$A197,tblGunluk[AlarmBayrak],"ALARM")*fam_kaliteSapma-IF($H197="HAYIR",fam_kaliteCeza,0))))</f>
        <v/>
      </c>
    </row>
    <row r="198">
      <c r="A198" s="15" t="n"/>
      <c r="B198" s="15" t="n"/>
      <c r="C198" s="15" t="n"/>
      <c r="D198" s="15" t="n"/>
      <c r="E198" s="16" t="n"/>
      <c r="F198" s="17" t="n"/>
      <c r="G198" s="17" t="n"/>
      <c r="H198" s="15" t="n"/>
      <c r="I198" s="18">
        <f>IF($A198="","",SUMIF(tblGunluk[VarlikId],$A198,tblGunluk[Km_km]))</f>
        <v/>
      </c>
      <c r="J198" s="18">
        <f>IF($A198="","",SUMIF(tblGunluk[VarlikId],$A198,tblGunluk[FormulToplamTl]))</f>
        <v/>
      </c>
      <c r="K198" s="18">
        <f>IF($A198="","",IFERROR(SUMIF(tblGunluk[VarlikId],$A198,tblGunluk[FormulToplamTl])/SUMIF(tblGunluk[VarlikId],$A198,tblGunluk[Km_km]),0))</f>
        <v/>
      </c>
      <c r="L198" s="18">
        <f>IF($A198="","",MAX(0,MIN(100,fam_kaliteTaban-IF($K198&gt;fam_esikKmBasi,fam_kaliteCeza,0)-COUNTIFS(tblGunluk[VarlikId],$A198,tblGunluk[AlarmBayrak],"ALARM")*fam_kaliteSapma-IF($H198="HAYIR",fam_kaliteCeza,0))))</f>
        <v/>
      </c>
    </row>
    <row r="199">
      <c r="A199" s="15" t="n"/>
      <c r="B199" s="15" t="n"/>
      <c r="C199" s="15" t="n"/>
      <c r="D199" s="15" t="n"/>
      <c r="E199" s="16" t="n"/>
      <c r="F199" s="17" t="n"/>
      <c r="G199" s="17" t="n"/>
      <c r="H199" s="15" t="n"/>
      <c r="I199" s="18">
        <f>IF($A199="","",SUMIF(tblGunluk[VarlikId],$A199,tblGunluk[Km_km]))</f>
        <v/>
      </c>
      <c r="J199" s="18">
        <f>IF($A199="","",SUMIF(tblGunluk[VarlikId],$A199,tblGunluk[FormulToplamTl]))</f>
        <v/>
      </c>
      <c r="K199" s="18">
        <f>IF($A199="","",IFERROR(SUMIF(tblGunluk[VarlikId],$A199,tblGunluk[FormulToplamTl])/SUMIF(tblGunluk[VarlikId],$A199,tblGunluk[Km_km]),0))</f>
        <v/>
      </c>
      <c r="L199" s="18">
        <f>IF($A199="","",MAX(0,MIN(100,fam_kaliteTaban-IF($K199&gt;fam_esikKmBasi,fam_kaliteCeza,0)-COUNTIFS(tblGunluk[VarlikId],$A199,tblGunluk[AlarmBayrak],"ALARM")*fam_kaliteSapma-IF($H199="HAYIR",fam_kaliteCeza,0))))</f>
        <v/>
      </c>
    </row>
    <row r="200">
      <c r="A200" s="15" t="n"/>
      <c r="B200" s="15" t="n"/>
      <c r="C200" s="15" t="n"/>
      <c r="D200" s="15" t="n"/>
      <c r="E200" s="16" t="n"/>
      <c r="F200" s="17" t="n"/>
      <c r="G200" s="17" t="n"/>
      <c r="H200" s="15" t="n"/>
      <c r="I200" s="18">
        <f>IF($A200="","",SUMIF(tblGunluk[VarlikId],$A200,tblGunluk[Km_km]))</f>
        <v/>
      </c>
      <c r="J200" s="18">
        <f>IF($A200="","",SUMIF(tblGunluk[VarlikId],$A200,tblGunluk[FormulToplamTl]))</f>
        <v/>
      </c>
      <c r="K200" s="18">
        <f>IF($A200="","",IFERROR(SUMIF(tblGunluk[VarlikId],$A200,tblGunluk[FormulToplamTl])/SUMIF(tblGunluk[VarlikId],$A200,tblGunluk[Km_km]),0))</f>
        <v/>
      </c>
      <c r="L200" s="18">
        <f>IF($A200="","",MAX(0,MIN(100,fam_kaliteTaban-IF($K200&gt;fam_esikKmBasi,fam_kaliteCeza,0)-COUNTIFS(tblGunluk[VarlikId],$A200,tblGunluk[AlarmBayrak],"ALARM")*fam_kaliteSapma-IF($H200="HAYIR",fam_kaliteCeza,0))))</f>
        <v/>
      </c>
    </row>
    <row r="201">
      <c r="A201" s="15" t="n"/>
      <c r="B201" s="15" t="n"/>
      <c r="C201" s="15" t="n"/>
      <c r="D201" s="15" t="n"/>
      <c r="E201" s="16" t="n"/>
      <c r="F201" s="17" t="n"/>
      <c r="G201" s="17" t="n"/>
      <c r="H201" s="15" t="n"/>
      <c r="I201" s="18">
        <f>IF($A201="","",SUMIF(tblGunluk[VarlikId],$A201,tblGunluk[Km_km]))</f>
        <v/>
      </c>
      <c r="J201" s="18">
        <f>IF($A201="","",SUMIF(tblGunluk[VarlikId],$A201,tblGunluk[FormulToplamTl]))</f>
        <v/>
      </c>
      <c r="K201" s="18">
        <f>IF($A201="","",IFERROR(SUMIF(tblGunluk[VarlikId],$A201,tblGunluk[FormulToplamTl])/SUMIF(tblGunluk[VarlikId],$A201,tblGunluk[Km_km]),0))</f>
        <v/>
      </c>
      <c r="L201" s="18">
        <f>IF($A201="","",MAX(0,MIN(100,fam_kaliteTaban-IF($K201&gt;fam_esikKmBasi,fam_kaliteCeza,0)-COUNTIFS(tblGunluk[VarlikId],$A201,tblGunluk[AlarmBayrak],"ALARM")*fam_kaliteSapma-IF($H201="HAYIR",fam_kaliteCeza,0))))</f>
        <v/>
      </c>
    </row>
    <row r="202">
      <c r="A202" s="15" t="n"/>
      <c r="B202" s="15" t="n"/>
      <c r="C202" s="15" t="n"/>
      <c r="D202" s="15" t="n"/>
      <c r="E202" s="16" t="n"/>
      <c r="F202" s="17" t="n"/>
      <c r="G202" s="17" t="n"/>
      <c r="H202" s="15" t="n"/>
      <c r="I202" s="18">
        <f>IF($A202="","",SUMIF(tblGunluk[VarlikId],$A202,tblGunluk[Km_km]))</f>
        <v/>
      </c>
      <c r="J202" s="18">
        <f>IF($A202="","",SUMIF(tblGunluk[VarlikId],$A202,tblGunluk[FormulToplamTl]))</f>
        <v/>
      </c>
      <c r="K202" s="18">
        <f>IF($A202="","",IFERROR(SUMIF(tblGunluk[VarlikId],$A202,tblGunluk[FormulToplamTl])/SUMIF(tblGunluk[VarlikId],$A202,tblGunluk[Km_km]),0))</f>
        <v/>
      </c>
      <c r="L202" s="18">
        <f>IF($A202="","",MAX(0,MIN(100,fam_kaliteTaban-IF($K202&gt;fam_esikKmBasi,fam_kaliteCeza,0)-COUNTIFS(tblGunluk[VarlikId],$A202,tblGunluk[AlarmBayrak],"ALARM")*fam_kaliteSapma-IF($H202="HAYIR",fam_kaliteCeza,0))))</f>
        <v/>
      </c>
    </row>
    <row r="203">
      <c r="A203" s="15" t="n"/>
      <c r="B203" s="15" t="n"/>
      <c r="C203" s="15" t="n"/>
      <c r="D203" s="15" t="n"/>
      <c r="E203" s="16" t="n"/>
      <c r="F203" s="17" t="n"/>
      <c r="G203" s="17" t="n"/>
      <c r="H203" s="15" t="n"/>
      <c r="I203" s="18">
        <f>IF($A203="","",SUMIF(tblGunluk[VarlikId],$A203,tblGunluk[Km_km]))</f>
        <v/>
      </c>
      <c r="J203" s="18">
        <f>IF($A203="","",SUMIF(tblGunluk[VarlikId],$A203,tblGunluk[FormulToplamTl]))</f>
        <v/>
      </c>
      <c r="K203" s="18">
        <f>IF($A203="","",IFERROR(SUMIF(tblGunluk[VarlikId],$A203,tblGunluk[FormulToplamTl])/SUMIF(tblGunluk[VarlikId],$A203,tblGunluk[Km_km]),0))</f>
        <v/>
      </c>
      <c r="L203" s="18">
        <f>IF($A203="","",MAX(0,MIN(100,fam_kaliteTaban-IF($K203&gt;fam_esikKmBasi,fam_kaliteCeza,0)-COUNTIFS(tblGunluk[VarlikId],$A203,tblGunluk[AlarmBayrak],"ALARM")*fam_kaliteSapma-IF($H203="HAYIR",fam_kaliteCeza,0))))</f>
        <v/>
      </c>
    </row>
    <row r="204">
      <c r="A204" s="15" t="n"/>
      <c r="B204" s="15" t="n"/>
      <c r="C204" s="15" t="n"/>
      <c r="D204" s="15" t="n"/>
      <c r="E204" s="16" t="n"/>
      <c r="F204" s="17" t="n"/>
      <c r="G204" s="17" t="n"/>
      <c r="H204" s="15" t="n"/>
      <c r="I204" s="18">
        <f>IF($A204="","",SUMIF(tblGunluk[VarlikId],$A204,tblGunluk[Km_km]))</f>
        <v/>
      </c>
      <c r="J204" s="18">
        <f>IF($A204="","",SUMIF(tblGunluk[VarlikId],$A204,tblGunluk[FormulToplamTl]))</f>
        <v/>
      </c>
      <c r="K204" s="18">
        <f>IF($A204="","",IFERROR(SUMIF(tblGunluk[VarlikId],$A204,tblGunluk[FormulToplamTl])/SUMIF(tblGunluk[VarlikId],$A204,tblGunluk[Km_km]),0))</f>
        <v/>
      </c>
      <c r="L204" s="18">
        <f>IF($A204="","",MAX(0,MIN(100,fam_kaliteTaban-IF($K204&gt;fam_esikKmBasi,fam_kaliteCeza,0)-COUNTIFS(tblGunluk[VarlikId],$A204,tblGunluk[AlarmBayrak],"ALARM")*fam_kaliteSapma-IF($H204="HAYIR",fam_kaliteCeza,0))))</f>
        <v/>
      </c>
    </row>
    <row r="205">
      <c r="A205" s="15" t="n"/>
      <c r="B205" s="15" t="n"/>
      <c r="C205" s="15" t="n"/>
      <c r="D205" s="15" t="n"/>
      <c r="E205" s="16" t="n"/>
      <c r="F205" s="17" t="n"/>
      <c r="G205" s="17" t="n"/>
      <c r="H205" s="15" t="n"/>
      <c r="I205" s="18">
        <f>IF($A205="","",SUMIF(tblGunluk[VarlikId],$A205,tblGunluk[Km_km]))</f>
        <v/>
      </c>
      <c r="J205" s="18">
        <f>IF($A205="","",SUMIF(tblGunluk[VarlikId],$A205,tblGunluk[FormulToplamTl]))</f>
        <v/>
      </c>
      <c r="K205" s="18">
        <f>IF($A205="","",IFERROR(SUMIF(tblGunluk[VarlikId],$A205,tblGunluk[FormulToplamTl])/SUMIF(tblGunluk[VarlikId],$A205,tblGunluk[Km_km]),0))</f>
        <v/>
      </c>
      <c r="L205" s="18">
        <f>IF($A205="","",MAX(0,MIN(100,fam_kaliteTaban-IF($K205&gt;fam_esikKmBasi,fam_kaliteCeza,0)-COUNTIFS(tblGunluk[VarlikId],$A205,tblGunluk[AlarmBayrak],"ALARM")*fam_kaliteSapma-IF($H205="HAYIR",fam_kaliteCeza,0))))</f>
        <v/>
      </c>
    </row>
    <row r="206">
      <c r="A206" s="15" t="n"/>
      <c r="B206" s="15" t="n"/>
      <c r="C206" s="15" t="n"/>
      <c r="D206" s="15" t="n"/>
      <c r="E206" s="16" t="n"/>
      <c r="F206" s="17" t="n"/>
      <c r="G206" s="17" t="n"/>
      <c r="H206" s="15" t="n"/>
      <c r="I206" s="18">
        <f>IF($A206="","",SUMIF(tblGunluk[VarlikId],$A206,tblGunluk[Km_km]))</f>
        <v/>
      </c>
      <c r="J206" s="18">
        <f>IF($A206="","",SUMIF(tblGunluk[VarlikId],$A206,tblGunluk[FormulToplamTl]))</f>
        <v/>
      </c>
      <c r="K206" s="18">
        <f>IF($A206="","",IFERROR(SUMIF(tblGunluk[VarlikId],$A206,tblGunluk[FormulToplamTl])/SUMIF(tblGunluk[VarlikId],$A206,tblGunluk[Km_km]),0))</f>
        <v/>
      </c>
      <c r="L206" s="18">
        <f>IF($A206="","",MAX(0,MIN(100,fam_kaliteTaban-IF($K206&gt;fam_esikKmBasi,fam_kaliteCeza,0)-COUNTIFS(tblGunluk[VarlikId],$A206,tblGunluk[AlarmBayrak],"ALARM")*fam_kaliteSapma-IF($H206="HAYIR",fam_kaliteCeza,0))))</f>
        <v/>
      </c>
    </row>
    <row r="207">
      <c r="A207" s="15" t="n"/>
      <c r="B207" s="15" t="n"/>
      <c r="C207" s="15" t="n"/>
      <c r="D207" s="15" t="n"/>
      <c r="E207" s="16" t="n"/>
      <c r="F207" s="17" t="n"/>
      <c r="G207" s="17" t="n"/>
      <c r="H207" s="15" t="n"/>
      <c r="I207" s="18">
        <f>IF($A207="","",SUMIF(tblGunluk[VarlikId],$A207,tblGunluk[Km_km]))</f>
        <v/>
      </c>
      <c r="J207" s="18">
        <f>IF($A207="","",SUMIF(tblGunluk[VarlikId],$A207,tblGunluk[FormulToplamTl]))</f>
        <v/>
      </c>
      <c r="K207" s="18">
        <f>IF($A207="","",IFERROR(SUMIF(tblGunluk[VarlikId],$A207,tblGunluk[FormulToplamTl])/SUMIF(tblGunluk[VarlikId],$A207,tblGunluk[Km_km]),0))</f>
        <v/>
      </c>
      <c r="L207" s="18">
        <f>IF($A207="","",MAX(0,MIN(100,fam_kaliteTaban-IF($K207&gt;fam_esikKmBasi,fam_kaliteCeza,0)-COUNTIFS(tblGunluk[VarlikId],$A207,tblGunluk[AlarmBayrak],"ALARM")*fam_kaliteSapma-IF($H207="HAYIR",fam_kaliteCeza,0))))</f>
        <v/>
      </c>
    </row>
    <row r="208">
      <c r="A208" s="15" t="n"/>
      <c r="B208" s="15" t="n"/>
      <c r="C208" s="15" t="n"/>
      <c r="D208" s="15" t="n"/>
      <c r="E208" s="16" t="n"/>
      <c r="F208" s="17" t="n"/>
      <c r="G208" s="17" t="n"/>
      <c r="H208" s="15" t="n"/>
      <c r="I208" s="18">
        <f>IF($A208="","",SUMIF(tblGunluk[VarlikId],$A208,tblGunluk[Km_km]))</f>
        <v/>
      </c>
      <c r="J208" s="18">
        <f>IF($A208="","",SUMIF(tblGunluk[VarlikId],$A208,tblGunluk[FormulToplamTl]))</f>
        <v/>
      </c>
      <c r="K208" s="18">
        <f>IF($A208="","",IFERROR(SUMIF(tblGunluk[VarlikId],$A208,tblGunluk[FormulToplamTl])/SUMIF(tblGunluk[VarlikId],$A208,tblGunluk[Km_km]),0))</f>
        <v/>
      </c>
      <c r="L208" s="18">
        <f>IF($A208="","",MAX(0,MIN(100,fam_kaliteTaban-IF($K208&gt;fam_esikKmBasi,fam_kaliteCeza,0)-COUNTIFS(tblGunluk[VarlikId],$A208,tblGunluk[AlarmBayrak],"ALARM")*fam_kaliteSapma-IF($H208="HAYIR",fam_kaliteCeza,0))))</f>
        <v/>
      </c>
    </row>
    <row r="209">
      <c r="A209" s="15" t="n"/>
      <c r="B209" s="15" t="n"/>
      <c r="C209" s="15" t="n"/>
      <c r="D209" s="15" t="n"/>
      <c r="E209" s="16" t="n"/>
      <c r="F209" s="17" t="n"/>
      <c r="G209" s="17" t="n"/>
      <c r="H209" s="15" t="n"/>
      <c r="I209" s="18">
        <f>IF($A209="","",SUMIF(tblGunluk[VarlikId],$A209,tblGunluk[Km_km]))</f>
        <v/>
      </c>
      <c r="J209" s="18">
        <f>IF($A209="","",SUMIF(tblGunluk[VarlikId],$A209,tblGunluk[FormulToplamTl]))</f>
        <v/>
      </c>
      <c r="K209" s="18">
        <f>IF($A209="","",IFERROR(SUMIF(tblGunluk[VarlikId],$A209,tblGunluk[FormulToplamTl])/SUMIF(tblGunluk[VarlikId],$A209,tblGunluk[Km_km]),0))</f>
        <v/>
      </c>
      <c r="L209" s="18">
        <f>IF($A209="","",MAX(0,MIN(100,fam_kaliteTaban-IF($K209&gt;fam_esikKmBasi,fam_kaliteCeza,0)-COUNTIFS(tblGunluk[VarlikId],$A209,tblGunluk[AlarmBayrak],"ALARM")*fam_kaliteSapma-IF($H209="HAYIR",fam_kaliteCeza,0))))</f>
        <v/>
      </c>
    </row>
    <row r="210">
      <c r="A210" s="15" t="n"/>
      <c r="B210" s="15" t="n"/>
      <c r="C210" s="15" t="n"/>
      <c r="D210" s="15" t="n"/>
      <c r="E210" s="16" t="n"/>
      <c r="F210" s="17" t="n"/>
      <c r="G210" s="17" t="n"/>
      <c r="H210" s="15" t="n"/>
      <c r="I210" s="18">
        <f>IF($A210="","",SUMIF(tblGunluk[VarlikId],$A210,tblGunluk[Km_km]))</f>
        <v/>
      </c>
      <c r="J210" s="18">
        <f>IF($A210="","",SUMIF(tblGunluk[VarlikId],$A210,tblGunluk[FormulToplamTl]))</f>
        <v/>
      </c>
      <c r="K210" s="18">
        <f>IF($A210="","",IFERROR(SUMIF(tblGunluk[VarlikId],$A210,tblGunluk[FormulToplamTl])/SUMIF(tblGunluk[VarlikId],$A210,tblGunluk[Km_km]),0))</f>
        <v/>
      </c>
      <c r="L210" s="18">
        <f>IF($A210="","",MAX(0,MIN(100,fam_kaliteTaban-IF($K210&gt;fam_esikKmBasi,fam_kaliteCeza,0)-COUNTIFS(tblGunluk[VarlikId],$A210,tblGunluk[AlarmBayrak],"ALARM")*fam_kaliteSapma-IF($H210="HAYIR",fam_kaliteCeza,0))))</f>
        <v/>
      </c>
    </row>
    <row r="211">
      <c r="A211" s="15" t="n"/>
      <c r="B211" s="15" t="n"/>
      <c r="C211" s="15" t="n"/>
      <c r="D211" s="15" t="n"/>
      <c r="E211" s="16" t="n"/>
      <c r="F211" s="17" t="n"/>
      <c r="G211" s="17" t="n"/>
      <c r="H211" s="15" t="n"/>
      <c r="I211" s="18">
        <f>IF($A211="","",SUMIF(tblGunluk[VarlikId],$A211,tblGunluk[Km_km]))</f>
        <v/>
      </c>
      <c r="J211" s="18">
        <f>IF($A211="","",SUMIF(tblGunluk[VarlikId],$A211,tblGunluk[FormulToplamTl]))</f>
        <v/>
      </c>
      <c r="K211" s="18">
        <f>IF($A211="","",IFERROR(SUMIF(tblGunluk[VarlikId],$A211,tblGunluk[FormulToplamTl])/SUMIF(tblGunluk[VarlikId],$A211,tblGunluk[Km_km]),0))</f>
        <v/>
      </c>
      <c r="L211" s="18">
        <f>IF($A211="","",MAX(0,MIN(100,fam_kaliteTaban-IF($K211&gt;fam_esikKmBasi,fam_kaliteCeza,0)-COUNTIFS(tblGunluk[VarlikId],$A211,tblGunluk[AlarmBayrak],"ALARM")*fam_kaliteSapma-IF($H211="HAYIR",fam_kaliteCeza,0))))</f>
        <v/>
      </c>
    </row>
    <row r="212">
      <c r="A212" s="15" t="n"/>
      <c r="B212" s="15" t="n"/>
      <c r="C212" s="15" t="n"/>
      <c r="D212" s="15" t="n"/>
      <c r="E212" s="16" t="n"/>
      <c r="F212" s="17" t="n"/>
      <c r="G212" s="17" t="n"/>
      <c r="H212" s="15" t="n"/>
      <c r="I212" s="18">
        <f>IF($A212="","",SUMIF(tblGunluk[VarlikId],$A212,tblGunluk[Km_km]))</f>
        <v/>
      </c>
      <c r="J212" s="18">
        <f>IF($A212="","",SUMIF(tblGunluk[VarlikId],$A212,tblGunluk[FormulToplamTl]))</f>
        <v/>
      </c>
      <c r="K212" s="18">
        <f>IF($A212="","",IFERROR(SUMIF(tblGunluk[VarlikId],$A212,tblGunluk[FormulToplamTl])/SUMIF(tblGunluk[VarlikId],$A212,tblGunluk[Km_km]),0))</f>
        <v/>
      </c>
      <c r="L212" s="18">
        <f>IF($A212="","",MAX(0,MIN(100,fam_kaliteTaban-IF($K212&gt;fam_esikKmBasi,fam_kaliteCeza,0)-COUNTIFS(tblGunluk[VarlikId],$A212,tblGunluk[AlarmBayrak],"ALARM")*fam_kaliteSapma-IF($H212="HAYIR",fam_kaliteCeza,0))))</f>
        <v/>
      </c>
    </row>
    <row r="213">
      <c r="A213" s="15" t="n"/>
      <c r="B213" s="15" t="n"/>
      <c r="C213" s="15" t="n"/>
      <c r="D213" s="15" t="n"/>
      <c r="E213" s="16" t="n"/>
      <c r="F213" s="17" t="n"/>
      <c r="G213" s="17" t="n"/>
      <c r="H213" s="15" t="n"/>
      <c r="I213" s="18">
        <f>IF($A213="","",SUMIF(tblGunluk[VarlikId],$A213,tblGunluk[Km_km]))</f>
        <v/>
      </c>
      <c r="J213" s="18">
        <f>IF($A213="","",SUMIF(tblGunluk[VarlikId],$A213,tblGunluk[FormulToplamTl]))</f>
        <v/>
      </c>
      <c r="K213" s="18">
        <f>IF($A213="","",IFERROR(SUMIF(tblGunluk[VarlikId],$A213,tblGunluk[FormulToplamTl])/SUMIF(tblGunluk[VarlikId],$A213,tblGunluk[Km_km]),0))</f>
        <v/>
      </c>
      <c r="L213" s="18">
        <f>IF($A213="","",MAX(0,MIN(100,fam_kaliteTaban-IF($K213&gt;fam_esikKmBasi,fam_kaliteCeza,0)-COUNTIFS(tblGunluk[VarlikId],$A213,tblGunluk[AlarmBayrak],"ALARM")*fam_kaliteSapma-IF($H213="HAYIR",fam_kaliteCeza,0))))</f>
        <v/>
      </c>
    </row>
    <row r="214">
      <c r="A214" s="15" t="n"/>
      <c r="B214" s="15" t="n"/>
      <c r="C214" s="15" t="n"/>
      <c r="D214" s="15" t="n"/>
      <c r="E214" s="16" t="n"/>
      <c r="F214" s="17" t="n"/>
      <c r="G214" s="17" t="n"/>
      <c r="H214" s="15" t="n"/>
      <c r="I214" s="18">
        <f>IF($A214="","",SUMIF(tblGunluk[VarlikId],$A214,tblGunluk[Km_km]))</f>
        <v/>
      </c>
      <c r="J214" s="18">
        <f>IF($A214="","",SUMIF(tblGunluk[VarlikId],$A214,tblGunluk[FormulToplamTl]))</f>
        <v/>
      </c>
      <c r="K214" s="18">
        <f>IF($A214="","",IFERROR(SUMIF(tblGunluk[VarlikId],$A214,tblGunluk[FormulToplamTl])/SUMIF(tblGunluk[VarlikId],$A214,tblGunluk[Km_km]),0))</f>
        <v/>
      </c>
      <c r="L214" s="18">
        <f>IF($A214="","",MAX(0,MIN(100,fam_kaliteTaban-IF($K214&gt;fam_esikKmBasi,fam_kaliteCeza,0)-COUNTIFS(tblGunluk[VarlikId],$A214,tblGunluk[AlarmBayrak],"ALARM")*fam_kaliteSapma-IF($H214="HAYIR",fam_kaliteCeza,0))))</f>
        <v/>
      </c>
    </row>
    <row r="215">
      <c r="A215" s="15" t="n"/>
      <c r="B215" s="15" t="n"/>
      <c r="C215" s="15" t="n"/>
      <c r="D215" s="15" t="n"/>
      <c r="E215" s="16" t="n"/>
      <c r="F215" s="17" t="n"/>
      <c r="G215" s="17" t="n"/>
      <c r="H215" s="15" t="n"/>
      <c r="I215" s="18">
        <f>IF($A215="","",SUMIF(tblGunluk[VarlikId],$A215,tblGunluk[Km_km]))</f>
        <v/>
      </c>
      <c r="J215" s="18">
        <f>IF($A215="","",SUMIF(tblGunluk[VarlikId],$A215,tblGunluk[FormulToplamTl]))</f>
        <v/>
      </c>
      <c r="K215" s="18">
        <f>IF($A215="","",IFERROR(SUMIF(tblGunluk[VarlikId],$A215,tblGunluk[FormulToplamTl])/SUMIF(tblGunluk[VarlikId],$A215,tblGunluk[Km_km]),0))</f>
        <v/>
      </c>
      <c r="L215" s="18">
        <f>IF($A215="","",MAX(0,MIN(100,fam_kaliteTaban-IF($K215&gt;fam_esikKmBasi,fam_kaliteCeza,0)-COUNTIFS(tblGunluk[VarlikId],$A215,tblGunluk[AlarmBayrak],"ALARM")*fam_kaliteSapma-IF($H215="HAYIR",fam_kaliteCeza,0))))</f>
        <v/>
      </c>
    </row>
    <row r="216">
      <c r="A216" s="15" t="n"/>
      <c r="B216" s="15" t="n"/>
      <c r="C216" s="15" t="n"/>
      <c r="D216" s="15" t="n"/>
      <c r="E216" s="16" t="n"/>
      <c r="F216" s="17" t="n"/>
      <c r="G216" s="17" t="n"/>
      <c r="H216" s="15" t="n"/>
      <c r="I216" s="18">
        <f>IF($A216="","",SUMIF(tblGunluk[VarlikId],$A216,tblGunluk[Km_km]))</f>
        <v/>
      </c>
      <c r="J216" s="18">
        <f>IF($A216="","",SUMIF(tblGunluk[VarlikId],$A216,tblGunluk[FormulToplamTl]))</f>
        <v/>
      </c>
      <c r="K216" s="18">
        <f>IF($A216="","",IFERROR(SUMIF(tblGunluk[VarlikId],$A216,tblGunluk[FormulToplamTl])/SUMIF(tblGunluk[VarlikId],$A216,tblGunluk[Km_km]),0))</f>
        <v/>
      </c>
      <c r="L216" s="18">
        <f>IF($A216="","",MAX(0,MIN(100,fam_kaliteTaban-IF($K216&gt;fam_esikKmBasi,fam_kaliteCeza,0)-COUNTIFS(tblGunluk[VarlikId],$A216,tblGunluk[AlarmBayrak],"ALARM")*fam_kaliteSapma-IF($H216="HAYIR",fam_kaliteCeza,0))))</f>
        <v/>
      </c>
    </row>
    <row r="217">
      <c r="A217" s="15" t="n"/>
      <c r="B217" s="15" t="n"/>
      <c r="C217" s="15" t="n"/>
      <c r="D217" s="15" t="n"/>
      <c r="E217" s="16" t="n"/>
      <c r="F217" s="17" t="n"/>
      <c r="G217" s="17" t="n"/>
      <c r="H217" s="15" t="n"/>
      <c r="I217" s="18">
        <f>IF($A217="","",SUMIF(tblGunluk[VarlikId],$A217,tblGunluk[Km_km]))</f>
        <v/>
      </c>
      <c r="J217" s="18">
        <f>IF($A217="","",SUMIF(tblGunluk[VarlikId],$A217,tblGunluk[FormulToplamTl]))</f>
        <v/>
      </c>
      <c r="K217" s="18">
        <f>IF($A217="","",IFERROR(SUMIF(tblGunluk[VarlikId],$A217,tblGunluk[FormulToplamTl])/SUMIF(tblGunluk[VarlikId],$A217,tblGunluk[Km_km]),0))</f>
        <v/>
      </c>
      <c r="L217" s="18">
        <f>IF($A217="","",MAX(0,MIN(100,fam_kaliteTaban-IF($K217&gt;fam_esikKmBasi,fam_kaliteCeza,0)-COUNTIFS(tblGunluk[VarlikId],$A217,tblGunluk[AlarmBayrak],"ALARM")*fam_kaliteSapma-IF($H217="HAYIR",fam_kaliteCeza,0))))</f>
        <v/>
      </c>
    </row>
    <row r="218">
      <c r="A218" s="15" t="n"/>
      <c r="B218" s="15" t="n"/>
      <c r="C218" s="15" t="n"/>
      <c r="D218" s="15" t="n"/>
      <c r="E218" s="16" t="n"/>
      <c r="F218" s="17" t="n"/>
      <c r="G218" s="17" t="n"/>
      <c r="H218" s="15" t="n"/>
      <c r="I218" s="18">
        <f>IF($A218="","",SUMIF(tblGunluk[VarlikId],$A218,tblGunluk[Km_km]))</f>
        <v/>
      </c>
      <c r="J218" s="18">
        <f>IF($A218="","",SUMIF(tblGunluk[VarlikId],$A218,tblGunluk[FormulToplamTl]))</f>
        <v/>
      </c>
      <c r="K218" s="18">
        <f>IF($A218="","",IFERROR(SUMIF(tblGunluk[VarlikId],$A218,tblGunluk[FormulToplamTl])/SUMIF(tblGunluk[VarlikId],$A218,tblGunluk[Km_km]),0))</f>
        <v/>
      </c>
      <c r="L218" s="18">
        <f>IF($A218="","",MAX(0,MIN(100,fam_kaliteTaban-IF($K218&gt;fam_esikKmBasi,fam_kaliteCeza,0)-COUNTIFS(tblGunluk[VarlikId],$A218,tblGunluk[AlarmBayrak],"ALARM")*fam_kaliteSapma-IF($H218="HAYIR",fam_kaliteCeza,0))))</f>
        <v/>
      </c>
    </row>
    <row r="219">
      <c r="A219" s="15" t="n"/>
      <c r="B219" s="15" t="n"/>
      <c r="C219" s="15" t="n"/>
      <c r="D219" s="15" t="n"/>
      <c r="E219" s="16" t="n"/>
      <c r="F219" s="17" t="n"/>
      <c r="G219" s="17" t="n"/>
      <c r="H219" s="15" t="n"/>
      <c r="I219" s="18">
        <f>IF($A219="","",SUMIF(tblGunluk[VarlikId],$A219,tblGunluk[Km_km]))</f>
        <v/>
      </c>
      <c r="J219" s="18">
        <f>IF($A219="","",SUMIF(tblGunluk[VarlikId],$A219,tblGunluk[FormulToplamTl]))</f>
        <v/>
      </c>
      <c r="K219" s="18">
        <f>IF($A219="","",IFERROR(SUMIF(tblGunluk[VarlikId],$A219,tblGunluk[FormulToplamTl])/SUMIF(tblGunluk[VarlikId],$A219,tblGunluk[Km_km]),0))</f>
        <v/>
      </c>
      <c r="L219" s="18">
        <f>IF($A219="","",MAX(0,MIN(100,fam_kaliteTaban-IF($K219&gt;fam_esikKmBasi,fam_kaliteCeza,0)-COUNTIFS(tblGunluk[VarlikId],$A219,tblGunluk[AlarmBayrak],"ALARM")*fam_kaliteSapma-IF($H219="HAYIR",fam_kaliteCeza,0))))</f>
        <v/>
      </c>
    </row>
    <row r="220">
      <c r="A220" s="15" t="n"/>
      <c r="B220" s="15" t="n"/>
      <c r="C220" s="15" t="n"/>
      <c r="D220" s="15" t="n"/>
      <c r="E220" s="16" t="n"/>
      <c r="F220" s="17" t="n"/>
      <c r="G220" s="17" t="n"/>
      <c r="H220" s="15" t="n"/>
      <c r="I220" s="18">
        <f>IF($A220="","",SUMIF(tblGunluk[VarlikId],$A220,tblGunluk[Km_km]))</f>
        <v/>
      </c>
      <c r="J220" s="18">
        <f>IF($A220="","",SUMIF(tblGunluk[VarlikId],$A220,tblGunluk[FormulToplamTl]))</f>
        <v/>
      </c>
      <c r="K220" s="18">
        <f>IF($A220="","",IFERROR(SUMIF(tblGunluk[VarlikId],$A220,tblGunluk[FormulToplamTl])/SUMIF(tblGunluk[VarlikId],$A220,tblGunluk[Km_km]),0))</f>
        <v/>
      </c>
      <c r="L220" s="18">
        <f>IF($A220="","",MAX(0,MIN(100,fam_kaliteTaban-IF($K220&gt;fam_esikKmBasi,fam_kaliteCeza,0)-COUNTIFS(tblGunluk[VarlikId],$A220,tblGunluk[AlarmBayrak],"ALARM")*fam_kaliteSapma-IF($H220="HAYIR",fam_kaliteCeza,0))))</f>
        <v/>
      </c>
    </row>
    <row r="221">
      <c r="A221" s="15" t="n"/>
      <c r="B221" s="15" t="n"/>
      <c r="C221" s="15" t="n"/>
      <c r="D221" s="15" t="n"/>
      <c r="E221" s="16" t="n"/>
      <c r="F221" s="17" t="n"/>
      <c r="G221" s="17" t="n"/>
      <c r="H221" s="15" t="n"/>
      <c r="I221" s="18">
        <f>IF($A221="","",SUMIF(tblGunluk[VarlikId],$A221,tblGunluk[Km_km]))</f>
        <v/>
      </c>
      <c r="J221" s="18">
        <f>IF($A221="","",SUMIF(tblGunluk[VarlikId],$A221,tblGunluk[FormulToplamTl]))</f>
        <v/>
      </c>
      <c r="K221" s="18">
        <f>IF($A221="","",IFERROR(SUMIF(tblGunluk[VarlikId],$A221,tblGunluk[FormulToplamTl])/SUMIF(tblGunluk[VarlikId],$A221,tblGunluk[Km_km]),0))</f>
        <v/>
      </c>
      <c r="L221" s="18">
        <f>IF($A221="","",MAX(0,MIN(100,fam_kaliteTaban-IF($K221&gt;fam_esikKmBasi,fam_kaliteCeza,0)-COUNTIFS(tblGunluk[VarlikId],$A221,tblGunluk[AlarmBayrak],"ALARM")*fam_kaliteSapma-IF($H221="HAYIR",fam_kaliteCeza,0))))</f>
        <v/>
      </c>
    </row>
    <row r="222">
      <c r="A222" s="15" t="n"/>
      <c r="B222" s="15" t="n"/>
      <c r="C222" s="15" t="n"/>
      <c r="D222" s="15" t="n"/>
      <c r="E222" s="16" t="n"/>
      <c r="F222" s="17" t="n"/>
      <c r="G222" s="17" t="n"/>
      <c r="H222" s="15" t="n"/>
      <c r="I222" s="18">
        <f>IF($A222="","",SUMIF(tblGunluk[VarlikId],$A222,tblGunluk[Km_km]))</f>
        <v/>
      </c>
      <c r="J222" s="18">
        <f>IF($A222="","",SUMIF(tblGunluk[VarlikId],$A222,tblGunluk[FormulToplamTl]))</f>
        <v/>
      </c>
      <c r="K222" s="18">
        <f>IF($A222="","",IFERROR(SUMIF(tblGunluk[VarlikId],$A222,tblGunluk[FormulToplamTl])/SUMIF(tblGunluk[VarlikId],$A222,tblGunluk[Km_km]),0))</f>
        <v/>
      </c>
      <c r="L222" s="18">
        <f>IF($A222="","",MAX(0,MIN(100,fam_kaliteTaban-IF($K222&gt;fam_esikKmBasi,fam_kaliteCeza,0)-COUNTIFS(tblGunluk[VarlikId],$A222,tblGunluk[AlarmBayrak],"ALARM")*fam_kaliteSapma-IF($H222="HAYIR",fam_kaliteCeza,0))))</f>
        <v/>
      </c>
    </row>
    <row r="223">
      <c r="A223" s="15" t="n"/>
      <c r="B223" s="15" t="n"/>
      <c r="C223" s="15" t="n"/>
      <c r="D223" s="15" t="n"/>
      <c r="E223" s="16" t="n"/>
      <c r="F223" s="17" t="n"/>
      <c r="G223" s="17" t="n"/>
      <c r="H223" s="15" t="n"/>
      <c r="I223" s="18">
        <f>IF($A223="","",SUMIF(tblGunluk[VarlikId],$A223,tblGunluk[Km_km]))</f>
        <v/>
      </c>
      <c r="J223" s="18">
        <f>IF($A223="","",SUMIF(tblGunluk[VarlikId],$A223,tblGunluk[FormulToplamTl]))</f>
        <v/>
      </c>
      <c r="K223" s="18">
        <f>IF($A223="","",IFERROR(SUMIF(tblGunluk[VarlikId],$A223,tblGunluk[FormulToplamTl])/SUMIF(tblGunluk[VarlikId],$A223,tblGunluk[Km_km]),0))</f>
        <v/>
      </c>
      <c r="L223" s="18">
        <f>IF($A223="","",MAX(0,MIN(100,fam_kaliteTaban-IF($K223&gt;fam_esikKmBasi,fam_kaliteCeza,0)-COUNTIFS(tblGunluk[VarlikId],$A223,tblGunluk[AlarmBayrak],"ALARM")*fam_kaliteSapma-IF($H223="HAYIR",fam_kaliteCeza,0))))</f>
        <v/>
      </c>
    </row>
    <row r="224">
      <c r="A224" s="15" t="n"/>
      <c r="B224" s="15" t="n"/>
      <c r="C224" s="15" t="n"/>
      <c r="D224" s="15" t="n"/>
      <c r="E224" s="16" t="n"/>
      <c r="F224" s="17" t="n"/>
      <c r="G224" s="17" t="n"/>
      <c r="H224" s="15" t="n"/>
      <c r="I224" s="18">
        <f>IF($A224="","",SUMIF(tblGunluk[VarlikId],$A224,tblGunluk[Km_km]))</f>
        <v/>
      </c>
      <c r="J224" s="18">
        <f>IF($A224="","",SUMIF(tblGunluk[VarlikId],$A224,tblGunluk[FormulToplamTl]))</f>
        <v/>
      </c>
      <c r="K224" s="18">
        <f>IF($A224="","",IFERROR(SUMIF(tblGunluk[VarlikId],$A224,tblGunluk[FormulToplamTl])/SUMIF(tblGunluk[VarlikId],$A224,tblGunluk[Km_km]),0))</f>
        <v/>
      </c>
      <c r="L224" s="18">
        <f>IF($A224="","",MAX(0,MIN(100,fam_kaliteTaban-IF($K224&gt;fam_esikKmBasi,fam_kaliteCeza,0)-COUNTIFS(tblGunluk[VarlikId],$A224,tblGunluk[AlarmBayrak],"ALARM")*fam_kaliteSapma-IF($H224="HAYIR",fam_kaliteCeza,0))))</f>
        <v/>
      </c>
    </row>
    <row r="225">
      <c r="A225" s="15" t="n"/>
      <c r="B225" s="15" t="n"/>
      <c r="C225" s="15" t="n"/>
      <c r="D225" s="15" t="n"/>
      <c r="E225" s="16" t="n"/>
      <c r="F225" s="17" t="n"/>
      <c r="G225" s="17" t="n"/>
      <c r="H225" s="15" t="n"/>
      <c r="I225" s="18">
        <f>IF($A225="","",SUMIF(tblGunluk[VarlikId],$A225,tblGunluk[Km_km]))</f>
        <v/>
      </c>
      <c r="J225" s="18">
        <f>IF($A225="","",SUMIF(tblGunluk[VarlikId],$A225,tblGunluk[FormulToplamTl]))</f>
        <v/>
      </c>
      <c r="K225" s="18">
        <f>IF($A225="","",IFERROR(SUMIF(tblGunluk[VarlikId],$A225,tblGunluk[FormulToplamTl])/SUMIF(tblGunluk[VarlikId],$A225,tblGunluk[Km_km]),0))</f>
        <v/>
      </c>
      <c r="L225" s="18">
        <f>IF($A225="","",MAX(0,MIN(100,fam_kaliteTaban-IF($K225&gt;fam_esikKmBasi,fam_kaliteCeza,0)-COUNTIFS(tblGunluk[VarlikId],$A225,tblGunluk[AlarmBayrak],"ALARM")*fam_kaliteSapma-IF($H225="HAYIR",fam_kaliteCeza,0))))</f>
        <v/>
      </c>
    </row>
    <row r="226">
      <c r="A226" s="15" t="n"/>
      <c r="B226" s="15" t="n"/>
      <c r="C226" s="15" t="n"/>
      <c r="D226" s="15" t="n"/>
      <c r="E226" s="16" t="n"/>
      <c r="F226" s="17" t="n"/>
      <c r="G226" s="17" t="n"/>
      <c r="H226" s="15" t="n"/>
      <c r="I226" s="18">
        <f>IF($A226="","",SUMIF(tblGunluk[VarlikId],$A226,tblGunluk[Km_km]))</f>
        <v/>
      </c>
      <c r="J226" s="18">
        <f>IF($A226="","",SUMIF(tblGunluk[VarlikId],$A226,tblGunluk[FormulToplamTl]))</f>
        <v/>
      </c>
      <c r="K226" s="18">
        <f>IF($A226="","",IFERROR(SUMIF(tblGunluk[VarlikId],$A226,tblGunluk[FormulToplamTl])/SUMIF(tblGunluk[VarlikId],$A226,tblGunluk[Km_km]),0))</f>
        <v/>
      </c>
      <c r="L226" s="18">
        <f>IF($A226="","",MAX(0,MIN(100,fam_kaliteTaban-IF($K226&gt;fam_esikKmBasi,fam_kaliteCeza,0)-COUNTIFS(tblGunluk[VarlikId],$A226,tblGunluk[AlarmBayrak],"ALARM")*fam_kaliteSapma-IF($H226="HAYIR",fam_kaliteCeza,0))))</f>
        <v/>
      </c>
    </row>
    <row r="227">
      <c r="A227" s="15" t="n"/>
      <c r="B227" s="15" t="n"/>
      <c r="C227" s="15" t="n"/>
      <c r="D227" s="15" t="n"/>
      <c r="E227" s="16" t="n"/>
      <c r="F227" s="17" t="n"/>
      <c r="G227" s="17" t="n"/>
      <c r="H227" s="15" t="n"/>
      <c r="I227" s="18">
        <f>IF($A227="","",SUMIF(tblGunluk[VarlikId],$A227,tblGunluk[Km_km]))</f>
        <v/>
      </c>
      <c r="J227" s="18">
        <f>IF($A227="","",SUMIF(tblGunluk[VarlikId],$A227,tblGunluk[FormulToplamTl]))</f>
        <v/>
      </c>
      <c r="K227" s="18">
        <f>IF($A227="","",IFERROR(SUMIF(tblGunluk[VarlikId],$A227,tblGunluk[FormulToplamTl])/SUMIF(tblGunluk[VarlikId],$A227,tblGunluk[Km_km]),0))</f>
        <v/>
      </c>
      <c r="L227" s="18">
        <f>IF($A227="","",MAX(0,MIN(100,fam_kaliteTaban-IF($K227&gt;fam_esikKmBasi,fam_kaliteCeza,0)-COUNTIFS(tblGunluk[VarlikId],$A227,tblGunluk[AlarmBayrak],"ALARM")*fam_kaliteSapma-IF($H227="HAYIR",fam_kaliteCeza,0))))</f>
        <v/>
      </c>
    </row>
    <row r="228">
      <c r="A228" s="15" t="n"/>
      <c r="B228" s="15" t="n"/>
      <c r="C228" s="15" t="n"/>
      <c r="D228" s="15" t="n"/>
      <c r="E228" s="16" t="n"/>
      <c r="F228" s="17" t="n"/>
      <c r="G228" s="17" t="n"/>
      <c r="H228" s="15" t="n"/>
      <c r="I228" s="18">
        <f>IF($A228="","",SUMIF(tblGunluk[VarlikId],$A228,tblGunluk[Km_km]))</f>
        <v/>
      </c>
      <c r="J228" s="18">
        <f>IF($A228="","",SUMIF(tblGunluk[VarlikId],$A228,tblGunluk[FormulToplamTl]))</f>
        <v/>
      </c>
      <c r="K228" s="18">
        <f>IF($A228="","",IFERROR(SUMIF(tblGunluk[VarlikId],$A228,tblGunluk[FormulToplamTl])/SUMIF(tblGunluk[VarlikId],$A228,tblGunluk[Km_km]),0))</f>
        <v/>
      </c>
      <c r="L228" s="18">
        <f>IF($A228="","",MAX(0,MIN(100,fam_kaliteTaban-IF($K228&gt;fam_esikKmBasi,fam_kaliteCeza,0)-COUNTIFS(tblGunluk[VarlikId],$A228,tblGunluk[AlarmBayrak],"ALARM")*fam_kaliteSapma-IF($H228="HAYIR",fam_kaliteCeza,0))))</f>
        <v/>
      </c>
    </row>
    <row r="229">
      <c r="A229" s="15" t="n"/>
      <c r="B229" s="15" t="n"/>
      <c r="C229" s="15" t="n"/>
      <c r="D229" s="15" t="n"/>
      <c r="E229" s="16" t="n"/>
      <c r="F229" s="17" t="n"/>
      <c r="G229" s="17" t="n"/>
      <c r="H229" s="15" t="n"/>
      <c r="I229" s="18">
        <f>IF($A229="","",SUMIF(tblGunluk[VarlikId],$A229,tblGunluk[Km_km]))</f>
        <v/>
      </c>
      <c r="J229" s="18">
        <f>IF($A229="","",SUMIF(tblGunluk[VarlikId],$A229,tblGunluk[FormulToplamTl]))</f>
        <v/>
      </c>
      <c r="K229" s="18">
        <f>IF($A229="","",IFERROR(SUMIF(tblGunluk[VarlikId],$A229,tblGunluk[FormulToplamTl])/SUMIF(tblGunluk[VarlikId],$A229,tblGunluk[Km_km]),0))</f>
        <v/>
      </c>
      <c r="L229" s="18">
        <f>IF($A229="","",MAX(0,MIN(100,fam_kaliteTaban-IF($K229&gt;fam_esikKmBasi,fam_kaliteCeza,0)-COUNTIFS(tblGunluk[VarlikId],$A229,tblGunluk[AlarmBayrak],"ALARM")*fam_kaliteSapma-IF($H229="HAYIR",fam_kaliteCeza,0))))</f>
        <v/>
      </c>
    </row>
    <row r="230">
      <c r="A230" s="15" t="n"/>
      <c r="B230" s="15" t="n"/>
      <c r="C230" s="15" t="n"/>
      <c r="D230" s="15" t="n"/>
      <c r="E230" s="16" t="n"/>
      <c r="F230" s="17" t="n"/>
      <c r="G230" s="17" t="n"/>
      <c r="H230" s="15" t="n"/>
      <c r="I230" s="18">
        <f>IF($A230="","",SUMIF(tblGunluk[VarlikId],$A230,tblGunluk[Km_km]))</f>
        <v/>
      </c>
      <c r="J230" s="18">
        <f>IF($A230="","",SUMIF(tblGunluk[VarlikId],$A230,tblGunluk[FormulToplamTl]))</f>
        <v/>
      </c>
      <c r="K230" s="18">
        <f>IF($A230="","",IFERROR(SUMIF(tblGunluk[VarlikId],$A230,tblGunluk[FormulToplamTl])/SUMIF(tblGunluk[VarlikId],$A230,tblGunluk[Km_km]),0))</f>
        <v/>
      </c>
      <c r="L230" s="18">
        <f>IF($A230="","",MAX(0,MIN(100,fam_kaliteTaban-IF($K230&gt;fam_esikKmBasi,fam_kaliteCeza,0)-COUNTIFS(tblGunluk[VarlikId],$A230,tblGunluk[AlarmBayrak],"ALARM")*fam_kaliteSapma-IF($H230="HAYIR",fam_kaliteCeza,0))))</f>
        <v/>
      </c>
    </row>
    <row r="231">
      <c r="A231" s="15" t="n"/>
      <c r="B231" s="15" t="n"/>
      <c r="C231" s="15" t="n"/>
      <c r="D231" s="15" t="n"/>
      <c r="E231" s="16" t="n"/>
      <c r="F231" s="17" t="n"/>
      <c r="G231" s="17" t="n"/>
      <c r="H231" s="15" t="n"/>
      <c r="I231" s="18">
        <f>IF($A231="","",SUMIF(tblGunluk[VarlikId],$A231,tblGunluk[Km_km]))</f>
        <v/>
      </c>
      <c r="J231" s="18">
        <f>IF($A231="","",SUMIF(tblGunluk[VarlikId],$A231,tblGunluk[FormulToplamTl]))</f>
        <v/>
      </c>
      <c r="K231" s="18">
        <f>IF($A231="","",IFERROR(SUMIF(tblGunluk[VarlikId],$A231,tblGunluk[FormulToplamTl])/SUMIF(tblGunluk[VarlikId],$A231,tblGunluk[Km_km]),0))</f>
        <v/>
      </c>
      <c r="L231" s="18">
        <f>IF($A231="","",MAX(0,MIN(100,fam_kaliteTaban-IF($K231&gt;fam_esikKmBasi,fam_kaliteCeza,0)-COUNTIFS(tblGunluk[VarlikId],$A231,tblGunluk[AlarmBayrak],"ALARM")*fam_kaliteSapma-IF($H231="HAYIR",fam_kaliteCeza,0))))</f>
        <v/>
      </c>
    </row>
    <row r="232">
      <c r="A232" s="15" t="n"/>
      <c r="B232" s="15" t="n"/>
      <c r="C232" s="15" t="n"/>
      <c r="D232" s="15" t="n"/>
      <c r="E232" s="16" t="n"/>
      <c r="F232" s="17" t="n"/>
      <c r="G232" s="17" t="n"/>
      <c r="H232" s="15" t="n"/>
      <c r="I232" s="18">
        <f>IF($A232="","",SUMIF(tblGunluk[VarlikId],$A232,tblGunluk[Km_km]))</f>
        <v/>
      </c>
      <c r="J232" s="18">
        <f>IF($A232="","",SUMIF(tblGunluk[VarlikId],$A232,tblGunluk[FormulToplamTl]))</f>
        <v/>
      </c>
      <c r="K232" s="18">
        <f>IF($A232="","",IFERROR(SUMIF(tblGunluk[VarlikId],$A232,tblGunluk[FormulToplamTl])/SUMIF(tblGunluk[VarlikId],$A232,tblGunluk[Km_km]),0))</f>
        <v/>
      </c>
      <c r="L232" s="18">
        <f>IF($A232="","",MAX(0,MIN(100,fam_kaliteTaban-IF($K232&gt;fam_esikKmBasi,fam_kaliteCeza,0)-COUNTIFS(tblGunluk[VarlikId],$A232,tblGunluk[AlarmBayrak],"ALARM")*fam_kaliteSapma-IF($H232="HAYIR",fam_kaliteCeza,0))))</f>
        <v/>
      </c>
    </row>
    <row r="233">
      <c r="A233" s="15" t="n"/>
      <c r="B233" s="15" t="n"/>
      <c r="C233" s="15" t="n"/>
      <c r="D233" s="15" t="n"/>
      <c r="E233" s="16" t="n"/>
      <c r="F233" s="17" t="n"/>
      <c r="G233" s="17" t="n"/>
      <c r="H233" s="15" t="n"/>
      <c r="I233" s="18">
        <f>IF($A233="","",SUMIF(tblGunluk[VarlikId],$A233,tblGunluk[Km_km]))</f>
        <v/>
      </c>
      <c r="J233" s="18">
        <f>IF($A233="","",SUMIF(tblGunluk[VarlikId],$A233,tblGunluk[FormulToplamTl]))</f>
        <v/>
      </c>
      <c r="K233" s="18">
        <f>IF($A233="","",IFERROR(SUMIF(tblGunluk[VarlikId],$A233,tblGunluk[FormulToplamTl])/SUMIF(tblGunluk[VarlikId],$A233,tblGunluk[Km_km]),0))</f>
        <v/>
      </c>
      <c r="L233" s="18">
        <f>IF($A233="","",MAX(0,MIN(100,fam_kaliteTaban-IF($K233&gt;fam_esikKmBasi,fam_kaliteCeza,0)-COUNTIFS(tblGunluk[VarlikId],$A233,tblGunluk[AlarmBayrak],"ALARM")*fam_kaliteSapma-IF($H233="HAYIR",fam_kaliteCeza,0))))</f>
        <v/>
      </c>
    </row>
    <row r="234">
      <c r="A234" s="15" t="n"/>
      <c r="B234" s="15" t="n"/>
      <c r="C234" s="15" t="n"/>
      <c r="D234" s="15" t="n"/>
      <c r="E234" s="16" t="n"/>
      <c r="F234" s="17" t="n"/>
      <c r="G234" s="17" t="n"/>
      <c r="H234" s="15" t="n"/>
      <c r="I234" s="18">
        <f>IF($A234="","",SUMIF(tblGunluk[VarlikId],$A234,tblGunluk[Km_km]))</f>
        <v/>
      </c>
      <c r="J234" s="18">
        <f>IF($A234="","",SUMIF(tblGunluk[VarlikId],$A234,tblGunluk[FormulToplamTl]))</f>
        <v/>
      </c>
      <c r="K234" s="18">
        <f>IF($A234="","",IFERROR(SUMIF(tblGunluk[VarlikId],$A234,tblGunluk[FormulToplamTl])/SUMIF(tblGunluk[VarlikId],$A234,tblGunluk[Km_km]),0))</f>
        <v/>
      </c>
      <c r="L234" s="18">
        <f>IF($A234="","",MAX(0,MIN(100,fam_kaliteTaban-IF($K234&gt;fam_esikKmBasi,fam_kaliteCeza,0)-COUNTIFS(tblGunluk[VarlikId],$A234,tblGunluk[AlarmBayrak],"ALARM")*fam_kaliteSapma-IF($H234="HAYIR",fam_kaliteCeza,0))))</f>
        <v/>
      </c>
    </row>
    <row r="235">
      <c r="A235" s="15" t="n"/>
      <c r="B235" s="15" t="n"/>
      <c r="C235" s="15" t="n"/>
      <c r="D235" s="15" t="n"/>
      <c r="E235" s="16" t="n"/>
      <c r="F235" s="17" t="n"/>
      <c r="G235" s="17" t="n"/>
      <c r="H235" s="15" t="n"/>
      <c r="I235" s="18">
        <f>IF($A235="","",SUMIF(tblGunluk[VarlikId],$A235,tblGunluk[Km_km]))</f>
        <v/>
      </c>
      <c r="J235" s="18">
        <f>IF($A235="","",SUMIF(tblGunluk[VarlikId],$A235,tblGunluk[FormulToplamTl]))</f>
        <v/>
      </c>
      <c r="K235" s="18">
        <f>IF($A235="","",IFERROR(SUMIF(tblGunluk[VarlikId],$A235,tblGunluk[FormulToplamTl])/SUMIF(tblGunluk[VarlikId],$A235,tblGunluk[Km_km]),0))</f>
        <v/>
      </c>
      <c r="L235" s="18">
        <f>IF($A235="","",MAX(0,MIN(100,fam_kaliteTaban-IF($K235&gt;fam_esikKmBasi,fam_kaliteCeza,0)-COUNTIFS(tblGunluk[VarlikId],$A235,tblGunluk[AlarmBayrak],"ALARM")*fam_kaliteSapma-IF($H235="HAYIR",fam_kaliteCeza,0))))</f>
        <v/>
      </c>
    </row>
    <row r="236">
      <c r="A236" s="15" t="n"/>
      <c r="B236" s="15" t="n"/>
      <c r="C236" s="15" t="n"/>
      <c r="D236" s="15" t="n"/>
      <c r="E236" s="16" t="n"/>
      <c r="F236" s="17" t="n"/>
      <c r="G236" s="17" t="n"/>
      <c r="H236" s="15" t="n"/>
      <c r="I236" s="18">
        <f>IF($A236="","",SUMIF(tblGunluk[VarlikId],$A236,tblGunluk[Km_km]))</f>
        <v/>
      </c>
      <c r="J236" s="18">
        <f>IF($A236="","",SUMIF(tblGunluk[VarlikId],$A236,tblGunluk[FormulToplamTl]))</f>
        <v/>
      </c>
      <c r="K236" s="18">
        <f>IF($A236="","",IFERROR(SUMIF(tblGunluk[VarlikId],$A236,tblGunluk[FormulToplamTl])/SUMIF(tblGunluk[VarlikId],$A236,tblGunluk[Km_km]),0))</f>
        <v/>
      </c>
      <c r="L236" s="18">
        <f>IF($A236="","",MAX(0,MIN(100,fam_kaliteTaban-IF($K236&gt;fam_esikKmBasi,fam_kaliteCeza,0)-COUNTIFS(tblGunluk[VarlikId],$A236,tblGunluk[AlarmBayrak],"ALARM")*fam_kaliteSapma-IF($H236="HAYIR",fam_kaliteCeza,0))))</f>
        <v/>
      </c>
    </row>
    <row r="237">
      <c r="A237" s="15" t="n"/>
      <c r="B237" s="15" t="n"/>
      <c r="C237" s="15" t="n"/>
      <c r="D237" s="15" t="n"/>
      <c r="E237" s="16" t="n"/>
      <c r="F237" s="17" t="n"/>
      <c r="G237" s="17" t="n"/>
      <c r="H237" s="15" t="n"/>
      <c r="I237" s="18">
        <f>IF($A237="","",SUMIF(tblGunluk[VarlikId],$A237,tblGunluk[Km_km]))</f>
        <v/>
      </c>
      <c r="J237" s="18">
        <f>IF($A237="","",SUMIF(tblGunluk[VarlikId],$A237,tblGunluk[FormulToplamTl]))</f>
        <v/>
      </c>
      <c r="K237" s="18">
        <f>IF($A237="","",IFERROR(SUMIF(tblGunluk[VarlikId],$A237,tblGunluk[FormulToplamTl])/SUMIF(tblGunluk[VarlikId],$A237,tblGunluk[Km_km]),0))</f>
        <v/>
      </c>
      <c r="L237" s="18">
        <f>IF($A237="","",MAX(0,MIN(100,fam_kaliteTaban-IF($K237&gt;fam_esikKmBasi,fam_kaliteCeza,0)-COUNTIFS(tblGunluk[VarlikId],$A237,tblGunluk[AlarmBayrak],"ALARM")*fam_kaliteSapma-IF($H237="HAYIR",fam_kaliteCeza,0))))</f>
        <v/>
      </c>
    </row>
    <row r="238">
      <c r="A238" s="15" t="n"/>
      <c r="B238" s="15" t="n"/>
      <c r="C238" s="15" t="n"/>
      <c r="D238" s="15" t="n"/>
      <c r="E238" s="16" t="n"/>
      <c r="F238" s="17" t="n"/>
      <c r="G238" s="17" t="n"/>
      <c r="H238" s="15" t="n"/>
      <c r="I238" s="18">
        <f>IF($A238="","",SUMIF(tblGunluk[VarlikId],$A238,tblGunluk[Km_km]))</f>
        <v/>
      </c>
      <c r="J238" s="18">
        <f>IF($A238="","",SUMIF(tblGunluk[VarlikId],$A238,tblGunluk[FormulToplamTl]))</f>
        <v/>
      </c>
      <c r="K238" s="18">
        <f>IF($A238="","",IFERROR(SUMIF(tblGunluk[VarlikId],$A238,tblGunluk[FormulToplamTl])/SUMIF(tblGunluk[VarlikId],$A238,tblGunluk[Km_km]),0))</f>
        <v/>
      </c>
      <c r="L238" s="18">
        <f>IF($A238="","",MAX(0,MIN(100,fam_kaliteTaban-IF($K238&gt;fam_esikKmBasi,fam_kaliteCeza,0)-COUNTIFS(tblGunluk[VarlikId],$A238,tblGunluk[AlarmBayrak],"ALARM")*fam_kaliteSapma-IF($H238="HAYIR",fam_kaliteCeza,0))))</f>
        <v/>
      </c>
    </row>
    <row r="239">
      <c r="A239" s="15" t="n"/>
      <c r="B239" s="15" t="n"/>
      <c r="C239" s="15" t="n"/>
      <c r="D239" s="15" t="n"/>
      <c r="E239" s="16" t="n"/>
      <c r="F239" s="17" t="n"/>
      <c r="G239" s="17" t="n"/>
      <c r="H239" s="15" t="n"/>
      <c r="I239" s="18">
        <f>IF($A239="","",SUMIF(tblGunluk[VarlikId],$A239,tblGunluk[Km_km]))</f>
        <v/>
      </c>
      <c r="J239" s="18">
        <f>IF($A239="","",SUMIF(tblGunluk[VarlikId],$A239,tblGunluk[FormulToplamTl]))</f>
        <v/>
      </c>
      <c r="K239" s="18">
        <f>IF($A239="","",IFERROR(SUMIF(tblGunluk[VarlikId],$A239,tblGunluk[FormulToplamTl])/SUMIF(tblGunluk[VarlikId],$A239,tblGunluk[Km_km]),0))</f>
        <v/>
      </c>
      <c r="L239" s="18">
        <f>IF($A239="","",MAX(0,MIN(100,fam_kaliteTaban-IF($K239&gt;fam_esikKmBasi,fam_kaliteCeza,0)-COUNTIFS(tblGunluk[VarlikId],$A239,tblGunluk[AlarmBayrak],"ALARM")*fam_kaliteSapma-IF($H239="HAYIR",fam_kaliteCeza,0))))</f>
        <v/>
      </c>
    </row>
    <row r="240">
      <c r="A240" s="15" t="n"/>
      <c r="B240" s="15" t="n"/>
      <c r="C240" s="15" t="n"/>
      <c r="D240" s="15" t="n"/>
      <c r="E240" s="16" t="n"/>
      <c r="F240" s="17" t="n"/>
      <c r="G240" s="17" t="n"/>
      <c r="H240" s="15" t="n"/>
      <c r="I240" s="18">
        <f>IF($A240="","",SUMIF(tblGunluk[VarlikId],$A240,tblGunluk[Km_km]))</f>
        <v/>
      </c>
      <c r="J240" s="18">
        <f>IF($A240="","",SUMIF(tblGunluk[VarlikId],$A240,tblGunluk[FormulToplamTl]))</f>
        <v/>
      </c>
      <c r="K240" s="18">
        <f>IF($A240="","",IFERROR(SUMIF(tblGunluk[VarlikId],$A240,tblGunluk[FormulToplamTl])/SUMIF(tblGunluk[VarlikId],$A240,tblGunluk[Km_km]),0))</f>
        <v/>
      </c>
      <c r="L240" s="18">
        <f>IF($A240="","",MAX(0,MIN(100,fam_kaliteTaban-IF($K240&gt;fam_esikKmBasi,fam_kaliteCeza,0)-COUNTIFS(tblGunluk[VarlikId],$A240,tblGunluk[AlarmBayrak],"ALARM")*fam_kaliteSapma-IF($H240="HAYIR",fam_kaliteCeza,0))))</f>
        <v/>
      </c>
    </row>
    <row r="241">
      <c r="A241" s="15" t="n"/>
      <c r="B241" s="15" t="n"/>
      <c r="C241" s="15" t="n"/>
      <c r="D241" s="15" t="n"/>
      <c r="E241" s="16" t="n"/>
      <c r="F241" s="17" t="n"/>
      <c r="G241" s="17" t="n"/>
      <c r="H241" s="15" t="n"/>
      <c r="I241" s="18">
        <f>IF($A241="","",SUMIF(tblGunluk[VarlikId],$A241,tblGunluk[Km_km]))</f>
        <v/>
      </c>
      <c r="J241" s="18">
        <f>IF($A241="","",SUMIF(tblGunluk[VarlikId],$A241,tblGunluk[FormulToplamTl]))</f>
        <v/>
      </c>
      <c r="K241" s="18">
        <f>IF($A241="","",IFERROR(SUMIF(tblGunluk[VarlikId],$A241,tblGunluk[FormulToplamTl])/SUMIF(tblGunluk[VarlikId],$A241,tblGunluk[Km_km]),0))</f>
        <v/>
      </c>
      <c r="L241" s="18">
        <f>IF($A241="","",MAX(0,MIN(100,fam_kaliteTaban-IF($K241&gt;fam_esikKmBasi,fam_kaliteCeza,0)-COUNTIFS(tblGunluk[VarlikId],$A241,tblGunluk[AlarmBayrak],"ALARM")*fam_kaliteSapma-IF($H241="HAYIR",fam_kaliteCeza,0))))</f>
        <v/>
      </c>
    </row>
    <row r="242">
      <c r="A242" s="15" t="n"/>
      <c r="B242" s="15" t="n"/>
      <c r="C242" s="15" t="n"/>
      <c r="D242" s="15" t="n"/>
      <c r="E242" s="16" t="n"/>
      <c r="F242" s="17" t="n"/>
      <c r="G242" s="17" t="n"/>
      <c r="H242" s="15" t="n"/>
      <c r="I242" s="18">
        <f>IF($A242="","",SUMIF(tblGunluk[VarlikId],$A242,tblGunluk[Km_km]))</f>
        <v/>
      </c>
      <c r="J242" s="18">
        <f>IF($A242="","",SUMIF(tblGunluk[VarlikId],$A242,tblGunluk[FormulToplamTl]))</f>
        <v/>
      </c>
      <c r="K242" s="18">
        <f>IF($A242="","",IFERROR(SUMIF(tblGunluk[VarlikId],$A242,tblGunluk[FormulToplamTl])/SUMIF(tblGunluk[VarlikId],$A242,tblGunluk[Km_km]),0))</f>
        <v/>
      </c>
      <c r="L242" s="18">
        <f>IF($A242="","",MAX(0,MIN(100,fam_kaliteTaban-IF($K242&gt;fam_esikKmBasi,fam_kaliteCeza,0)-COUNTIFS(tblGunluk[VarlikId],$A242,tblGunluk[AlarmBayrak],"ALARM")*fam_kaliteSapma-IF($H242="HAYIR",fam_kaliteCeza,0))))</f>
        <v/>
      </c>
    </row>
    <row r="243">
      <c r="A243" s="15" t="n"/>
      <c r="B243" s="15" t="n"/>
      <c r="C243" s="15" t="n"/>
      <c r="D243" s="15" t="n"/>
      <c r="E243" s="16" t="n"/>
      <c r="F243" s="17" t="n"/>
      <c r="G243" s="17" t="n"/>
      <c r="H243" s="15" t="n"/>
      <c r="I243" s="18">
        <f>IF($A243="","",SUMIF(tblGunluk[VarlikId],$A243,tblGunluk[Km_km]))</f>
        <v/>
      </c>
      <c r="J243" s="18">
        <f>IF($A243="","",SUMIF(tblGunluk[VarlikId],$A243,tblGunluk[FormulToplamTl]))</f>
        <v/>
      </c>
      <c r="K243" s="18">
        <f>IF($A243="","",IFERROR(SUMIF(tblGunluk[VarlikId],$A243,tblGunluk[FormulToplamTl])/SUMIF(tblGunluk[VarlikId],$A243,tblGunluk[Km_km]),0))</f>
        <v/>
      </c>
      <c r="L243" s="18">
        <f>IF($A243="","",MAX(0,MIN(100,fam_kaliteTaban-IF($K243&gt;fam_esikKmBasi,fam_kaliteCeza,0)-COUNTIFS(tblGunluk[VarlikId],$A243,tblGunluk[AlarmBayrak],"ALARM")*fam_kaliteSapma-IF($H243="HAYIR",fam_kaliteCeza,0))))</f>
        <v/>
      </c>
    </row>
    <row r="244">
      <c r="A244" s="15" t="n"/>
      <c r="B244" s="15" t="n"/>
      <c r="C244" s="15" t="n"/>
      <c r="D244" s="15" t="n"/>
      <c r="E244" s="16" t="n"/>
      <c r="F244" s="17" t="n"/>
      <c r="G244" s="17" t="n"/>
      <c r="H244" s="15" t="n"/>
      <c r="I244" s="18">
        <f>IF($A244="","",SUMIF(tblGunluk[VarlikId],$A244,tblGunluk[Km_km]))</f>
        <v/>
      </c>
      <c r="J244" s="18">
        <f>IF($A244="","",SUMIF(tblGunluk[VarlikId],$A244,tblGunluk[FormulToplamTl]))</f>
        <v/>
      </c>
      <c r="K244" s="18">
        <f>IF($A244="","",IFERROR(SUMIF(tblGunluk[VarlikId],$A244,tblGunluk[FormulToplamTl])/SUMIF(tblGunluk[VarlikId],$A244,tblGunluk[Km_km]),0))</f>
        <v/>
      </c>
      <c r="L244" s="18">
        <f>IF($A244="","",MAX(0,MIN(100,fam_kaliteTaban-IF($K244&gt;fam_esikKmBasi,fam_kaliteCeza,0)-COUNTIFS(tblGunluk[VarlikId],$A244,tblGunluk[AlarmBayrak],"ALARM")*fam_kaliteSapma-IF($H244="HAYIR",fam_kaliteCeza,0))))</f>
        <v/>
      </c>
    </row>
    <row r="245">
      <c r="A245" s="15" t="n"/>
      <c r="B245" s="15" t="n"/>
      <c r="C245" s="15" t="n"/>
      <c r="D245" s="15" t="n"/>
      <c r="E245" s="16" t="n"/>
      <c r="F245" s="17" t="n"/>
      <c r="G245" s="17" t="n"/>
      <c r="H245" s="15" t="n"/>
      <c r="I245" s="18">
        <f>IF($A245="","",SUMIF(tblGunluk[VarlikId],$A245,tblGunluk[Km_km]))</f>
        <v/>
      </c>
      <c r="J245" s="18">
        <f>IF($A245="","",SUMIF(tblGunluk[VarlikId],$A245,tblGunluk[FormulToplamTl]))</f>
        <v/>
      </c>
      <c r="K245" s="18">
        <f>IF($A245="","",IFERROR(SUMIF(tblGunluk[VarlikId],$A245,tblGunluk[FormulToplamTl])/SUMIF(tblGunluk[VarlikId],$A245,tblGunluk[Km_km]),0))</f>
        <v/>
      </c>
      <c r="L245" s="18">
        <f>IF($A245="","",MAX(0,MIN(100,fam_kaliteTaban-IF($K245&gt;fam_esikKmBasi,fam_kaliteCeza,0)-COUNTIFS(tblGunluk[VarlikId],$A245,tblGunluk[AlarmBayrak],"ALARM")*fam_kaliteSapma-IF($H245="HAYIR",fam_kaliteCeza,0))))</f>
        <v/>
      </c>
    </row>
    <row r="246">
      <c r="A246" s="15" t="n"/>
      <c r="B246" s="15" t="n"/>
      <c r="C246" s="15" t="n"/>
      <c r="D246" s="15" t="n"/>
      <c r="E246" s="16" t="n"/>
      <c r="F246" s="17" t="n"/>
      <c r="G246" s="17" t="n"/>
      <c r="H246" s="15" t="n"/>
      <c r="I246" s="18">
        <f>IF($A246="","",SUMIF(tblGunluk[VarlikId],$A246,tblGunluk[Km_km]))</f>
        <v/>
      </c>
      <c r="J246" s="18">
        <f>IF($A246="","",SUMIF(tblGunluk[VarlikId],$A246,tblGunluk[FormulToplamTl]))</f>
        <v/>
      </c>
      <c r="K246" s="18">
        <f>IF($A246="","",IFERROR(SUMIF(tblGunluk[VarlikId],$A246,tblGunluk[FormulToplamTl])/SUMIF(tblGunluk[VarlikId],$A246,tblGunluk[Km_km]),0))</f>
        <v/>
      </c>
      <c r="L246" s="18">
        <f>IF($A246="","",MAX(0,MIN(100,fam_kaliteTaban-IF($K246&gt;fam_esikKmBasi,fam_kaliteCeza,0)-COUNTIFS(tblGunluk[VarlikId],$A246,tblGunluk[AlarmBayrak],"ALARM")*fam_kaliteSapma-IF($H246="HAYIR",fam_kaliteCeza,0))))</f>
        <v/>
      </c>
    </row>
    <row r="247">
      <c r="A247" s="15" t="n"/>
      <c r="B247" s="15" t="n"/>
      <c r="C247" s="15" t="n"/>
      <c r="D247" s="15" t="n"/>
      <c r="E247" s="16" t="n"/>
      <c r="F247" s="17" t="n"/>
      <c r="G247" s="17" t="n"/>
      <c r="H247" s="15" t="n"/>
      <c r="I247" s="18">
        <f>IF($A247="","",SUMIF(tblGunluk[VarlikId],$A247,tblGunluk[Km_km]))</f>
        <v/>
      </c>
      <c r="J247" s="18">
        <f>IF($A247="","",SUMIF(tblGunluk[VarlikId],$A247,tblGunluk[FormulToplamTl]))</f>
        <v/>
      </c>
      <c r="K247" s="18">
        <f>IF($A247="","",IFERROR(SUMIF(tblGunluk[VarlikId],$A247,tblGunluk[FormulToplamTl])/SUMIF(tblGunluk[VarlikId],$A247,tblGunluk[Km_km]),0))</f>
        <v/>
      </c>
      <c r="L247" s="18">
        <f>IF($A247="","",MAX(0,MIN(100,fam_kaliteTaban-IF($K247&gt;fam_esikKmBasi,fam_kaliteCeza,0)-COUNTIFS(tblGunluk[VarlikId],$A247,tblGunluk[AlarmBayrak],"ALARM")*fam_kaliteSapma-IF($H247="HAYIR",fam_kaliteCeza,0))))</f>
        <v/>
      </c>
    </row>
    <row r="248">
      <c r="A248" s="15" t="n"/>
      <c r="B248" s="15" t="n"/>
      <c r="C248" s="15" t="n"/>
      <c r="D248" s="15" t="n"/>
      <c r="E248" s="16" t="n"/>
      <c r="F248" s="17" t="n"/>
      <c r="G248" s="17" t="n"/>
      <c r="H248" s="15" t="n"/>
      <c r="I248" s="18">
        <f>IF($A248="","",SUMIF(tblGunluk[VarlikId],$A248,tblGunluk[Km_km]))</f>
        <v/>
      </c>
      <c r="J248" s="18">
        <f>IF($A248="","",SUMIF(tblGunluk[VarlikId],$A248,tblGunluk[FormulToplamTl]))</f>
        <v/>
      </c>
      <c r="K248" s="18">
        <f>IF($A248="","",IFERROR(SUMIF(tblGunluk[VarlikId],$A248,tblGunluk[FormulToplamTl])/SUMIF(tblGunluk[VarlikId],$A248,tblGunluk[Km_km]),0))</f>
        <v/>
      </c>
      <c r="L248" s="18">
        <f>IF($A248="","",MAX(0,MIN(100,fam_kaliteTaban-IF($K248&gt;fam_esikKmBasi,fam_kaliteCeza,0)-COUNTIFS(tblGunluk[VarlikId],$A248,tblGunluk[AlarmBayrak],"ALARM")*fam_kaliteSapma-IF($H248="HAYIR",fam_kaliteCeza,0))))</f>
        <v/>
      </c>
    </row>
    <row r="249">
      <c r="A249" s="15" t="n"/>
      <c r="B249" s="15" t="n"/>
      <c r="C249" s="15" t="n"/>
      <c r="D249" s="15" t="n"/>
      <c r="E249" s="16" t="n"/>
      <c r="F249" s="17" t="n"/>
      <c r="G249" s="17" t="n"/>
      <c r="H249" s="15" t="n"/>
      <c r="I249" s="18">
        <f>IF($A249="","",SUMIF(tblGunluk[VarlikId],$A249,tblGunluk[Km_km]))</f>
        <v/>
      </c>
      <c r="J249" s="18">
        <f>IF($A249="","",SUMIF(tblGunluk[VarlikId],$A249,tblGunluk[FormulToplamTl]))</f>
        <v/>
      </c>
      <c r="K249" s="18">
        <f>IF($A249="","",IFERROR(SUMIF(tblGunluk[VarlikId],$A249,tblGunluk[FormulToplamTl])/SUMIF(tblGunluk[VarlikId],$A249,tblGunluk[Km_km]),0))</f>
        <v/>
      </c>
      <c r="L249" s="18">
        <f>IF($A249="","",MAX(0,MIN(100,fam_kaliteTaban-IF($K249&gt;fam_esikKmBasi,fam_kaliteCeza,0)-COUNTIFS(tblGunluk[VarlikId],$A249,tblGunluk[AlarmBayrak],"ALARM")*fam_kaliteSapma-IF($H249="HAYIR",fam_kaliteCeza,0))))</f>
        <v/>
      </c>
    </row>
    <row r="250">
      <c r="A250" s="15" t="n"/>
      <c r="B250" s="15" t="n"/>
      <c r="C250" s="15" t="n"/>
      <c r="D250" s="15" t="n"/>
      <c r="E250" s="16" t="n"/>
      <c r="F250" s="17" t="n"/>
      <c r="G250" s="17" t="n"/>
      <c r="H250" s="15" t="n"/>
      <c r="I250" s="18">
        <f>IF($A250="","",SUMIF(tblGunluk[VarlikId],$A250,tblGunluk[Km_km]))</f>
        <v/>
      </c>
      <c r="J250" s="18">
        <f>IF($A250="","",SUMIF(tblGunluk[VarlikId],$A250,tblGunluk[FormulToplamTl]))</f>
        <v/>
      </c>
      <c r="K250" s="18">
        <f>IF($A250="","",IFERROR(SUMIF(tblGunluk[VarlikId],$A250,tblGunluk[FormulToplamTl])/SUMIF(tblGunluk[VarlikId],$A250,tblGunluk[Km_km]),0))</f>
        <v/>
      </c>
      <c r="L250" s="18">
        <f>IF($A250="","",MAX(0,MIN(100,fam_kaliteTaban-IF($K250&gt;fam_esikKmBasi,fam_kaliteCeza,0)-COUNTIFS(tblGunluk[VarlikId],$A250,tblGunluk[AlarmBayrak],"ALARM")*fam_kaliteSapma-IF($H250="HAYIR",fam_kaliteCeza,0))))</f>
        <v/>
      </c>
    </row>
    <row r="251">
      <c r="A251" s="15" t="n"/>
      <c r="B251" s="15" t="n"/>
      <c r="C251" s="15" t="n"/>
      <c r="D251" s="15" t="n"/>
      <c r="E251" s="16" t="n"/>
      <c r="F251" s="17" t="n"/>
      <c r="G251" s="17" t="n"/>
      <c r="H251" s="15" t="n"/>
      <c r="I251" s="18">
        <f>IF($A251="","",SUMIF(tblGunluk[VarlikId],$A251,tblGunluk[Km_km]))</f>
        <v/>
      </c>
      <c r="J251" s="18">
        <f>IF($A251="","",SUMIF(tblGunluk[VarlikId],$A251,tblGunluk[FormulToplamTl]))</f>
        <v/>
      </c>
      <c r="K251" s="18">
        <f>IF($A251="","",IFERROR(SUMIF(tblGunluk[VarlikId],$A251,tblGunluk[FormulToplamTl])/SUMIF(tblGunluk[VarlikId],$A251,tblGunluk[Km_km]),0))</f>
        <v/>
      </c>
      <c r="L251" s="18">
        <f>IF($A251="","",MAX(0,MIN(100,fam_kaliteTaban-IF($K251&gt;fam_esikKmBasi,fam_kaliteCeza,0)-COUNTIFS(tblGunluk[VarlikId],$A251,tblGunluk[AlarmBayrak],"ALARM")*fam_kaliteSapma-IF($H251="HAYIR",fam_kaliteCeza,0))))</f>
        <v/>
      </c>
    </row>
    <row r="252">
      <c r="A252" s="15" t="n"/>
      <c r="B252" s="15" t="n"/>
      <c r="C252" s="15" t="n"/>
      <c r="D252" s="15" t="n"/>
      <c r="E252" s="16" t="n"/>
      <c r="F252" s="17" t="n"/>
      <c r="G252" s="17" t="n"/>
      <c r="H252" s="15" t="n"/>
      <c r="I252" s="18">
        <f>IF($A252="","",SUMIF(tblGunluk[VarlikId],$A252,tblGunluk[Km_km]))</f>
        <v/>
      </c>
      <c r="J252" s="18">
        <f>IF($A252="","",SUMIF(tblGunluk[VarlikId],$A252,tblGunluk[FormulToplamTl]))</f>
        <v/>
      </c>
      <c r="K252" s="18">
        <f>IF($A252="","",IFERROR(SUMIF(tblGunluk[VarlikId],$A252,tblGunluk[FormulToplamTl])/SUMIF(tblGunluk[VarlikId],$A252,tblGunluk[Km_km]),0))</f>
        <v/>
      </c>
      <c r="L252" s="18">
        <f>IF($A252="","",MAX(0,MIN(100,fam_kaliteTaban-IF($K252&gt;fam_esikKmBasi,fam_kaliteCeza,0)-COUNTIFS(tblGunluk[VarlikId],$A252,tblGunluk[AlarmBayrak],"ALARM")*fam_kaliteSapma-IF($H252="HAYIR",fam_kaliteCeza,0))))</f>
        <v/>
      </c>
    </row>
    <row r="253">
      <c r="A253" s="15" t="n"/>
      <c r="B253" s="15" t="n"/>
      <c r="C253" s="15" t="n"/>
      <c r="D253" s="15" t="n"/>
      <c r="E253" s="16" t="n"/>
      <c r="F253" s="17" t="n"/>
      <c r="G253" s="17" t="n"/>
      <c r="H253" s="15" t="n"/>
      <c r="I253" s="18">
        <f>IF($A253="","",SUMIF(tblGunluk[VarlikId],$A253,tblGunluk[Km_km]))</f>
        <v/>
      </c>
      <c r="J253" s="18">
        <f>IF($A253="","",SUMIF(tblGunluk[VarlikId],$A253,tblGunluk[FormulToplamTl]))</f>
        <v/>
      </c>
      <c r="K253" s="18">
        <f>IF($A253="","",IFERROR(SUMIF(tblGunluk[VarlikId],$A253,tblGunluk[FormulToplamTl])/SUMIF(tblGunluk[VarlikId],$A253,tblGunluk[Km_km]),0))</f>
        <v/>
      </c>
      <c r="L253" s="18">
        <f>IF($A253="","",MAX(0,MIN(100,fam_kaliteTaban-IF($K253&gt;fam_esikKmBasi,fam_kaliteCeza,0)-COUNTIFS(tblGunluk[VarlikId],$A253,tblGunluk[AlarmBayrak],"ALARM")*fam_kaliteSapma-IF($H253="HAYIR",fam_kaliteCeza,0))))</f>
        <v/>
      </c>
    </row>
    <row r="254">
      <c r="A254" s="15" t="n"/>
      <c r="B254" s="15" t="n"/>
      <c r="C254" s="15" t="n"/>
      <c r="D254" s="15" t="n"/>
      <c r="E254" s="16" t="n"/>
      <c r="F254" s="17" t="n"/>
      <c r="G254" s="17" t="n"/>
      <c r="H254" s="15" t="n"/>
      <c r="I254" s="18">
        <f>IF($A254="","",SUMIF(tblGunluk[VarlikId],$A254,tblGunluk[Km_km]))</f>
        <v/>
      </c>
      <c r="J254" s="18">
        <f>IF($A254="","",SUMIF(tblGunluk[VarlikId],$A254,tblGunluk[FormulToplamTl]))</f>
        <v/>
      </c>
      <c r="K254" s="18">
        <f>IF($A254="","",IFERROR(SUMIF(tblGunluk[VarlikId],$A254,tblGunluk[FormulToplamTl])/SUMIF(tblGunluk[VarlikId],$A254,tblGunluk[Km_km]),0))</f>
        <v/>
      </c>
      <c r="L254" s="18">
        <f>IF($A254="","",MAX(0,MIN(100,fam_kaliteTaban-IF($K254&gt;fam_esikKmBasi,fam_kaliteCeza,0)-COUNTIFS(tblGunluk[VarlikId],$A254,tblGunluk[AlarmBayrak],"ALARM")*fam_kaliteSapma-IF($H254="HAYIR",fam_kaliteCeza,0))))</f>
        <v/>
      </c>
    </row>
    <row r="255">
      <c r="A255" s="15" t="n"/>
      <c r="B255" s="15" t="n"/>
      <c r="C255" s="15" t="n"/>
      <c r="D255" s="15" t="n"/>
      <c r="E255" s="16" t="n"/>
      <c r="F255" s="17" t="n"/>
      <c r="G255" s="17" t="n"/>
      <c r="H255" s="15" t="n"/>
      <c r="I255" s="18">
        <f>IF($A255="","",SUMIF(tblGunluk[VarlikId],$A255,tblGunluk[Km_km]))</f>
        <v/>
      </c>
      <c r="J255" s="18">
        <f>IF($A255="","",SUMIF(tblGunluk[VarlikId],$A255,tblGunluk[FormulToplamTl]))</f>
        <v/>
      </c>
      <c r="K255" s="18">
        <f>IF($A255="","",IFERROR(SUMIF(tblGunluk[VarlikId],$A255,tblGunluk[FormulToplamTl])/SUMIF(tblGunluk[VarlikId],$A255,tblGunluk[Km_km]),0))</f>
        <v/>
      </c>
      <c r="L255" s="18">
        <f>IF($A255="","",MAX(0,MIN(100,fam_kaliteTaban-IF($K255&gt;fam_esikKmBasi,fam_kaliteCeza,0)-COUNTIFS(tblGunluk[VarlikId],$A255,tblGunluk[AlarmBayrak],"ALARM")*fam_kaliteSapma-IF($H255="HAYIR",fam_kaliteCeza,0))))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H6:H255">
    <cfRule type="cellIs" priority="1" operator="equal" dxfId="0">
      <formula>"HAYIR"</formula>
    </cfRule>
  </conditionalFormatting>
  <conditionalFormatting sqref="L6:L255">
    <cfRule type="cellIs" priority="2" operator="lessThan" dxfId="1">
      <formula>fam_esikSaglik</formula>
    </cfRule>
  </conditionalFormatting>
  <conditionalFormatting sqref="K6:K255">
    <cfRule type="cellIs" priority="3" operator="greaterThan" dxfId="0">
      <formula>fam_esikKmBasi</formula>
    </cfRule>
  </conditionalFormatting>
  <dataValidations count="8">
    <dataValidation sqref="A6:A255" showDropDown="0" showInputMessage="1" showErrorMessage="1" allowBlank="1" errorTitle="Kimlik" error="En az 1 karakter" promptTitle="Varlık Kimliği" prompt="ARC-##### girin" type="textLength" errorStyle="stop" operator="greaterThan">
      <formula1>1</formula1>
      <formula2>40</formula2>
    </dataValidation>
    <dataValidation sqref="B6:B255" showDropDown="0" showInputMessage="1" showErrorMessage="1" allowBlank="1" errorTitle="Plaka/Ad" error="Geçersiz" promptTitle="Plaka/Ad" prompt="Plaka/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Tip" error="Geçersiz" promptTitle="Tip" prompt="Tip girin" type="textLength" errorStyle="stop" operator="greaterThanOrEqual">
      <formula1>0</formula1>
      <formula2>80</formula2>
    </dataValidation>
    <dataValidation sqref="D6:D255" showDropDown="0" showInputMessage="1" showErrorMessage="1" allowBlank="1" errorTitle="Yakıt" error="Geçersiz" promptTitle="Yakıt" prompt="Yakıt girin" type="textLength" errorStyle="stop" operator="greaterThanOrEqual">
      <formula1>0</formula1>
      <formula2>80</formula2>
    </dataValidation>
    <dataValidation sqref="E6:E255" showDropDown="0" showInputMessage="1" showErrorMessage="1" allowBlank="1" errorTitle="Tüketim" error="0 veya üzeri" promptTitle="Tüketim" prompt="Tüketim ≥ 0" type="decimal" errorStyle="stop" operator="greaterThanOrEqual">
      <formula1>0</formula1>
    </dataValidation>
    <dataValidation sqref="F6:F255" showDropDown="0" showInputMessage="1" showErrorMessage="1" allowBlank="1" errorTitle="Amortisman" error="0 veya üzeri" promptTitle="Amortisman" prompt="Amortisman ≥ 0" type="decimal" errorStyle="stop" operator="greaterThanOrEqual">
      <formula1>0</formula1>
    </dataValidation>
    <dataValidation sqref="G6:G255" showDropDown="0" showInputMessage="1" showErrorMessage="1" allowBlank="1" errorTitle="Sigorta" error="0 veya üzeri" promptTitle="Sigorta" prompt="Sigorta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2742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GUNLUK GIRIS — Filo Araç Maliyet Komutası</t>
        </is>
      </c>
    </row>
    <row r="3" ht="20" customHeight="1">
      <c r="A3" s="10" t="inlineStr">
        <is>
          <t>GÜNLÜK saha girişi — satır başına en fazla 6 manuel alan (S02)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Km_km</t>
        </is>
      </c>
      <c r="E5" s="14" t="inlineStr">
        <is>
          <t>YakitLt_lt</t>
        </is>
      </c>
      <c r="F5" s="14" t="inlineStr">
        <is>
          <t>BakimTl_tl</t>
        </is>
      </c>
      <c r="G5" s="14" t="inlineStr">
        <is>
          <t>OlayTuru</t>
        </is>
      </c>
      <c r="H5" s="14" t="inlineStr">
        <is>
          <t>FormulYakitTl</t>
        </is>
      </c>
      <c r="I5" s="14" t="inlineStr">
        <is>
          <t>FormulAmortTl</t>
        </is>
      </c>
      <c r="J5" s="14" t="inlineStr">
        <is>
          <t>FormulSigortaTl</t>
        </is>
      </c>
      <c r="K5" s="14" t="inlineStr">
        <is>
          <t>FormulToplamTl</t>
        </is>
      </c>
      <c r="L5" s="14" t="inlineStr">
        <is>
          <t>FormulKmBasi</t>
        </is>
      </c>
      <c r="M5" s="14" t="inlineStr">
        <is>
          <t>SaglikSkorSatir</t>
        </is>
      </c>
      <c r="N5" s="14" t="inlineStr">
        <is>
          <t>AlarmBayrak</t>
        </is>
      </c>
      <c r="O5" s="14" t="inlineStr">
        <is>
          <t>FormulKayitDolu</t>
        </is>
      </c>
      <c r="P5" s="14" t="inlineStr">
        <is>
          <t>FormulYetim</t>
        </is>
      </c>
    </row>
    <row r="6">
      <c r="A6" s="15" t="inlineStr">
        <is>
          <t>GLG-00001</t>
        </is>
      </c>
      <c r="B6" s="15" t="inlineStr">
        <is>
          <t>ARC-00001</t>
        </is>
      </c>
      <c r="C6" s="60" t="n">
        <v>46242</v>
      </c>
      <c r="D6" s="20" t="n">
        <v>135</v>
      </c>
      <c r="E6" s="16" t="n">
        <v>12.8</v>
      </c>
      <c r="F6" s="17" t="n">
        <v>0</v>
      </c>
      <c r="G6" s="15" t="inlineStr">
        <is>
          <t>BAKIM</t>
        </is>
      </c>
      <c r="H6" s="18">
        <f>IF($A6="","",$E6*fam_yakitBirimFiyat)</f>
        <v/>
      </c>
      <c r="I6" s="18">
        <f>IF($A6="","",$D6*IFERROR(SUMIF(tblVarliklar[VarlikId],$B6,tblVarliklar[AmortismanTlKm]),fam_amortismanTlKm))</f>
        <v/>
      </c>
      <c r="J6" s="18">
        <f>IF($A6="","",IFERROR(SUMIF(tblVarliklar[VarlikId],$B6,tblVarliklar[SigortaYillikTl]),fam_sigortaYillik)/365*fam_sigortaGunPay)</f>
        <v/>
      </c>
      <c r="K6" s="18">
        <f>IF($A6="","",$H6+$F6+$I6+$J6)</f>
        <v/>
      </c>
      <c r="L6" s="18">
        <f>IF(OR($A6="",$D6=0),"",$K6/$D6)</f>
        <v/>
      </c>
      <c r="M6" s="18">
        <f>IF($A6="","",MAX(0,MIN(100,fam_kaliteTaban-IF($L6&gt;fam_esikKmBasi,fam_kaliteCeza,0)-IF($F6&gt;fam_esikBakimTl,fam_kaliteSapma,0)-IF($P6="YETIM",fam_kaliteCeza,0))))</f>
        <v/>
      </c>
      <c r="N6" s="18">
        <f>IF($A6="","",IF(OR($L6&gt;fam_esikKmBasi,$F6&gt;fam_esikBakimTl,$M6&lt;fam_esikSaglik),"ALARM","UYGUN"))</f>
        <v/>
      </c>
      <c r="O6" s="18">
        <f>IF($A6="","",1)</f>
        <v/>
      </c>
      <c r="P6" s="18">
        <f>IF($A6="","",IF(OR($B6="",COUNTIF(tblVarliklar[VarlikId],$B6)=0),"YETIM","TAMAM"))</f>
        <v/>
      </c>
    </row>
    <row r="7">
      <c r="A7" s="15" t="inlineStr">
        <is>
          <t>GLG-00002</t>
        </is>
      </c>
      <c r="B7" s="15" t="inlineStr">
        <is>
          <t>ARC-00002</t>
        </is>
      </c>
      <c r="C7" s="60" t="n">
        <v>46239</v>
      </c>
      <c r="D7" s="20" t="n">
        <v>190</v>
      </c>
      <c r="E7" s="16" t="n">
        <v>19.4</v>
      </c>
      <c r="F7" s="17" t="n">
        <v>0</v>
      </c>
      <c r="G7" s="15" t="inlineStr">
        <is>
          <t>YAKIT</t>
        </is>
      </c>
      <c r="H7" s="18">
        <f>IF($A7="","",$E7*fam_yakitBirimFiyat)</f>
        <v/>
      </c>
      <c r="I7" s="18">
        <f>IF($A7="","",$D7*IFERROR(SUMIF(tblVarliklar[VarlikId],$B7,tblVarliklar[AmortismanTlKm]),fam_amortismanTlKm))</f>
        <v/>
      </c>
      <c r="J7" s="18">
        <f>IF($A7="","",IFERROR(SUMIF(tblVarliklar[VarlikId],$B7,tblVarliklar[SigortaYillikTl]),fam_sigortaYillik)/365*fam_sigortaGunPay)</f>
        <v/>
      </c>
      <c r="K7" s="18">
        <f>IF($A7="","",$H7+$F7+$I7+$J7)</f>
        <v/>
      </c>
      <c r="L7" s="18">
        <f>IF(OR($A7="",$D7=0),"",$K7/$D7)</f>
        <v/>
      </c>
      <c r="M7" s="18">
        <f>IF($A7="","",MAX(0,MIN(100,fam_kaliteTaban-IF($L7&gt;fam_esikKmBasi,fam_kaliteCeza,0)-IF($F7&gt;fam_esikBakimTl,fam_kaliteSapma,0)-IF($P7="YETIM",fam_kaliteCeza,0))))</f>
        <v/>
      </c>
      <c r="N7" s="18">
        <f>IF($A7="","",IF(OR($L7&gt;fam_esikKmBasi,$F7&gt;fam_esikBakimTl,$M7&lt;fam_esikSaglik),"ALARM","UYGUN"))</f>
        <v/>
      </c>
      <c r="O7" s="18">
        <f>IF($A7="","",1)</f>
        <v/>
      </c>
      <c r="P7" s="18">
        <f>IF($A7="","",IF(OR($B7="",COUNTIF(tblVarliklar[VarlikId],$B7)=0),"YETIM","TAMAM"))</f>
        <v/>
      </c>
    </row>
    <row r="8">
      <c r="A8" s="15" t="inlineStr">
        <is>
          <t>GLG-00003</t>
        </is>
      </c>
      <c r="B8" s="15" t="inlineStr">
        <is>
          <t>ARC-00003</t>
        </is>
      </c>
      <c r="C8" s="60" t="n">
        <v>46236</v>
      </c>
      <c r="D8" s="20" t="n">
        <v>185</v>
      </c>
      <c r="E8" s="16" t="n">
        <v>20.4</v>
      </c>
      <c r="F8" s="17" t="n">
        <v>0</v>
      </c>
      <c r="G8" s="15" t="inlineStr">
        <is>
          <t>MUAYENE</t>
        </is>
      </c>
      <c r="H8" s="18">
        <f>IF($A8="","",$E8*fam_yakitBirimFiyat)</f>
        <v/>
      </c>
      <c r="I8" s="18">
        <f>IF($A8="","",$D8*IFERROR(SUMIF(tblVarliklar[VarlikId],$B8,tblVarliklar[AmortismanTlKm]),fam_amortismanTlKm))</f>
        <v/>
      </c>
      <c r="J8" s="18">
        <f>IF($A8="","",IFERROR(SUMIF(tblVarliklar[VarlikId],$B8,tblVarliklar[SigortaYillikTl]),fam_sigortaYillik)/365*fam_sigortaGunPay)</f>
        <v/>
      </c>
      <c r="K8" s="18">
        <f>IF($A8="","",$H8+$F8+$I8+$J8)</f>
        <v/>
      </c>
      <c r="L8" s="18">
        <f>IF(OR($A8="",$D8=0),"",$K8/$D8)</f>
        <v/>
      </c>
      <c r="M8" s="18">
        <f>IF($A8="","",MAX(0,MIN(100,fam_kaliteTaban-IF($L8&gt;fam_esikKmBasi,fam_kaliteCeza,0)-IF($F8&gt;fam_esikBakimTl,fam_kaliteSapma,0)-IF($P8="YETIM",fam_kaliteCeza,0))))</f>
        <v/>
      </c>
      <c r="N8" s="18">
        <f>IF($A8="","",IF(OR($L8&gt;fam_esikKmBasi,$F8&gt;fam_esikBakimTl,$M8&lt;fam_esikSaglik),"ALARM","UYGUN"))</f>
        <v/>
      </c>
      <c r="O8" s="18">
        <f>IF($A8="","",1)</f>
        <v/>
      </c>
      <c r="P8" s="18">
        <f>IF($A8="","",IF(OR($B8="",COUNTIF(tblVarliklar[VarlikId],$B8)=0),"YETIM","TAMAM"))</f>
        <v/>
      </c>
    </row>
    <row r="9">
      <c r="A9" s="15" t="inlineStr">
        <is>
          <t>GLG-00004</t>
        </is>
      </c>
      <c r="B9" s="15" t="inlineStr">
        <is>
          <t>ARC-00004</t>
        </is>
      </c>
      <c r="C9" s="60" t="n">
        <v>46233</v>
      </c>
      <c r="D9" s="20" t="n">
        <v>240</v>
      </c>
      <c r="E9" s="16" t="n">
        <v>23.5</v>
      </c>
      <c r="F9" s="17" t="n">
        <v>0</v>
      </c>
      <c r="G9" s="15" t="inlineStr">
        <is>
          <t>ARIZA</t>
        </is>
      </c>
      <c r="H9" s="18">
        <f>IF($A9="","",$E9*fam_yakitBirimFiyat)</f>
        <v/>
      </c>
      <c r="I9" s="18">
        <f>IF($A9="","",$D9*IFERROR(SUMIF(tblVarliklar[VarlikId],$B9,tblVarliklar[AmortismanTlKm]),fam_amortismanTlKm))</f>
        <v/>
      </c>
      <c r="J9" s="18">
        <f>IF($A9="","",IFERROR(SUMIF(tblVarliklar[VarlikId],$B9,tblVarliklar[SigortaYillikTl]),fam_sigortaYillik)/365*fam_sigortaGunPay)</f>
        <v/>
      </c>
      <c r="K9" s="18">
        <f>IF($A9="","",$H9+$F9+$I9+$J9)</f>
        <v/>
      </c>
      <c r="L9" s="18">
        <f>IF(OR($A9="",$D9=0),"",$K9/$D9)</f>
        <v/>
      </c>
      <c r="M9" s="18">
        <f>IF($A9="","",MAX(0,MIN(100,fam_kaliteTaban-IF($L9&gt;fam_esikKmBasi,fam_kaliteCeza,0)-IF($F9&gt;fam_esikBakimTl,fam_kaliteSapma,0)-IF($P9="YETIM",fam_kaliteCeza,0))))</f>
        <v/>
      </c>
      <c r="N9" s="18">
        <f>IF($A9="","",IF(OR($L9&gt;fam_esikKmBasi,$F9&gt;fam_esikBakimTl,$M9&lt;fam_esikSaglik),"ALARM","UYGUN"))</f>
        <v/>
      </c>
      <c r="O9" s="18">
        <f>IF($A9="","",1)</f>
        <v/>
      </c>
      <c r="P9" s="18">
        <f>IF($A9="","",IF(OR($B9="",COUNTIF(tblVarliklar[VarlikId],$B9)=0),"YETIM","TAMAM"))</f>
        <v/>
      </c>
    </row>
    <row r="10">
      <c r="A10" s="15" t="inlineStr">
        <is>
          <t>GLG-00005</t>
        </is>
      </c>
      <c r="B10" s="15" t="inlineStr">
        <is>
          <t>ARC-00005</t>
        </is>
      </c>
      <c r="C10" s="60" t="n">
        <v>46230</v>
      </c>
      <c r="D10" s="20" t="n">
        <v>295</v>
      </c>
      <c r="E10" s="16" t="n">
        <v>42.8</v>
      </c>
      <c r="F10" s="17" t="n">
        <v>570</v>
      </c>
      <c r="G10" s="15" t="inlineStr">
        <is>
          <t>DIGER</t>
        </is>
      </c>
      <c r="H10" s="18">
        <f>IF($A10="","",$E10*fam_yakitBirimFiyat)</f>
        <v/>
      </c>
      <c r="I10" s="18">
        <f>IF($A10="","",$D10*IFERROR(SUMIF(tblVarliklar[VarlikId],$B10,tblVarliklar[AmortismanTlKm]),fam_amortismanTlKm))</f>
        <v/>
      </c>
      <c r="J10" s="18">
        <f>IF($A10="","",IFERROR(SUMIF(tblVarliklar[VarlikId],$B10,tblVarliklar[SigortaYillikTl]),fam_sigortaYillik)/365*fam_sigortaGunPay)</f>
        <v/>
      </c>
      <c r="K10" s="18">
        <f>IF($A10="","",$H10+$F10+$I10+$J10)</f>
        <v/>
      </c>
      <c r="L10" s="18">
        <f>IF(OR($A10="",$D10=0),"",$K10/$D10)</f>
        <v/>
      </c>
      <c r="M10" s="18">
        <f>IF($A10="","",MAX(0,MIN(100,fam_kaliteTaban-IF($L10&gt;fam_esikKmBasi,fam_kaliteCeza,0)-IF($F10&gt;fam_esikBakimTl,fam_kaliteSapma,0)-IF($P10="YETIM",fam_kaliteCeza,0))))</f>
        <v/>
      </c>
      <c r="N10" s="18">
        <f>IF($A10="","",IF(OR($L10&gt;fam_esikKmBasi,$F10&gt;fam_esikBakimTl,$M10&lt;fam_esikSaglik),"ALARM","UYGUN"))</f>
        <v/>
      </c>
      <c r="O10" s="18">
        <f>IF($A10="","",1)</f>
        <v/>
      </c>
      <c r="P10" s="18">
        <f>IF($A10="","",IF(OR($B10="",COUNTIF(tblVarliklar[VarlikId],$B10)=0),"YETIM","TAMAM"))</f>
        <v/>
      </c>
    </row>
    <row r="11">
      <c r="A11" s="15" t="inlineStr">
        <is>
          <t>GLG-00006</t>
        </is>
      </c>
      <c r="B11" s="15" t="inlineStr">
        <is>
          <t>ARC-00006</t>
        </is>
      </c>
      <c r="C11" s="60" t="n">
        <v>46227</v>
      </c>
      <c r="D11" s="20" t="n">
        <v>290</v>
      </c>
      <c r="E11" s="16" t="n">
        <v>29</v>
      </c>
      <c r="F11" s="17" t="n">
        <v>0</v>
      </c>
      <c r="G11" s="15" t="inlineStr">
        <is>
          <t>SEFER</t>
        </is>
      </c>
      <c r="H11" s="18">
        <f>IF($A11="","",$E11*fam_yakitBirimFiyat)</f>
        <v/>
      </c>
      <c r="I11" s="18">
        <f>IF($A11="","",$D11*IFERROR(SUMIF(tblVarliklar[VarlikId],$B11,tblVarliklar[AmortismanTlKm]),fam_amortismanTlKm))</f>
        <v/>
      </c>
      <c r="J11" s="18">
        <f>IF($A11="","",IFERROR(SUMIF(tblVarliklar[VarlikId],$B11,tblVarliklar[SigortaYillikTl]),fam_sigortaYillik)/365*fam_sigortaGunPay)</f>
        <v/>
      </c>
      <c r="K11" s="18">
        <f>IF($A11="","",$H11+$F11+$I11+$J11)</f>
        <v/>
      </c>
      <c r="L11" s="18">
        <f>IF(OR($A11="",$D11=0),"",$K11/$D11)</f>
        <v/>
      </c>
      <c r="M11" s="18">
        <f>IF($A11="","",MAX(0,MIN(100,fam_kaliteTaban-IF($L11&gt;fam_esikKmBasi,fam_kaliteCeza,0)-IF($F11&gt;fam_esikBakimTl,fam_kaliteSapma,0)-IF($P11="YETIM",fam_kaliteCeza,0))))</f>
        <v/>
      </c>
      <c r="N11" s="18">
        <f>IF($A11="","",IF(OR($L11&gt;fam_esikKmBasi,$F11&gt;fam_esikBakimTl,$M11&lt;fam_esikSaglik),"ALARM","UYGUN"))</f>
        <v/>
      </c>
      <c r="O11" s="18">
        <f>IF($A11="","",1)</f>
        <v/>
      </c>
      <c r="P11" s="18">
        <f>IF($A11="","",IF(OR($B11="",COUNTIF(tblVarliklar[VarlikId],$B11)=0),"YETIM","TAMAM"))</f>
        <v/>
      </c>
    </row>
    <row r="12">
      <c r="A12" s="15" t="inlineStr">
        <is>
          <t>GLG-00007</t>
        </is>
      </c>
      <c r="B12" s="15" t="inlineStr">
        <is>
          <t>ARC-00007</t>
        </is>
      </c>
      <c r="C12" s="60" t="n">
        <v>46224</v>
      </c>
      <c r="D12" s="20" t="n">
        <v>100</v>
      </c>
      <c r="E12" s="16" t="n">
        <v>8.5</v>
      </c>
      <c r="F12" s="17" t="n">
        <v>0</v>
      </c>
      <c r="G12" s="15" t="inlineStr">
        <is>
          <t>BAKIM</t>
        </is>
      </c>
      <c r="H12" s="18">
        <f>IF($A12="","",$E12*fam_yakitBirimFiyat)</f>
        <v/>
      </c>
      <c r="I12" s="18">
        <f>IF($A12="","",$D12*IFERROR(SUMIF(tblVarliklar[VarlikId],$B12,tblVarliklar[AmortismanTlKm]),fam_amortismanTlKm))</f>
        <v/>
      </c>
      <c r="J12" s="18">
        <f>IF($A12="","",IFERROR(SUMIF(tblVarliklar[VarlikId],$B12,tblVarliklar[SigortaYillikTl]),fam_sigortaYillik)/365*fam_sigortaGunPay)</f>
        <v/>
      </c>
      <c r="K12" s="18">
        <f>IF($A12="","",$H12+$F12+$I12+$J12)</f>
        <v/>
      </c>
      <c r="L12" s="18">
        <f>IF(OR($A12="",$D12=0),"",$K12/$D12)</f>
        <v/>
      </c>
      <c r="M12" s="18">
        <f>IF($A12="","",MAX(0,MIN(100,fam_kaliteTaban-IF($L12&gt;fam_esikKmBasi,fam_kaliteCeza,0)-IF($F12&gt;fam_esikBakimTl,fam_kaliteSapma,0)-IF($P12="YETIM",fam_kaliteCeza,0))))</f>
        <v/>
      </c>
      <c r="N12" s="18">
        <f>IF($A12="","",IF(OR($L12&gt;fam_esikKmBasi,$F12&gt;fam_esikBakimTl,$M12&lt;fam_esikSaglik),"ALARM","UYGUN"))</f>
        <v/>
      </c>
      <c r="O12" s="18">
        <f>IF($A12="","",1)</f>
        <v/>
      </c>
      <c r="P12" s="18">
        <f>IF($A12="","",IF(OR($B12="",COUNTIF(tblVarliklar[VarlikId],$B12)=0),"YETIM","TAMAM"))</f>
        <v/>
      </c>
    </row>
    <row r="13">
      <c r="A13" s="15" t="inlineStr">
        <is>
          <t>GLG-00008</t>
        </is>
      </c>
      <c r="B13" s="15" t="inlineStr">
        <is>
          <t>ARC-00008</t>
        </is>
      </c>
      <c r="C13" s="60" t="n">
        <v>46221</v>
      </c>
      <c r="D13" s="20" t="n">
        <v>155</v>
      </c>
      <c r="E13" s="16" t="n">
        <v>24.8</v>
      </c>
      <c r="F13" s="17" t="n">
        <v>0</v>
      </c>
      <c r="G13" s="15" t="inlineStr">
        <is>
          <t>YAKIT</t>
        </is>
      </c>
      <c r="H13" s="18">
        <f>IF($A13="","",$E13*fam_yakitBirimFiyat)</f>
        <v/>
      </c>
      <c r="I13" s="18">
        <f>IF($A13="","",$D13*IFERROR(SUMIF(tblVarliklar[VarlikId],$B13,tblVarliklar[AmortismanTlKm]),fam_amortismanTlKm))</f>
        <v/>
      </c>
      <c r="J13" s="18">
        <f>IF($A13="","",IFERROR(SUMIF(tblVarliklar[VarlikId],$B13,tblVarliklar[SigortaYillikTl]),fam_sigortaYillik)/365*fam_sigortaGunPay)</f>
        <v/>
      </c>
      <c r="K13" s="18">
        <f>IF($A13="","",$H13+$F13+$I13+$J13)</f>
        <v/>
      </c>
      <c r="L13" s="18">
        <f>IF(OR($A13="",$D13=0),"",$K13/$D13)</f>
        <v/>
      </c>
      <c r="M13" s="18">
        <f>IF($A13="","",MAX(0,MIN(100,fam_kaliteTaban-IF($L13&gt;fam_esikKmBasi,fam_kaliteCeza,0)-IF($F13&gt;fam_esikBakimTl,fam_kaliteSapma,0)-IF($P13="YETIM",fam_kaliteCeza,0))))</f>
        <v/>
      </c>
      <c r="N13" s="18">
        <f>IF($A13="","",IF(OR($L13&gt;fam_esikKmBasi,$F13&gt;fam_esikBakimTl,$M13&lt;fam_esikSaglik),"ALARM","UYGUN"))</f>
        <v/>
      </c>
      <c r="O13" s="18">
        <f>IF($A13="","",1)</f>
        <v/>
      </c>
      <c r="P13" s="18">
        <f>IF($A13="","",IF(OR($B13="",COUNTIF(tblVarliklar[VarlikId],$B13)=0),"YETIM","TAMAM"))</f>
        <v/>
      </c>
    </row>
    <row r="14">
      <c r="A14" s="15" t="inlineStr">
        <is>
          <t>GLG-00009</t>
        </is>
      </c>
      <c r="B14" s="15" t="inlineStr">
        <is>
          <t>ARC-00001</t>
        </is>
      </c>
      <c r="C14" s="60" t="n">
        <v>46218</v>
      </c>
      <c r="D14" s="20" t="n">
        <v>150</v>
      </c>
      <c r="E14" s="16" t="n">
        <v>14.2</v>
      </c>
      <c r="F14" s="17" t="n">
        <v>0</v>
      </c>
      <c r="G14" s="15" t="inlineStr">
        <is>
          <t>MUAYENE</t>
        </is>
      </c>
      <c r="H14" s="18">
        <f>IF($A14="","",$E14*fam_yakitBirimFiyat)</f>
        <v/>
      </c>
      <c r="I14" s="18">
        <f>IF($A14="","",$D14*IFERROR(SUMIF(tblVarliklar[VarlikId],$B14,tblVarliklar[AmortismanTlKm]),fam_amortismanTlKm))</f>
        <v/>
      </c>
      <c r="J14" s="18">
        <f>IF($A14="","",IFERROR(SUMIF(tblVarliklar[VarlikId],$B14,tblVarliklar[SigortaYillikTl]),fam_sigortaYillik)/365*fam_sigortaGunPay)</f>
        <v/>
      </c>
      <c r="K14" s="18">
        <f>IF($A14="","",$H14+$F14+$I14+$J14)</f>
        <v/>
      </c>
      <c r="L14" s="18">
        <f>IF(OR($A14="",$D14=0),"",$K14/$D14)</f>
        <v/>
      </c>
      <c r="M14" s="18">
        <f>IF($A14="","",MAX(0,MIN(100,fam_kaliteTaban-IF($L14&gt;fam_esikKmBasi,fam_kaliteCeza,0)-IF($F14&gt;fam_esikBakimTl,fam_kaliteSapma,0)-IF($P14="YETIM",fam_kaliteCeza,0))))</f>
        <v/>
      </c>
      <c r="N14" s="18">
        <f>IF($A14="","",IF(OR($L14&gt;fam_esikKmBasi,$F14&gt;fam_esikBakimTl,$M14&lt;fam_esikSaglik),"ALARM","UYGUN"))</f>
        <v/>
      </c>
      <c r="O14" s="18">
        <f>IF($A14="","",1)</f>
        <v/>
      </c>
      <c r="P14" s="18">
        <f>IF($A14="","",IF(OR($B14="",COUNTIF(tblVarliklar[VarlikId],$B14)=0),"YETIM","TAMAM"))</f>
        <v/>
      </c>
    </row>
    <row r="15">
      <c r="A15" s="15" t="inlineStr">
        <is>
          <t>GLG-00010</t>
        </is>
      </c>
      <c r="B15" s="15" t="inlineStr">
        <is>
          <t>ARC-00002</t>
        </is>
      </c>
      <c r="C15" s="60" t="n">
        <v>46215</v>
      </c>
      <c r="D15" s="20" t="n">
        <v>205</v>
      </c>
      <c r="E15" s="16" t="n">
        <v>20.9</v>
      </c>
      <c r="F15" s="17" t="n">
        <v>690</v>
      </c>
      <c r="G15" s="15" t="inlineStr">
        <is>
          <t>ARIZA</t>
        </is>
      </c>
      <c r="H15" s="18">
        <f>IF($A15="","",$E15*fam_yakitBirimFiyat)</f>
        <v/>
      </c>
      <c r="I15" s="18">
        <f>IF($A15="","",$D15*IFERROR(SUMIF(tblVarliklar[VarlikId],$B15,tblVarliklar[AmortismanTlKm]),fam_amortismanTlKm))</f>
        <v/>
      </c>
      <c r="J15" s="18">
        <f>IF($A15="","",IFERROR(SUMIF(tblVarliklar[VarlikId],$B15,tblVarliklar[SigortaYillikTl]),fam_sigortaYillik)/365*fam_sigortaGunPay)</f>
        <v/>
      </c>
      <c r="K15" s="18">
        <f>IF($A15="","",$H15+$F15+$I15+$J15)</f>
        <v/>
      </c>
      <c r="L15" s="18">
        <f>IF(OR($A15="",$D15=0),"",$K15/$D15)</f>
        <v/>
      </c>
      <c r="M15" s="18">
        <f>IF($A15="","",MAX(0,MIN(100,fam_kaliteTaban-IF($L15&gt;fam_esikKmBasi,fam_kaliteCeza,0)-IF($F15&gt;fam_esikBakimTl,fam_kaliteSapma,0)-IF($P15="YETIM",fam_kaliteCeza,0))))</f>
        <v/>
      </c>
      <c r="N15" s="18">
        <f>IF($A15="","",IF(OR($L15&gt;fam_esikKmBasi,$F15&gt;fam_esikBakimTl,$M15&lt;fam_esikSaglik),"ALARM","UYGUN"))</f>
        <v/>
      </c>
      <c r="O15" s="18">
        <f>IF($A15="","",1)</f>
        <v/>
      </c>
      <c r="P15" s="18">
        <f>IF($A15="","",IF(OR($B15="",COUNTIF(tblVarliklar[VarlikId],$B15)=0),"YETIM","TAMAM"))</f>
        <v/>
      </c>
    </row>
    <row r="16">
      <c r="A16" s="15" t="inlineStr">
        <is>
          <t>GLG-00011</t>
        </is>
      </c>
      <c r="B16" s="15" t="inlineStr">
        <is>
          <t>ARC-00003</t>
        </is>
      </c>
      <c r="C16" s="60" t="n">
        <v>46212</v>
      </c>
      <c r="D16" s="20" t="n">
        <v>260</v>
      </c>
      <c r="E16" s="16" t="n">
        <v>28.6</v>
      </c>
      <c r="F16" s="17" t="n">
        <v>0</v>
      </c>
      <c r="G16" s="15" t="inlineStr">
        <is>
          <t>DIGER</t>
        </is>
      </c>
      <c r="H16" s="18">
        <f>IF($A16="","",$E16*fam_yakitBirimFiyat)</f>
        <v/>
      </c>
      <c r="I16" s="18">
        <f>IF($A16="","",$D16*IFERROR(SUMIF(tblVarliklar[VarlikId],$B16,tblVarliklar[AmortismanTlKm]),fam_amortismanTlKm))</f>
        <v/>
      </c>
      <c r="J16" s="18">
        <f>IF($A16="","",IFERROR(SUMIF(tblVarliklar[VarlikId],$B16,tblVarliklar[SigortaYillikTl]),fam_sigortaYillik)/365*fam_sigortaGunPay)</f>
        <v/>
      </c>
      <c r="K16" s="18">
        <f>IF($A16="","",$H16+$F16+$I16+$J16)</f>
        <v/>
      </c>
      <c r="L16" s="18">
        <f>IF(OR($A16="",$D16=0),"",$K16/$D16)</f>
        <v/>
      </c>
      <c r="M16" s="18">
        <f>IF($A16="","",MAX(0,MIN(100,fam_kaliteTaban-IF($L16&gt;fam_esikKmBasi,fam_kaliteCeza,0)-IF($F16&gt;fam_esikBakimTl,fam_kaliteSapma,0)-IF($P16="YETIM",fam_kaliteCeza,0))))</f>
        <v/>
      </c>
      <c r="N16" s="18">
        <f>IF($A16="","",IF(OR($L16&gt;fam_esikKmBasi,$F16&gt;fam_esikBakimTl,$M16&lt;fam_esikSaglik),"ALARM","UYGUN"))</f>
        <v/>
      </c>
      <c r="O16" s="18">
        <f>IF($A16="","",1)</f>
        <v/>
      </c>
      <c r="P16" s="18">
        <f>IF($A16="","",IF(OR($B16="",COUNTIF(tblVarliklar[VarlikId],$B16)=0),"YETIM","TAMAM"))</f>
        <v/>
      </c>
    </row>
    <row r="17">
      <c r="A17" s="15" t="inlineStr">
        <is>
          <t>GLG-00012</t>
        </is>
      </c>
      <c r="B17" s="15" t="inlineStr">
        <is>
          <t>ARC-00004</t>
        </is>
      </c>
      <c r="C17" s="60" t="n">
        <v>46209</v>
      </c>
      <c r="D17" s="20" t="n">
        <v>255</v>
      </c>
      <c r="E17" s="16" t="n">
        <v>25</v>
      </c>
      <c r="F17" s="17" t="n">
        <v>2200</v>
      </c>
      <c r="G17" s="15" t="inlineStr">
        <is>
          <t>SEFER</t>
        </is>
      </c>
      <c r="H17" s="18">
        <f>IF($A17="","",$E17*fam_yakitBirimFiyat)</f>
        <v/>
      </c>
      <c r="I17" s="18">
        <f>IF($A17="","",$D17*IFERROR(SUMIF(tblVarliklar[VarlikId],$B17,tblVarliklar[AmortismanTlKm]),fam_amortismanTlKm))</f>
        <v/>
      </c>
      <c r="J17" s="18">
        <f>IF($A17="","",IFERROR(SUMIF(tblVarliklar[VarlikId],$B17,tblVarliklar[SigortaYillikTl]),fam_sigortaYillik)/365*fam_sigortaGunPay)</f>
        <v/>
      </c>
      <c r="K17" s="18">
        <f>IF($A17="","",$H17+$F17+$I17+$J17)</f>
        <v/>
      </c>
      <c r="L17" s="18">
        <f>IF(OR($A17="",$D17=0),"",$K17/$D17)</f>
        <v/>
      </c>
      <c r="M17" s="18">
        <f>IF($A17="","",MAX(0,MIN(100,fam_kaliteTaban-IF($L17&gt;fam_esikKmBasi,fam_kaliteCeza,0)-IF($F17&gt;fam_esikBakimTl,fam_kaliteSapma,0)-IF($P17="YETIM",fam_kaliteCeza,0))))</f>
        <v/>
      </c>
      <c r="N17" s="18">
        <f>IF($A17="","",IF(OR($L17&gt;fam_esikKmBasi,$F17&gt;fam_esikBakimTl,$M17&lt;fam_esikSaglik),"ALARM","UYGUN"))</f>
        <v/>
      </c>
      <c r="O17" s="18">
        <f>IF($A17="","",1)</f>
        <v/>
      </c>
      <c r="P17" s="18">
        <f>IF($A17="","",IF(OR($B17="",COUNTIF(tblVarliklar[VarlikId],$B17)=0),"YETIM","TAMAM"))</f>
        <v/>
      </c>
    </row>
    <row r="18">
      <c r="A18" s="15" t="inlineStr">
        <is>
          <t>GLG-00013</t>
        </is>
      </c>
      <c r="B18" s="15" t="inlineStr">
        <is>
          <t>ARC-00005</t>
        </is>
      </c>
      <c r="C18" s="60" t="n">
        <v>46206</v>
      </c>
      <c r="D18" s="20" t="n">
        <v>310</v>
      </c>
      <c r="E18" s="16" t="n">
        <v>45</v>
      </c>
      <c r="F18" s="17" t="n">
        <v>0</v>
      </c>
      <c r="G18" s="15" t="inlineStr">
        <is>
          <t>BAKIM</t>
        </is>
      </c>
      <c r="H18" s="18">
        <f>IF($A18="","",$E18*fam_yakitBirimFiyat)</f>
        <v/>
      </c>
      <c r="I18" s="18">
        <f>IF($A18="","",$D18*IFERROR(SUMIF(tblVarliklar[VarlikId],$B18,tblVarliklar[AmortismanTlKm]),fam_amortismanTlKm))</f>
        <v/>
      </c>
      <c r="J18" s="18">
        <f>IF($A18="","",IFERROR(SUMIF(tblVarliklar[VarlikId],$B18,tblVarliklar[SigortaYillikTl]),fam_sigortaYillik)/365*fam_sigortaGunPay)</f>
        <v/>
      </c>
      <c r="K18" s="18">
        <f>IF($A18="","",$H18+$F18+$I18+$J18)</f>
        <v/>
      </c>
      <c r="L18" s="18">
        <f>IF(OR($A18="",$D18=0),"",$K18/$D18)</f>
        <v/>
      </c>
      <c r="M18" s="18">
        <f>IF($A18="","",MAX(0,MIN(100,fam_kaliteTaban-IF($L18&gt;fam_esikKmBasi,fam_kaliteCeza,0)-IF($F18&gt;fam_esikBakimTl,fam_kaliteSapma,0)-IF($P18="YETIM",fam_kaliteCeza,0))))</f>
        <v/>
      </c>
      <c r="N18" s="18">
        <f>IF($A18="","",IF(OR($L18&gt;fam_esikKmBasi,$F18&gt;fam_esikBakimTl,$M18&lt;fam_esikSaglik),"ALARM","UYGUN"))</f>
        <v/>
      </c>
      <c r="O18" s="18">
        <f>IF($A18="","",1)</f>
        <v/>
      </c>
      <c r="P18" s="18">
        <f>IF($A18="","",IF(OR($B18="",COUNTIF(tblVarliklar[VarlikId],$B18)=0),"YETIM","TAMAM"))</f>
        <v/>
      </c>
    </row>
    <row r="19">
      <c r="A19" s="15" t="inlineStr">
        <is>
          <t>GLG-00014</t>
        </is>
      </c>
      <c r="B19" s="15" t="inlineStr">
        <is>
          <t>ARC-00006</t>
        </is>
      </c>
      <c r="C19" s="60" t="n">
        <v>46203</v>
      </c>
      <c r="D19" s="20" t="n">
        <v>120</v>
      </c>
      <c r="E19" s="16" t="n">
        <v>12</v>
      </c>
      <c r="F19" s="17" t="n">
        <v>0</v>
      </c>
      <c r="G19" s="15" t="inlineStr">
        <is>
          <t>YAKIT</t>
        </is>
      </c>
      <c r="H19" s="18">
        <f>IF($A19="","",$E19*fam_yakitBirimFiyat)</f>
        <v/>
      </c>
      <c r="I19" s="18">
        <f>IF($A19="","",$D19*IFERROR(SUMIF(tblVarliklar[VarlikId],$B19,tblVarliklar[AmortismanTlKm]),fam_amortismanTlKm))</f>
        <v/>
      </c>
      <c r="J19" s="18">
        <f>IF($A19="","",IFERROR(SUMIF(tblVarliklar[VarlikId],$B19,tblVarliklar[SigortaYillikTl]),fam_sigortaYillik)/365*fam_sigortaGunPay)</f>
        <v/>
      </c>
      <c r="K19" s="18">
        <f>IF($A19="","",$H19+$F19+$I19+$J19)</f>
        <v/>
      </c>
      <c r="L19" s="18">
        <f>IF(OR($A19="",$D19=0),"",$K19/$D19)</f>
        <v/>
      </c>
      <c r="M19" s="18">
        <f>IF($A19="","",MAX(0,MIN(100,fam_kaliteTaban-IF($L19&gt;fam_esikKmBasi,fam_kaliteCeza,0)-IF($F19&gt;fam_esikBakimTl,fam_kaliteSapma,0)-IF($P19="YETIM",fam_kaliteCeza,0))))</f>
        <v/>
      </c>
      <c r="N19" s="18">
        <f>IF($A19="","",IF(OR($L19&gt;fam_esikKmBasi,$F19&gt;fam_esikBakimTl,$M19&lt;fam_esikSaglik),"ALARM","UYGUN"))</f>
        <v/>
      </c>
      <c r="O19" s="18">
        <f>IF($A19="","",1)</f>
        <v/>
      </c>
      <c r="P19" s="18">
        <f>IF($A19="","",IF(OR($B19="",COUNTIF(tblVarliklar[VarlikId],$B19)=0),"YETIM","TAMAM"))</f>
        <v/>
      </c>
    </row>
    <row r="20">
      <c r="A20" s="15" t="inlineStr">
        <is>
          <t>GLG-00015</t>
        </is>
      </c>
      <c r="B20" s="15" t="inlineStr">
        <is>
          <t>ARC-00007</t>
        </is>
      </c>
      <c r="C20" s="60" t="n">
        <v>46200</v>
      </c>
      <c r="D20" s="20" t="n">
        <v>115</v>
      </c>
      <c r="E20" s="16" t="n">
        <v>9.800000000000001</v>
      </c>
      <c r="F20" s="17" t="n">
        <v>810</v>
      </c>
      <c r="G20" s="15" t="inlineStr">
        <is>
          <t>MUAYENE</t>
        </is>
      </c>
      <c r="H20" s="18">
        <f>IF($A20="","",$E20*fam_yakitBirimFiyat)</f>
        <v/>
      </c>
      <c r="I20" s="18">
        <f>IF($A20="","",$D20*IFERROR(SUMIF(tblVarliklar[VarlikId],$B20,tblVarliklar[AmortismanTlKm]),fam_amortismanTlKm))</f>
        <v/>
      </c>
      <c r="J20" s="18">
        <f>IF($A20="","",IFERROR(SUMIF(tblVarliklar[VarlikId],$B20,tblVarliklar[SigortaYillikTl]),fam_sigortaYillik)/365*fam_sigortaGunPay)</f>
        <v/>
      </c>
      <c r="K20" s="18">
        <f>IF($A20="","",$H20+$F20+$I20+$J20)</f>
        <v/>
      </c>
      <c r="L20" s="18">
        <f>IF(OR($A20="",$D20=0),"",$K20/$D20)</f>
        <v/>
      </c>
      <c r="M20" s="18">
        <f>IF($A20="","",MAX(0,MIN(100,fam_kaliteTaban-IF($L20&gt;fam_esikKmBasi,fam_kaliteCeza,0)-IF($F20&gt;fam_esikBakimTl,fam_kaliteSapma,0)-IF($P20="YETIM",fam_kaliteCeza,0))))</f>
        <v/>
      </c>
      <c r="N20" s="18">
        <f>IF($A20="","",IF(OR($L20&gt;fam_esikKmBasi,$F20&gt;fam_esikBakimTl,$M20&lt;fam_esikSaglik),"ALARM","UYGUN"))</f>
        <v/>
      </c>
      <c r="O20" s="18">
        <f>IF($A20="","",1)</f>
        <v/>
      </c>
      <c r="P20" s="18">
        <f>IF($A20="","",IF(OR($B20="",COUNTIF(tblVarliklar[VarlikId],$B20)=0),"YETIM","TAMAM"))</f>
        <v/>
      </c>
    </row>
    <row r="21">
      <c r="A21" s="15" t="inlineStr">
        <is>
          <t>GLG-00016</t>
        </is>
      </c>
      <c r="B21" s="15" t="inlineStr">
        <is>
          <t>ARC-00008</t>
        </is>
      </c>
      <c r="C21" s="60" t="n">
        <v>46197</v>
      </c>
      <c r="D21" s="20" t="n">
        <v>170</v>
      </c>
      <c r="E21" s="16" t="n">
        <v>27.2</v>
      </c>
      <c r="F21" s="17" t="n">
        <v>0</v>
      </c>
      <c r="G21" s="15" t="inlineStr">
        <is>
          <t>ARIZA</t>
        </is>
      </c>
      <c r="H21" s="18">
        <f>IF($A21="","",$E21*fam_yakitBirimFiyat)</f>
        <v/>
      </c>
      <c r="I21" s="18">
        <f>IF($A21="","",$D21*IFERROR(SUMIF(tblVarliklar[VarlikId],$B21,tblVarliklar[AmortismanTlKm]),fam_amortismanTlKm))</f>
        <v/>
      </c>
      <c r="J21" s="18">
        <f>IF($A21="","",IFERROR(SUMIF(tblVarliklar[VarlikId],$B21,tblVarliklar[SigortaYillikTl]),fam_sigortaYillik)/365*fam_sigortaGunPay)</f>
        <v/>
      </c>
      <c r="K21" s="18">
        <f>IF($A21="","",$H21+$F21+$I21+$J21)</f>
        <v/>
      </c>
      <c r="L21" s="18">
        <f>IF(OR($A21="",$D21=0),"",$K21/$D21)</f>
        <v/>
      </c>
      <c r="M21" s="18">
        <f>IF($A21="","",MAX(0,MIN(100,fam_kaliteTaban-IF($L21&gt;fam_esikKmBasi,fam_kaliteCeza,0)-IF($F21&gt;fam_esikBakimTl,fam_kaliteSapma,0)-IF($P21="YETIM",fam_kaliteCeza,0))))</f>
        <v/>
      </c>
      <c r="N21" s="18">
        <f>IF($A21="","",IF(OR($L21&gt;fam_esikKmBasi,$F21&gt;fam_esikBakimTl,$M21&lt;fam_esikSaglik),"ALARM","UYGUN"))</f>
        <v/>
      </c>
      <c r="O21" s="18">
        <f>IF($A21="","",1)</f>
        <v/>
      </c>
      <c r="P21" s="18">
        <f>IF($A21="","",IF(OR($B21="",COUNTIF(tblVarliklar[VarlikId],$B21)=0),"YETIM","TAMAM"))</f>
        <v/>
      </c>
    </row>
    <row r="22">
      <c r="A22" s="15" t="inlineStr">
        <is>
          <t>GLG-00017</t>
        </is>
      </c>
      <c r="B22" s="15" t="inlineStr">
        <is>
          <t>ARC-00001</t>
        </is>
      </c>
      <c r="C22" s="60" t="n">
        <v>46194</v>
      </c>
      <c r="D22" s="20" t="n">
        <v>225</v>
      </c>
      <c r="E22" s="16" t="n">
        <v>21.4</v>
      </c>
      <c r="F22" s="17" t="n">
        <v>0</v>
      </c>
      <c r="G22" s="15" t="inlineStr">
        <is>
          <t>DIGER</t>
        </is>
      </c>
      <c r="H22" s="18">
        <f>IF($A22="","",$E22*fam_yakitBirimFiyat)</f>
        <v/>
      </c>
      <c r="I22" s="18">
        <f>IF($A22="","",$D22*IFERROR(SUMIF(tblVarliklar[VarlikId],$B22,tblVarliklar[AmortismanTlKm]),fam_amortismanTlKm))</f>
        <v/>
      </c>
      <c r="J22" s="18">
        <f>IF($A22="","",IFERROR(SUMIF(tblVarliklar[VarlikId],$B22,tblVarliklar[SigortaYillikTl]),fam_sigortaYillik)/365*fam_sigortaGunPay)</f>
        <v/>
      </c>
      <c r="K22" s="18">
        <f>IF($A22="","",$H22+$F22+$I22+$J22)</f>
        <v/>
      </c>
      <c r="L22" s="18">
        <f>IF(OR($A22="",$D22=0),"",$K22/$D22)</f>
        <v/>
      </c>
      <c r="M22" s="18">
        <f>IF($A22="","",MAX(0,MIN(100,fam_kaliteTaban-IF($L22&gt;fam_esikKmBasi,fam_kaliteCeza,0)-IF($F22&gt;fam_esikBakimTl,fam_kaliteSapma,0)-IF($P22="YETIM",fam_kaliteCeza,0))))</f>
        <v/>
      </c>
      <c r="N22" s="18">
        <f>IF($A22="","",IF(OR($L22&gt;fam_esikKmBasi,$F22&gt;fam_esikBakimTl,$M22&lt;fam_esikSaglik),"ALARM","UYGUN"))</f>
        <v/>
      </c>
      <c r="O22" s="18">
        <f>IF($A22="","",1)</f>
        <v/>
      </c>
      <c r="P22" s="18">
        <f>IF($A22="","",IF(OR($B22="",COUNTIF(tblVarliklar[VarlikId],$B22)=0),"YETIM","TAMAM"))</f>
        <v/>
      </c>
    </row>
    <row r="23">
      <c r="A23" s="15" t="inlineStr">
        <is>
          <t>GLG-00018</t>
        </is>
      </c>
      <c r="B23" s="15" t="inlineStr">
        <is>
          <t>ARC-00002</t>
        </is>
      </c>
      <c r="C23" s="60" t="n">
        <v>46191</v>
      </c>
      <c r="D23" s="20" t="n">
        <v>220</v>
      </c>
      <c r="E23" s="16" t="n">
        <v>22.4</v>
      </c>
      <c r="F23" s="17" t="n">
        <v>0</v>
      </c>
      <c r="G23" s="15" t="inlineStr">
        <is>
          <t>SEFER</t>
        </is>
      </c>
      <c r="H23" s="18">
        <f>IF($A23="","",$E23*fam_yakitBirimFiyat)</f>
        <v/>
      </c>
      <c r="I23" s="18">
        <f>IF($A23="","",$D23*IFERROR(SUMIF(tblVarliklar[VarlikId],$B23,tblVarliklar[AmortismanTlKm]),fam_amortismanTlKm))</f>
        <v/>
      </c>
      <c r="J23" s="18">
        <f>IF($A23="","",IFERROR(SUMIF(tblVarliklar[VarlikId],$B23,tblVarliklar[SigortaYillikTl]),fam_sigortaYillik)/365*fam_sigortaGunPay)</f>
        <v/>
      </c>
      <c r="K23" s="18">
        <f>IF($A23="","",$H23+$F23+$I23+$J23)</f>
        <v/>
      </c>
      <c r="L23" s="18">
        <f>IF(OR($A23="",$D23=0),"",$K23/$D23)</f>
        <v/>
      </c>
      <c r="M23" s="18">
        <f>IF($A23="","",MAX(0,MIN(100,fam_kaliteTaban-IF($L23&gt;fam_esikKmBasi,fam_kaliteCeza,0)-IF($F23&gt;fam_esikBakimTl,fam_kaliteSapma,0)-IF($P23="YETIM",fam_kaliteCeza,0))))</f>
        <v/>
      </c>
      <c r="N23" s="18">
        <f>IF($A23="","",IF(OR($L23&gt;fam_esikKmBasi,$F23&gt;fam_esikBakimTl,$M23&lt;fam_esikSaglik),"ALARM","UYGUN"))</f>
        <v/>
      </c>
      <c r="O23" s="18">
        <f>IF($A23="","",1)</f>
        <v/>
      </c>
      <c r="P23" s="18">
        <f>IF($A23="","",IF(OR($B23="",COUNTIF(tblVarliklar[VarlikId],$B23)=0),"YETIM","TAMAM"))</f>
        <v/>
      </c>
    </row>
    <row r="24">
      <c r="A24" s="15" t="inlineStr">
        <is>
          <t>GLG-00019</t>
        </is>
      </c>
      <c r="B24" s="15" t="inlineStr">
        <is>
          <t>ARC-00003</t>
        </is>
      </c>
      <c r="C24" s="60" t="n">
        <v>46188</v>
      </c>
      <c r="D24" s="20" t="n">
        <v>275</v>
      </c>
      <c r="E24" s="16" t="n">
        <v>30.2</v>
      </c>
      <c r="F24" s="17" t="n">
        <v>0</v>
      </c>
      <c r="G24" s="15" t="inlineStr">
        <is>
          <t>BAKIM</t>
        </is>
      </c>
      <c r="H24" s="18">
        <f>IF($A24="","",$E24*fam_yakitBirimFiyat)</f>
        <v/>
      </c>
      <c r="I24" s="18">
        <f>IF($A24="","",$D24*IFERROR(SUMIF(tblVarliklar[VarlikId],$B24,tblVarliklar[AmortismanTlKm]),fam_amortismanTlKm))</f>
        <v/>
      </c>
      <c r="J24" s="18">
        <f>IF($A24="","",IFERROR(SUMIF(tblVarliklar[VarlikId],$B24,tblVarliklar[SigortaYillikTl]),fam_sigortaYillik)/365*fam_sigortaGunPay)</f>
        <v/>
      </c>
      <c r="K24" s="18">
        <f>IF($A24="","",$H24+$F24+$I24+$J24)</f>
        <v/>
      </c>
      <c r="L24" s="18">
        <f>IF(OR($A24="",$D24=0),"",$K24/$D24)</f>
        <v/>
      </c>
      <c r="M24" s="18">
        <f>IF($A24="","",MAX(0,MIN(100,fam_kaliteTaban-IF($L24&gt;fam_esikKmBasi,fam_kaliteCeza,0)-IF($F24&gt;fam_esikBakimTl,fam_kaliteSapma,0)-IF($P24="YETIM",fam_kaliteCeza,0))))</f>
        <v/>
      </c>
      <c r="N24" s="18">
        <f>IF($A24="","",IF(OR($L24&gt;fam_esikKmBasi,$F24&gt;fam_esikBakimTl,$M24&lt;fam_esikSaglik),"ALARM","UYGUN"))</f>
        <v/>
      </c>
      <c r="O24" s="18">
        <f>IF($A24="","",1)</f>
        <v/>
      </c>
      <c r="P24" s="18">
        <f>IF($A24="","",IF(OR($B24="",COUNTIF(tblVarliklar[VarlikId],$B24)=0),"YETIM","TAMAM"))</f>
        <v/>
      </c>
    </row>
    <row r="25">
      <c r="A25" s="15" t="inlineStr">
        <is>
          <t>GLG-00020</t>
        </is>
      </c>
      <c r="B25" s="15" t="inlineStr">
        <is>
          <t>ARC-00004</t>
        </is>
      </c>
      <c r="C25" s="60" t="n">
        <v>46185</v>
      </c>
      <c r="D25" s="20" t="n">
        <v>330</v>
      </c>
      <c r="E25" s="16" t="n">
        <v>32.3</v>
      </c>
      <c r="F25" s="17" t="n">
        <v>450</v>
      </c>
      <c r="G25" s="15" t="inlineStr">
        <is>
          <t>YAKIT</t>
        </is>
      </c>
      <c r="H25" s="18">
        <f>IF($A25="","",$E25*fam_yakitBirimFiyat)</f>
        <v/>
      </c>
      <c r="I25" s="18">
        <f>IF($A25="","",$D25*IFERROR(SUMIF(tblVarliklar[VarlikId],$B25,tblVarliklar[AmortismanTlKm]),fam_amortismanTlKm))</f>
        <v/>
      </c>
      <c r="J25" s="18">
        <f>IF($A25="","",IFERROR(SUMIF(tblVarliklar[VarlikId],$B25,tblVarliklar[SigortaYillikTl]),fam_sigortaYillik)/365*fam_sigortaGunPay)</f>
        <v/>
      </c>
      <c r="K25" s="18">
        <f>IF($A25="","",$H25+$F25+$I25+$J25)</f>
        <v/>
      </c>
      <c r="L25" s="18">
        <f>IF(OR($A25="",$D25=0),"",$K25/$D25)</f>
        <v/>
      </c>
      <c r="M25" s="18">
        <f>IF($A25="","",MAX(0,MIN(100,fam_kaliteTaban-IF($L25&gt;fam_esikKmBasi,fam_kaliteCeza,0)-IF($F25&gt;fam_esikBakimTl,fam_kaliteSapma,0)-IF($P25="YETIM",fam_kaliteCeza,0))))</f>
        <v/>
      </c>
      <c r="N25" s="18">
        <f>IF($A25="","",IF(OR($L25&gt;fam_esikKmBasi,$F25&gt;fam_esikBakimTl,$M25&lt;fam_esikSaglik),"ALARM","UYGUN"))</f>
        <v/>
      </c>
      <c r="O25" s="18">
        <f>IF($A25="","",1)</f>
        <v/>
      </c>
      <c r="P25" s="18">
        <f>IF($A25="","",IF(OR($B25="",COUNTIF(tblVarliklar[VarlikId],$B25)=0),"YETIM","TAMAM"))</f>
        <v/>
      </c>
    </row>
    <row r="26">
      <c r="A26" s="15" t="inlineStr">
        <is>
          <t>GLG-00021</t>
        </is>
      </c>
      <c r="B26" s="15" t="inlineStr">
        <is>
          <t>ARC-00005</t>
        </is>
      </c>
      <c r="C26" s="60" t="n">
        <v>46182</v>
      </c>
      <c r="D26" s="20" t="n">
        <v>80</v>
      </c>
      <c r="E26" s="16" t="n">
        <v>11.6</v>
      </c>
      <c r="F26" s="17" t="n">
        <v>0</v>
      </c>
      <c r="G26" s="15" t="inlineStr">
        <is>
          <t>MUAYENE</t>
        </is>
      </c>
      <c r="H26" s="18">
        <f>IF($A26="","",$E26*fam_yakitBirimFiyat)</f>
        <v/>
      </c>
      <c r="I26" s="18">
        <f>IF($A26="","",$D26*IFERROR(SUMIF(tblVarliklar[VarlikId],$B26,tblVarliklar[AmortismanTlKm]),fam_amortismanTlKm))</f>
        <v/>
      </c>
      <c r="J26" s="18">
        <f>IF($A26="","",IFERROR(SUMIF(tblVarliklar[VarlikId],$B26,tblVarliklar[SigortaYillikTl]),fam_sigortaYillik)/365*fam_sigortaGunPay)</f>
        <v/>
      </c>
      <c r="K26" s="18">
        <f>IF($A26="","",$H26+$F26+$I26+$J26)</f>
        <v/>
      </c>
      <c r="L26" s="18">
        <f>IF(OR($A26="",$D26=0),"",$K26/$D26)</f>
        <v/>
      </c>
      <c r="M26" s="18">
        <f>IF($A26="","",MAX(0,MIN(100,fam_kaliteTaban-IF($L26&gt;fam_esikKmBasi,fam_kaliteCeza,0)-IF($F26&gt;fam_esikBakimTl,fam_kaliteSapma,0)-IF($P26="YETIM",fam_kaliteCeza,0))))</f>
        <v/>
      </c>
      <c r="N26" s="18">
        <f>IF($A26="","",IF(OR($L26&gt;fam_esikKmBasi,$F26&gt;fam_esikBakimTl,$M26&lt;fam_esikSaglik),"ALARM","UYGUN"))</f>
        <v/>
      </c>
      <c r="O26" s="18">
        <f>IF($A26="","",1)</f>
        <v/>
      </c>
      <c r="P26" s="18">
        <f>IF($A26="","",IF(OR($B26="",COUNTIF(tblVarliklar[VarlikId],$B26)=0),"YETIM","TAMAM"))</f>
        <v/>
      </c>
    </row>
    <row r="27">
      <c r="A27" s="15" t="inlineStr">
        <is>
          <t>GLG-00022</t>
        </is>
      </c>
      <c r="B27" s="15" t="inlineStr">
        <is>
          <t>ARC-00006</t>
        </is>
      </c>
      <c r="C27" s="60" t="n">
        <v>46179</v>
      </c>
      <c r="D27" s="20" t="n">
        <v>135</v>
      </c>
      <c r="E27" s="16" t="n">
        <v>13.5</v>
      </c>
      <c r="F27" s="17" t="n">
        <v>0</v>
      </c>
      <c r="G27" s="15" t="inlineStr">
        <is>
          <t>ARIZA</t>
        </is>
      </c>
      <c r="H27" s="18">
        <f>IF($A27="","",$E27*fam_yakitBirimFiyat)</f>
        <v/>
      </c>
      <c r="I27" s="18">
        <f>IF($A27="","",$D27*IFERROR(SUMIF(tblVarliklar[VarlikId],$B27,tblVarliklar[AmortismanTlKm]),fam_amortismanTlKm))</f>
        <v/>
      </c>
      <c r="J27" s="18">
        <f>IF($A27="","",IFERROR(SUMIF(tblVarliklar[VarlikId],$B27,tblVarliklar[SigortaYillikTl]),fam_sigortaYillik)/365*fam_sigortaGunPay)</f>
        <v/>
      </c>
      <c r="K27" s="18">
        <f>IF($A27="","",$H27+$F27+$I27+$J27)</f>
        <v/>
      </c>
      <c r="L27" s="18">
        <f>IF(OR($A27="",$D27=0),"",$K27/$D27)</f>
        <v/>
      </c>
      <c r="M27" s="18">
        <f>IF($A27="","",MAX(0,MIN(100,fam_kaliteTaban-IF($L27&gt;fam_esikKmBasi,fam_kaliteCeza,0)-IF($F27&gt;fam_esikBakimTl,fam_kaliteSapma,0)-IF($P27="YETIM",fam_kaliteCeza,0))))</f>
        <v/>
      </c>
      <c r="N27" s="18">
        <f>IF($A27="","",IF(OR($L27&gt;fam_esikKmBasi,$F27&gt;fam_esikBakimTl,$M27&lt;fam_esikSaglik),"ALARM","UYGUN"))</f>
        <v/>
      </c>
      <c r="O27" s="18">
        <f>IF($A27="","",1)</f>
        <v/>
      </c>
      <c r="P27" s="18">
        <f>IF($A27="","",IF(OR($B27="",COUNTIF(tblVarliklar[VarlikId],$B27)=0),"YETIM","TAMAM"))</f>
        <v/>
      </c>
    </row>
    <row r="28">
      <c r="A28" s="15" t="inlineStr">
        <is>
          <t>GLG-00023</t>
        </is>
      </c>
      <c r="B28" s="15" t="inlineStr">
        <is>
          <t>ARC-00007</t>
        </is>
      </c>
      <c r="C28" s="60" t="n">
        <v>46176</v>
      </c>
      <c r="D28" s="20" t="n">
        <v>190</v>
      </c>
      <c r="E28" s="16" t="n">
        <v>16.1</v>
      </c>
      <c r="F28" s="17" t="n">
        <v>0</v>
      </c>
      <c r="G28" s="15" t="inlineStr">
        <is>
          <t>DIGER</t>
        </is>
      </c>
      <c r="H28" s="18">
        <f>IF($A28="","",$E28*fam_yakitBirimFiyat)</f>
        <v/>
      </c>
      <c r="I28" s="18">
        <f>IF($A28="","",$D28*IFERROR(SUMIF(tblVarliklar[VarlikId],$B28,tblVarliklar[AmortismanTlKm]),fam_amortismanTlKm))</f>
        <v/>
      </c>
      <c r="J28" s="18">
        <f>IF($A28="","",IFERROR(SUMIF(tblVarliklar[VarlikId],$B28,tblVarliklar[SigortaYillikTl]),fam_sigortaYillik)/365*fam_sigortaGunPay)</f>
        <v/>
      </c>
      <c r="K28" s="18">
        <f>IF($A28="","",$H28+$F28+$I28+$J28)</f>
        <v/>
      </c>
      <c r="L28" s="18">
        <f>IF(OR($A28="",$D28=0),"",$K28/$D28)</f>
        <v/>
      </c>
      <c r="M28" s="18">
        <f>IF($A28="","",MAX(0,MIN(100,fam_kaliteTaban-IF($L28&gt;fam_esikKmBasi,fam_kaliteCeza,0)-IF($F28&gt;fam_esikBakimTl,fam_kaliteSapma,0)-IF($P28="YETIM",fam_kaliteCeza,0))))</f>
        <v/>
      </c>
      <c r="N28" s="18">
        <f>IF($A28="","",IF(OR($L28&gt;fam_esikKmBasi,$F28&gt;fam_esikBakimTl,$M28&lt;fam_esikSaglik),"ALARM","UYGUN"))</f>
        <v/>
      </c>
      <c r="O28" s="18">
        <f>IF($A28="","",1)</f>
        <v/>
      </c>
      <c r="P28" s="18">
        <f>IF($A28="","",IF(OR($B28="",COUNTIF(tblVarliklar[VarlikId],$B28)=0),"YETIM","TAMAM"))</f>
        <v/>
      </c>
    </row>
    <row r="29">
      <c r="A29" s="15" t="inlineStr">
        <is>
          <t>GLG-00024</t>
        </is>
      </c>
      <c r="B29" s="15" t="inlineStr">
        <is>
          <t>ARC-00008</t>
        </is>
      </c>
      <c r="C29" s="60" t="n">
        <v>46173</v>
      </c>
      <c r="D29" s="20" t="n">
        <v>185</v>
      </c>
      <c r="E29" s="16" t="n">
        <v>29.6</v>
      </c>
      <c r="F29" s="17" t="n">
        <v>2200</v>
      </c>
      <c r="G29" s="15" t="inlineStr">
        <is>
          <t>SEFER</t>
        </is>
      </c>
      <c r="H29" s="18">
        <f>IF($A29="","",$E29*fam_yakitBirimFiyat)</f>
        <v/>
      </c>
      <c r="I29" s="18">
        <f>IF($A29="","",$D29*IFERROR(SUMIF(tblVarliklar[VarlikId],$B29,tblVarliklar[AmortismanTlKm]),fam_amortismanTlKm))</f>
        <v/>
      </c>
      <c r="J29" s="18">
        <f>IF($A29="","",IFERROR(SUMIF(tblVarliklar[VarlikId],$B29,tblVarliklar[SigortaYillikTl]),fam_sigortaYillik)/365*fam_sigortaGunPay)</f>
        <v/>
      </c>
      <c r="K29" s="18">
        <f>IF($A29="","",$H29+$F29+$I29+$J29)</f>
        <v/>
      </c>
      <c r="L29" s="18">
        <f>IF(OR($A29="",$D29=0),"",$K29/$D29)</f>
        <v/>
      </c>
      <c r="M29" s="18">
        <f>IF($A29="","",MAX(0,MIN(100,fam_kaliteTaban-IF($L29&gt;fam_esikKmBasi,fam_kaliteCeza,0)-IF($F29&gt;fam_esikBakimTl,fam_kaliteSapma,0)-IF($P29="YETIM",fam_kaliteCeza,0))))</f>
        <v/>
      </c>
      <c r="N29" s="18">
        <f>IF($A29="","",IF(OR($L29&gt;fam_esikKmBasi,$F29&gt;fam_esikBakimTl,$M29&lt;fam_esikSaglik),"ALARM","UYGUN"))</f>
        <v/>
      </c>
      <c r="O29" s="18">
        <f>IF($A29="","",1)</f>
        <v/>
      </c>
      <c r="P29" s="18">
        <f>IF($A29="","",IF(OR($B29="",COUNTIF(tblVarliklar[VarlikId],$B29)=0),"YETIM","TAMAM"))</f>
        <v/>
      </c>
    </row>
    <row r="30">
      <c r="A30" s="15" t="inlineStr">
        <is>
          <t>GLG-00025</t>
        </is>
      </c>
      <c r="B30" s="15" t="inlineStr">
        <is>
          <t>ARC-00001</t>
        </is>
      </c>
      <c r="C30" s="60" t="n">
        <v>46170</v>
      </c>
      <c r="D30" s="20" t="n">
        <v>240</v>
      </c>
      <c r="E30" s="16" t="n">
        <v>22.8</v>
      </c>
      <c r="F30" s="17" t="n">
        <v>570</v>
      </c>
      <c r="G30" s="15" t="inlineStr">
        <is>
          <t>BAKIM</t>
        </is>
      </c>
      <c r="H30" s="18">
        <f>IF($A30="","",$E30*fam_yakitBirimFiyat)</f>
        <v/>
      </c>
      <c r="I30" s="18">
        <f>IF($A30="","",$D30*IFERROR(SUMIF(tblVarliklar[VarlikId],$B30,tblVarliklar[AmortismanTlKm]),fam_amortismanTlKm))</f>
        <v/>
      </c>
      <c r="J30" s="18">
        <f>IF($A30="","",IFERROR(SUMIF(tblVarliklar[VarlikId],$B30,tblVarliklar[SigortaYillikTl]),fam_sigortaYillik)/365*fam_sigortaGunPay)</f>
        <v/>
      </c>
      <c r="K30" s="18">
        <f>IF($A30="","",$H30+$F30+$I30+$J30)</f>
        <v/>
      </c>
      <c r="L30" s="18">
        <f>IF(OR($A30="",$D30=0),"",$K30/$D30)</f>
        <v/>
      </c>
      <c r="M30" s="18">
        <f>IF($A30="","",MAX(0,MIN(100,fam_kaliteTaban-IF($L30&gt;fam_esikKmBasi,fam_kaliteCeza,0)-IF($F30&gt;fam_esikBakimTl,fam_kaliteSapma,0)-IF($P30="YETIM",fam_kaliteCeza,0))))</f>
        <v/>
      </c>
      <c r="N30" s="18">
        <f>IF($A30="","",IF(OR($L30&gt;fam_esikKmBasi,$F30&gt;fam_esikBakimTl,$M30&lt;fam_esikSaglik),"ALARM","UYGUN"))</f>
        <v/>
      </c>
      <c r="O30" s="18">
        <f>IF($A30="","",1)</f>
        <v/>
      </c>
      <c r="P30" s="18">
        <f>IF($A30="","",IF(OR($B30="",COUNTIF(tblVarliklar[VarlikId],$B30)=0),"YETIM","TAMAM"))</f>
        <v/>
      </c>
    </row>
    <row r="31">
      <c r="A31" s="15" t="inlineStr">
        <is>
          <t>GLG-00026</t>
        </is>
      </c>
      <c r="B31" s="15" t="inlineStr">
        <is>
          <t>ARC-00002</t>
        </is>
      </c>
      <c r="C31" s="60" t="n">
        <v>46167</v>
      </c>
      <c r="D31" s="20" t="n">
        <v>295</v>
      </c>
      <c r="E31" s="16" t="n">
        <v>30.1</v>
      </c>
      <c r="F31" s="17" t="n">
        <v>0</v>
      </c>
      <c r="G31" s="15" t="inlineStr">
        <is>
          <t>YAKIT</t>
        </is>
      </c>
      <c r="H31" s="18">
        <f>IF($A31="","",$E31*fam_yakitBirimFiyat)</f>
        <v/>
      </c>
      <c r="I31" s="18">
        <f>IF($A31="","",$D31*IFERROR(SUMIF(tblVarliklar[VarlikId],$B31,tblVarliklar[AmortismanTlKm]),fam_amortismanTlKm))</f>
        <v/>
      </c>
      <c r="J31" s="18">
        <f>IF($A31="","",IFERROR(SUMIF(tblVarliklar[VarlikId],$B31,tblVarliklar[SigortaYillikTl]),fam_sigortaYillik)/365*fam_sigortaGunPay)</f>
        <v/>
      </c>
      <c r="K31" s="18">
        <f>IF($A31="","",$H31+$F31+$I31+$J31)</f>
        <v/>
      </c>
      <c r="L31" s="18">
        <f>IF(OR($A31="",$D31=0),"",$K31/$D31)</f>
        <v/>
      </c>
      <c r="M31" s="18">
        <f>IF($A31="","",MAX(0,MIN(100,fam_kaliteTaban-IF($L31&gt;fam_esikKmBasi,fam_kaliteCeza,0)-IF($F31&gt;fam_esikBakimTl,fam_kaliteSapma,0)-IF($P31="YETIM",fam_kaliteCeza,0))))</f>
        <v/>
      </c>
      <c r="N31" s="18">
        <f>IF($A31="","",IF(OR($L31&gt;fam_esikKmBasi,$F31&gt;fam_esikBakimTl,$M31&lt;fam_esikSaglik),"ALARM","UYGUN"))</f>
        <v/>
      </c>
      <c r="O31" s="18">
        <f>IF($A31="","",1)</f>
        <v/>
      </c>
      <c r="P31" s="18">
        <f>IF($A31="","",IF(OR($B31="",COUNTIF(tblVarliklar[VarlikId],$B31)=0),"YETIM","TAMAM"))</f>
        <v/>
      </c>
    </row>
    <row r="32">
      <c r="A32" s="15" t="inlineStr">
        <is>
          <t>GLG-00027</t>
        </is>
      </c>
      <c r="B32" s="15" t="inlineStr">
        <is>
          <t>ARC-00003</t>
        </is>
      </c>
      <c r="C32" s="60" t="n">
        <v>46164</v>
      </c>
      <c r="D32" s="20" t="n">
        <v>290</v>
      </c>
      <c r="E32" s="16" t="n">
        <v>31.9</v>
      </c>
      <c r="F32" s="17" t="n">
        <v>0</v>
      </c>
      <c r="G32" s="15" t="inlineStr">
        <is>
          <t>MUAYENE</t>
        </is>
      </c>
      <c r="H32" s="18">
        <f>IF($A32="","",$E32*fam_yakitBirimFiyat)</f>
        <v/>
      </c>
      <c r="I32" s="18">
        <f>IF($A32="","",$D32*IFERROR(SUMIF(tblVarliklar[VarlikId],$B32,tblVarliklar[AmortismanTlKm]),fam_amortismanTlKm))</f>
        <v/>
      </c>
      <c r="J32" s="18">
        <f>IF($A32="","",IFERROR(SUMIF(tblVarliklar[VarlikId],$B32,tblVarliklar[SigortaYillikTl]),fam_sigortaYillik)/365*fam_sigortaGunPay)</f>
        <v/>
      </c>
      <c r="K32" s="18">
        <f>IF($A32="","",$H32+$F32+$I32+$J32)</f>
        <v/>
      </c>
      <c r="L32" s="18">
        <f>IF(OR($A32="",$D32=0),"",$K32/$D32)</f>
        <v/>
      </c>
      <c r="M32" s="18">
        <f>IF($A32="","",MAX(0,MIN(100,fam_kaliteTaban-IF($L32&gt;fam_esikKmBasi,fam_kaliteCeza,0)-IF($F32&gt;fam_esikBakimTl,fam_kaliteSapma,0)-IF($P32="YETIM",fam_kaliteCeza,0))))</f>
        <v/>
      </c>
      <c r="N32" s="18">
        <f>IF($A32="","",IF(OR($L32&gt;fam_esikKmBasi,$F32&gt;fam_esikBakimTl,$M32&lt;fam_esikSaglik),"ALARM","UYGUN"))</f>
        <v/>
      </c>
      <c r="O32" s="18">
        <f>IF($A32="","",1)</f>
        <v/>
      </c>
      <c r="P32" s="18">
        <f>IF($A32="","",IF(OR($B32="",COUNTIF(tblVarliklar[VarlikId],$B32)=0),"YETIM","TAMAM"))</f>
        <v/>
      </c>
    </row>
    <row r="33">
      <c r="A33" s="15" t="inlineStr">
        <is>
          <t>GLG-00028</t>
        </is>
      </c>
      <c r="B33" s="15" t="inlineStr">
        <is>
          <t>ARC-00004</t>
        </is>
      </c>
      <c r="C33" s="60" t="n">
        <v>46161</v>
      </c>
      <c r="D33" s="20" t="n">
        <v>100</v>
      </c>
      <c r="E33" s="16" t="n">
        <v>9.800000000000001</v>
      </c>
      <c r="F33" s="17" t="n">
        <v>0</v>
      </c>
      <c r="G33" s="15" t="inlineStr">
        <is>
          <t>ARIZA</t>
        </is>
      </c>
      <c r="H33" s="18">
        <f>IF($A33="","",$E33*fam_yakitBirimFiyat)</f>
        <v/>
      </c>
      <c r="I33" s="18">
        <f>IF($A33="","",$D33*IFERROR(SUMIF(tblVarliklar[VarlikId],$B33,tblVarliklar[AmortismanTlKm]),fam_amortismanTlKm))</f>
        <v/>
      </c>
      <c r="J33" s="18">
        <f>IF($A33="","",IFERROR(SUMIF(tblVarliklar[VarlikId],$B33,tblVarliklar[SigortaYillikTl]),fam_sigortaYillik)/365*fam_sigortaGunPay)</f>
        <v/>
      </c>
      <c r="K33" s="18">
        <f>IF($A33="","",$H33+$F33+$I33+$J33)</f>
        <v/>
      </c>
      <c r="L33" s="18">
        <f>IF(OR($A33="",$D33=0),"",$K33/$D33)</f>
        <v/>
      </c>
      <c r="M33" s="18">
        <f>IF($A33="","",MAX(0,MIN(100,fam_kaliteTaban-IF($L33&gt;fam_esikKmBasi,fam_kaliteCeza,0)-IF($F33&gt;fam_esikBakimTl,fam_kaliteSapma,0)-IF($P33="YETIM",fam_kaliteCeza,0))))</f>
        <v/>
      </c>
      <c r="N33" s="18">
        <f>IF($A33="","",IF(OR($L33&gt;fam_esikKmBasi,$F33&gt;fam_esikBakimTl,$M33&lt;fam_esikSaglik),"ALARM","UYGUN"))</f>
        <v/>
      </c>
      <c r="O33" s="18">
        <f>IF($A33="","",1)</f>
        <v/>
      </c>
      <c r="P33" s="18">
        <f>IF($A33="","",IF(OR($B33="",COUNTIF(tblVarliklar[VarlikId],$B33)=0),"YETIM","TAMAM"))</f>
        <v/>
      </c>
    </row>
    <row r="34">
      <c r="A34" s="15" t="inlineStr">
        <is>
          <t>GLG-00029</t>
        </is>
      </c>
      <c r="B34" s="15" t="inlineStr">
        <is>
          <t>ARC-00005</t>
        </is>
      </c>
      <c r="C34" s="60" t="n">
        <v>46158</v>
      </c>
      <c r="D34" s="20" t="n">
        <v>155</v>
      </c>
      <c r="E34" s="16" t="n">
        <v>22.5</v>
      </c>
      <c r="F34" s="17" t="n">
        <v>0</v>
      </c>
      <c r="G34" s="15" t="inlineStr">
        <is>
          <t>DIGER</t>
        </is>
      </c>
      <c r="H34" s="18">
        <f>IF($A34="","",$E34*fam_yakitBirimFiyat)</f>
        <v/>
      </c>
      <c r="I34" s="18">
        <f>IF($A34="","",$D34*IFERROR(SUMIF(tblVarliklar[VarlikId],$B34,tblVarliklar[AmortismanTlKm]),fam_amortismanTlKm))</f>
        <v/>
      </c>
      <c r="J34" s="18">
        <f>IF($A34="","",IFERROR(SUMIF(tblVarliklar[VarlikId],$B34,tblVarliklar[SigortaYillikTl]),fam_sigortaYillik)/365*fam_sigortaGunPay)</f>
        <v/>
      </c>
      <c r="K34" s="18">
        <f>IF($A34="","",$H34+$F34+$I34+$J34)</f>
        <v/>
      </c>
      <c r="L34" s="18">
        <f>IF(OR($A34="",$D34=0),"",$K34/$D34)</f>
        <v/>
      </c>
      <c r="M34" s="18">
        <f>IF($A34="","",MAX(0,MIN(100,fam_kaliteTaban-IF($L34&gt;fam_esikKmBasi,fam_kaliteCeza,0)-IF($F34&gt;fam_esikBakimTl,fam_kaliteSapma,0)-IF($P34="YETIM",fam_kaliteCeza,0))))</f>
        <v/>
      </c>
      <c r="N34" s="18">
        <f>IF($A34="","",IF(OR($L34&gt;fam_esikKmBasi,$F34&gt;fam_esikBakimTl,$M34&lt;fam_esikSaglik),"ALARM","UYGUN"))</f>
        <v/>
      </c>
      <c r="O34" s="18">
        <f>IF($A34="","",1)</f>
        <v/>
      </c>
      <c r="P34" s="18">
        <f>IF($A34="","",IF(OR($B34="",COUNTIF(tblVarliklar[VarlikId],$B34)=0),"YETIM","TAMAM"))</f>
        <v/>
      </c>
    </row>
    <row r="35">
      <c r="A35" s="15" t="inlineStr">
        <is>
          <t>GLG-00030</t>
        </is>
      </c>
      <c r="B35" s="15" t="inlineStr"/>
      <c r="C35" s="60" t="n">
        <v>46155</v>
      </c>
      <c r="D35" s="20" t="n">
        <v>150</v>
      </c>
      <c r="E35" s="16" t="n">
        <v>15</v>
      </c>
      <c r="F35" s="17" t="n">
        <v>690</v>
      </c>
      <c r="G35" s="15" t="inlineStr">
        <is>
          <t>SEFER</t>
        </is>
      </c>
      <c r="H35" s="18">
        <f>IF($A35="","",$E35*fam_yakitBirimFiyat)</f>
        <v/>
      </c>
      <c r="I35" s="18">
        <f>IF($A35="","",$D35*IFERROR(SUMIF(tblVarliklar[VarlikId],$B35,tblVarliklar[AmortismanTlKm]),fam_amortismanTlKm))</f>
        <v/>
      </c>
      <c r="J35" s="18">
        <f>IF($A35="","",IFERROR(SUMIF(tblVarliklar[VarlikId],$B35,tblVarliklar[SigortaYillikTl]),fam_sigortaYillik)/365*fam_sigortaGunPay)</f>
        <v/>
      </c>
      <c r="K35" s="18">
        <f>IF($A35="","",$H35+$F35+$I35+$J35)</f>
        <v/>
      </c>
      <c r="L35" s="18">
        <f>IF(OR($A35="",$D35=0),"",$K35/$D35)</f>
        <v/>
      </c>
      <c r="M35" s="18">
        <f>IF($A35="","",MAX(0,MIN(100,fam_kaliteTaban-IF($L35&gt;fam_esikKmBasi,fam_kaliteCeza,0)-IF($F35&gt;fam_esikBakimTl,fam_kaliteSapma,0)-IF($P35="YETIM",fam_kaliteCeza,0))))</f>
        <v/>
      </c>
      <c r="N35" s="18">
        <f>IF($A35="","",IF(OR($L35&gt;fam_esikKmBasi,$F35&gt;fam_esikBakimTl,$M35&lt;fam_esikSaglik),"ALARM","UYGUN"))</f>
        <v/>
      </c>
      <c r="O35" s="18">
        <f>IF($A35="","",1)</f>
        <v/>
      </c>
      <c r="P35" s="18">
        <f>IF($A35="","",IF(OR($B35="",COUNTIF(tblVarliklar[VarlikId],$B35)=0),"YETIM","TAMAM"))</f>
        <v/>
      </c>
    </row>
    <row r="36">
      <c r="A36" s="15" t="inlineStr">
        <is>
          <t>GLG-00031</t>
        </is>
      </c>
      <c r="B36" s="15" t="inlineStr">
        <is>
          <t>ARC-00007</t>
        </is>
      </c>
      <c r="C36" s="60" t="n">
        <v>46152</v>
      </c>
      <c r="D36" s="20" t="n">
        <v>205</v>
      </c>
      <c r="E36" s="16" t="n">
        <v>17.4</v>
      </c>
      <c r="F36" s="17" t="n">
        <v>0</v>
      </c>
      <c r="G36" s="15" t="inlineStr">
        <is>
          <t>BAKIM</t>
        </is>
      </c>
      <c r="H36" s="18">
        <f>IF($A36="","",$E36*fam_yakitBirimFiyat)</f>
        <v/>
      </c>
      <c r="I36" s="18">
        <f>IF($A36="","",$D36*IFERROR(SUMIF(tblVarliklar[VarlikId],$B36,tblVarliklar[AmortismanTlKm]),fam_amortismanTlKm))</f>
        <v/>
      </c>
      <c r="J36" s="18">
        <f>IF($A36="","",IFERROR(SUMIF(tblVarliklar[VarlikId],$B36,tblVarliklar[SigortaYillikTl]),fam_sigortaYillik)/365*fam_sigortaGunPay)</f>
        <v/>
      </c>
      <c r="K36" s="18">
        <f>IF($A36="","",$H36+$F36+$I36+$J36)</f>
        <v/>
      </c>
      <c r="L36" s="18">
        <f>IF(OR($A36="",$D36=0),"",$K36/$D36)</f>
        <v/>
      </c>
      <c r="M36" s="18">
        <f>IF($A36="","",MAX(0,MIN(100,fam_kaliteTaban-IF($L36&gt;fam_esikKmBasi,fam_kaliteCeza,0)-IF($F36&gt;fam_esikBakimTl,fam_kaliteSapma,0)-IF($P36="YETIM",fam_kaliteCeza,0))))</f>
        <v/>
      </c>
      <c r="N36" s="18">
        <f>IF($A36="","",IF(OR($L36&gt;fam_esikKmBasi,$F36&gt;fam_esikBakimTl,$M36&lt;fam_esikSaglik),"ALARM","UYGUN"))</f>
        <v/>
      </c>
      <c r="O36" s="18">
        <f>IF($A36="","",1)</f>
        <v/>
      </c>
      <c r="P36" s="18">
        <f>IF($A36="","",IF(OR($B36="",COUNTIF(tblVarliklar[VarlikId],$B36)=0),"YETIM","TAMAM"))</f>
        <v/>
      </c>
    </row>
    <row r="37">
      <c r="A37" s="15" t="inlineStr">
        <is>
          <t>GLG-00032</t>
        </is>
      </c>
      <c r="B37" s="15" t="inlineStr">
        <is>
          <t>ARC-00008</t>
        </is>
      </c>
      <c r="C37" s="60" t="n">
        <v>46149</v>
      </c>
      <c r="D37" s="20" t="n">
        <v>260</v>
      </c>
      <c r="E37" s="16" t="n">
        <v>41.6</v>
      </c>
      <c r="F37" s="17" t="n">
        <v>0</v>
      </c>
      <c r="G37" s="15" t="inlineStr">
        <is>
          <t>YAKIT</t>
        </is>
      </c>
      <c r="H37" s="18">
        <f>IF($A37="","",$E37*fam_yakitBirimFiyat)</f>
        <v/>
      </c>
      <c r="I37" s="18">
        <f>IF($A37="","",$D37*IFERROR(SUMIF(tblVarliklar[VarlikId],$B37,tblVarliklar[AmortismanTlKm]),fam_amortismanTlKm))</f>
        <v/>
      </c>
      <c r="J37" s="18">
        <f>IF($A37="","",IFERROR(SUMIF(tblVarliklar[VarlikId],$B37,tblVarliklar[SigortaYillikTl]),fam_sigortaYillik)/365*fam_sigortaGunPay)</f>
        <v/>
      </c>
      <c r="K37" s="18">
        <f>IF($A37="","",$H37+$F37+$I37+$J37)</f>
        <v/>
      </c>
      <c r="L37" s="18">
        <f>IF(OR($A37="",$D37=0),"",$K37/$D37)</f>
        <v/>
      </c>
      <c r="M37" s="18">
        <f>IF($A37="","",MAX(0,MIN(100,fam_kaliteTaban-IF($L37&gt;fam_esikKmBasi,fam_kaliteCeza,0)-IF($F37&gt;fam_esikBakimTl,fam_kaliteSapma,0)-IF($P37="YETIM",fam_kaliteCeza,0))))</f>
        <v/>
      </c>
      <c r="N37" s="18">
        <f>IF($A37="","",IF(OR($L37&gt;fam_esikKmBasi,$F37&gt;fam_esikBakimTl,$M37&lt;fam_esikSaglik),"ALARM","UYGUN"))</f>
        <v/>
      </c>
      <c r="O37" s="18">
        <f>IF($A37="","",1)</f>
        <v/>
      </c>
      <c r="P37" s="18">
        <f>IF($A37="","",IF(OR($B37="",COUNTIF(tblVarliklar[VarlikId],$B37)=0),"YETIM","TAMAM"))</f>
        <v/>
      </c>
    </row>
    <row r="38">
      <c r="A38" s="15" t="inlineStr">
        <is>
          <t>GLG-00033</t>
        </is>
      </c>
      <c r="B38" s="15" t="inlineStr">
        <is>
          <t>ARC-99999</t>
        </is>
      </c>
      <c r="C38" s="60" t="n">
        <v>46146</v>
      </c>
      <c r="D38" s="20" t="n">
        <v>255</v>
      </c>
      <c r="E38" s="16" t="n">
        <v>24.2</v>
      </c>
      <c r="F38" s="17" t="n">
        <v>0</v>
      </c>
      <c r="G38" s="15" t="inlineStr">
        <is>
          <t>MUAYENE</t>
        </is>
      </c>
      <c r="H38" s="18">
        <f>IF($A38="","",$E38*fam_yakitBirimFiyat)</f>
        <v/>
      </c>
      <c r="I38" s="18">
        <f>IF($A38="","",$D38*IFERROR(SUMIF(tblVarliklar[VarlikId],$B38,tblVarliklar[AmortismanTlKm]),fam_amortismanTlKm))</f>
        <v/>
      </c>
      <c r="J38" s="18">
        <f>IF($A38="","",IFERROR(SUMIF(tblVarliklar[VarlikId],$B38,tblVarliklar[SigortaYillikTl]),fam_sigortaYillik)/365*fam_sigortaGunPay)</f>
        <v/>
      </c>
      <c r="K38" s="18">
        <f>IF($A38="","",$H38+$F38+$I38+$J38)</f>
        <v/>
      </c>
      <c r="L38" s="18">
        <f>IF(OR($A38="",$D38=0),"",$K38/$D38)</f>
        <v/>
      </c>
      <c r="M38" s="18">
        <f>IF($A38="","",MAX(0,MIN(100,fam_kaliteTaban-IF($L38&gt;fam_esikKmBasi,fam_kaliteCeza,0)-IF($F38&gt;fam_esikBakimTl,fam_kaliteSapma,0)-IF($P38="YETIM",fam_kaliteCeza,0))))</f>
        <v/>
      </c>
      <c r="N38" s="18">
        <f>IF($A38="","",IF(OR($L38&gt;fam_esikKmBasi,$F38&gt;fam_esikBakimTl,$M38&lt;fam_esikSaglik),"ALARM","UYGUN"))</f>
        <v/>
      </c>
      <c r="O38" s="18">
        <f>IF($A38="","",1)</f>
        <v/>
      </c>
      <c r="P38" s="18">
        <f>IF($A38="","",IF(OR($B38="",COUNTIF(tblVarliklar[VarlikId],$B38)=0),"YETIM","TAMAM"))</f>
        <v/>
      </c>
    </row>
    <row r="39">
      <c r="A39" s="15" t="inlineStr">
        <is>
          <t>GLG-00034</t>
        </is>
      </c>
      <c r="B39" s="15" t="inlineStr">
        <is>
          <t>ARC-00002</t>
        </is>
      </c>
      <c r="C39" s="60" t="n">
        <v>46143</v>
      </c>
      <c r="D39" s="20" t="n">
        <v>310</v>
      </c>
      <c r="E39" s="16" t="n">
        <v>31.6</v>
      </c>
      <c r="F39" s="17" t="n">
        <v>0</v>
      </c>
      <c r="G39" s="15" t="inlineStr">
        <is>
          <t>ARIZA</t>
        </is>
      </c>
      <c r="H39" s="18">
        <f>IF($A39="","",$E39*fam_yakitBirimFiyat)</f>
        <v/>
      </c>
      <c r="I39" s="18">
        <f>IF($A39="","",$D39*IFERROR(SUMIF(tblVarliklar[VarlikId],$B39,tblVarliklar[AmortismanTlKm]),fam_amortismanTlKm))</f>
        <v/>
      </c>
      <c r="J39" s="18">
        <f>IF($A39="","",IFERROR(SUMIF(tblVarliklar[VarlikId],$B39,tblVarliklar[SigortaYillikTl]),fam_sigortaYillik)/365*fam_sigortaGunPay)</f>
        <v/>
      </c>
      <c r="K39" s="18">
        <f>IF($A39="","",$H39+$F39+$I39+$J39)</f>
        <v/>
      </c>
      <c r="L39" s="18">
        <f>IF(OR($A39="",$D39=0),"",$K39/$D39)</f>
        <v/>
      </c>
      <c r="M39" s="18">
        <f>IF($A39="","",MAX(0,MIN(100,fam_kaliteTaban-IF($L39&gt;fam_esikKmBasi,fam_kaliteCeza,0)-IF($F39&gt;fam_esikBakimTl,fam_kaliteSapma,0)-IF($P39="YETIM",fam_kaliteCeza,0))))</f>
        <v/>
      </c>
      <c r="N39" s="18">
        <f>IF($A39="","",IF(OR($L39&gt;fam_esikKmBasi,$F39&gt;fam_esikBakimTl,$M39&lt;fam_esikSaglik),"ALARM","UYGUN"))</f>
        <v/>
      </c>
      <c r="O39" s="18">
        <f>IF($A39="","",1)</f>
        <v/>
      </c>
      <c r="P39" s="18">
        <f>IF($A39="","",IF(OR($B39="",COUNTIF(tblVarliklar[VarlikId],$B39)=0),"YETIM","TAMAM"))</f>
        <v/>
      </c>
    </row>
    <row r="40">
      <c r="A40" s="15" t="inlineStr">
        <is>
          <t>GLG-00035</t>
        </is>
      </c>
      <c r="B40" s="15" t="inlineStr">
        <is>
          <t>ARC-00003</t>
        </is>
      </c>
      <c r="C40" s="60" t="n">
        <v>46140</v>
      </c>
      <c r="D40" s="20" t="n">
        <v>120</v>
      </c>
      <c r="E40" s="16" t="n">
        <v>13.2</v>
      </c>
      <c r="F40" s="17" t="n">
        <v>810</v>
      </c>
      <c r="G40" s="15" t="inlineStr">
        <is>
          <t>DIGER</t>
        </is>
      </c>
      <c r="H40" s="18">
        <f>IF($A40="","",$E40*fam_yakitBirimFiyat)</f>
        <v/>
      </c>
      <c r="I40" s="18">
        <f>IF($A40="","",$D40*IFERROR(SUMIF(tblVarliklar[VarlikId],$B40,tblVarliklar[AmortismanTlKm]),fam_amortismanTlKm))</f>
        <v/>
      </c>
      <c r="J40" s="18">
        <f>IF($A40="","",IFERROR(SUMIF(tblVarliklar[VarlikId],$B40,tblVarliklar[SigortaYillikTl]),fam_sigortaYillik)/365*fam_sigortaGunPay)</f>
        <v/>
      </c>
      <c r="K40" s="18">
        <f>IF($A40="","",$H40+$F40+$I40+$J40)</f>
        <v/>
      </c>
      <c r="L40" s="18">
        <f>IF(OR($A40="",$D40=0),"",$K40/$D40)</f>
        <v/>
      </c>
      <c r="M40" s="18">
        <f>IF($A40="","",MAX(0,MIN(100,fam_kaliteTaban-IF($L40&gt;fam_esikKmBasi,fam_kaliteCeza,0)-IF($F40&gt;fam_esikBakimTl,fam_kaliteSapma,0)-IF($P40="YETIM",fam_kaliteCeza,0))))</f>
        <v/>
      </c>
      <c r="N40" s="18">
        <f>IF($A40="","",IF(OR($L40&gt;fam_esikKmBasi,$F40&gt;fam_esikBakimTl,$M40&lt;fam_esikSaglik),"ALARM","UYGUN"))</f>
        <v/>
      </c>
      <c r="O40" s="18">
        <f>IF($A40="","",1)</f>
        <v/>
      </c>
      <c r="P40" s="18">
        <f>IF($A40="","",IF(OR($B40="",COUNTIF(tblVarliklar[VarlikId],$B40)=0),"YETIM","TAMAM"))</f>
        <v/>
      </c>
    </row>
    <row r="41">
      <c r="A41" s="15" t="inlineStr">
        <is>
          <t>GLG-00036</t>
        </is>
      </c>
      <c r="B41" s="15" t="inlineStr">
        <is>
          <t>ARC-00004</t>
        </is>
      </c>
      <c r="C41" s="60" t="n">
        <v>46137</v>
      </c>
      <c r="D41" s="20" t="n">
        <v>115</v>
      </c>
      <c r="E41" s="16" t="n">
        <v>11.3</v>
      </c>
      <c r="F41" s="17" t="n">
        <v>0</v>
      </c>
      <c r="G41" s="15" t="inlineStr">
        <is>
          <t>SEFER</t>
        </is>
      </c>
      <c r="H41" s="18">
        <f>IF($A41="","",$E41*fam_yakitBirimFiyat)</f>
        <v/>
      </c>
      <c r="I41" s="18">
        <f>IF($A41="","",$D41*IFERROR(SUMIF(tblVarliklar[VarlikId],$B41,tblVarliklar[AmortismanTlKm]),fam_amortismanTlKm))</f>
        <v/>
      </c>
      <c r="J41" s="18">
        <f>IF($A41="","",IFERROR(SUMIF(tblVarliklar[VarlikId],$B41,tblVarliklar[SigortaYillikTl]),fam_sigortaYillik)/365*fam_sigortaGunPay)</f>
        <v/>
      </c>
      <c r="K41" s="18">
        <f>IF($A41="","",$H41+$F41+$I41+$J41)</f>
        <v/>
      </c>
      <c r="L41" s="18">
        <f>IF(OR($A41="",$D41=0),"",$K41/$D41)</f>
        <v/>
      </c>
      <c r="M41" s="18">
        <f>IF($A41="","",MAX(0,MIN(100,fam_kaliteTaban-IF($L41&gt;fam_esikKmBasi,fam_kaliteCeza,0)-IF($F41&gt;fam_esikBakimTl,fam_kaliteSapma,0)-IF($P41="YETIM",fam_kaliteCeza,0))))</f>
        <v/>
      </c>
      <c r="N41" s="18">
        <f>IF($A41="","",IF(OR($L41&gt;fam_esikKmBasi,$F41&gt;fam_esikBakimTl,$M41&lt;fam_esikSaglik),"ALARM","UYGUN"))</f>
        <v/>
      </c>
      <c r="O41" s="18">
        <f>IF($A41="","",1)</f>
        <v/>
      </c>
      <c r="P41" s="18">
        <f>IF($A41="","",IF(OR($B41="",COUNTIF(tblVarliklar[VarlikId],$B41)=0),"YETIM","TAMAM"))</f>
        <v/>
      </c>
    </row>
    <row r="42">
      <c r="A42" s="15" t="n"/>
      <c r="B42" s="15" t="n"/>
      <c r="C42" s="60" t="n"/>
      <c r="D42" s="20" t="n"/>
      <c r="E42" s="16" t="n"/>
      <c r="F42" s="17" t="n"/>
      <c r="G42" s="15" t="n"/>
      <c r="H42" s="18">
        <f>IF($A42="","",$E42*fam_yakitBirimFiyat)</f>
        <v/>
      </c>
      <c r="I42" s="18">
        <f>IF($A42="","",$D42*IFERROR(SUMIF(tblVarliklar[VarlikId],$B42,tblVarliklar[AmortismanTlKm]),fam_amortismanTlKm))</f>
        <v/>
      </c>
      <c r="J42" s="18">
        <f>IF($A42="","",IFERROR(SUMIF(tblVarliklar[VarlikId],$B42,tblVarliklar[SigortaYillikTl]),fam_sigortaYillik)/365*fam_sigortaGunPay)</f>
        <v/>
      </c>
      <c r="K42" s="18">
        <f>IF($A42="","",$H42+$F42+$I42+$J42)</f>
        <v/>
      </c>
      <c r="L42" s="18">
        <f>IF(OR($A42="",$D42=0),"",$K42/$D42)</f>
        <v/>
      </c>
      <c r="M42" s="18">
        <f>IF($A42="","",MAX(0,MIN(100,fam_kaliteTaban-IF($L42&gt;fam_esikKmBasi,fam_kaliteCeza,0)-IF($F42&gt;fam_esikBakimTl,fam_kaliteSapma,0)-IF($P42="YETIM",fam_kaliteCeza,0))))</f>
        <v/>
      </c>
      <c r="N42" s="18">
        <f>IF($A42="","",IF(OR($L42&gt;fam_esikKmBasi,$F42&gt;fam_esikBakimTl,$M42&lt;fam_esikSaglik),"ALARM","UYGUN"))</f>
        <v/>
      </c>
      <c r="O42" s="18">
        <f>IF($A42="","",1)</f>
        <v/>
      </c>
      <c r="P42" s="18">
        <f>IF($A42="","",IF(OR($B42="",COUNTIF(tblVarliklar[VarlikId],$B42)=0),"YETIM","TAMAM"))</f>
        <v/>
      </c>
    </row>
    <row r="43">
      <c r="A43" s="15" t="n"/>
      <c r="B43" s="15" t="n"/>
      <c r="C43" s="60" t="n"/>
      <c r="D43" s="20" t="n"/>
      <c r="E43" s="16" t="n"/>
      <c r="F43" s="17" t="n"/>
      <c r="G43" s="15" t="n"/>
      <c r="H43" s="18">
        <f>IF($A43="","",$E43*fam_yakitBirimFiyat)</f>
        <v/>
      </c>
      <c r="I43" s="18">
        <f>IF($A43="","",$D43*IFERROR(SUMIF(tblVarliklar[VarlikId],$B43,tblVarliklar[AmortismanTlKm]),fam_amortismanTlKm))</f>
        <v/>
      </c>
      <c r="J43" s="18">
        <f>IF($A43="","",IFERROR(SUMIF(tblVarliklar[VarlikId],$B43,tblVarliklar[SigortaYillikTl]),fam_sigortaYillik)/365*fam_sigortaGunPay)</f>
        <v/>
      </c>
      <c r="K43" s="18">
        <f>IF($A43="","",$H43+$F43+$I43+$J43)</f>
        <v/>
      </c>
      <c r="L43" s="18">
        <f>IF(OR($A43="",$D43=0),"",$K43/$D43)</f>
        <v/>
      </c>
      <c r="M43" s="18">
        <f>IF($A43="","",MAX(0,MIN(100,fam_kaliteTaban-IF($L43&gt;fam_esikKmBasi,fam_kaliteCeza,0)-IF($F43&gt;fam_esikBakimTl,fam_kaliteSapma,0)-IF($P43="YETIM",fam_kaliteCeza,0))))</f>
        <v/>
      </c>
      <c r="N43" s="18">
        <f>IF($A43="","",IF(OR($L43&gt;fam_esikKmBasi,$F43&gt;fam_esikBakimTl,$M43&lt;fam_esikSaglik),"ALARM","UYGUN"))</f>
        <v/>
      </c>
      <c r="O43" s="18">
        <f>IF($A43="","",1)</f>
        <v/>
      </c>
      <c r="P43" s="18">
        <f>IF($A43="","",IF(OR($B43="",COUNTIF(tblVarliklar[VarlikId],$B43)=0),"YETIM","TAMAM"))</f>
        <v/>
      </c>
    </row>
    <row r="44">
      <c r="A44" s="15" t="n"/>
      <c r="B44" s="15" t="n"/>
      <c r="C44" s="60" t="n"/>
      <c r="D44" s="20" t="n"/>
      <c r="E44" s="16" t="n"/>
      <c r="F44" s="17" t="n"/>
      <c r="G44" s="15" t="n"/>
      <c r="H44" s="18">
        <f>IF($A44="","",$E44*fam_yakitBirimFiyat)</f>
        <v/>
      </c>
      <c r="I44" s="18">
        <f>IF($A44="","",$D44*IFERROR(SUMIF(tblVarliklar[VarlikId],$B44,tblVarliklar[AmortismanTlKm]),fam_amortismanTlKm))</f>
        <v/>
      </c>
      <c r="J44" s="18">
        <f>IF($A44="","",IFERROR(SUMIF(tblVarliklar[VarlikId],$B44,tblVarliklar[SigortaYillikTl]),fam_sigortaYillik)/365*fam_sigortaGunPay)</f>
        <v/>
      </c>
      <c r="K44" s="18">
        <f>IF($A44="","",$H44+$F44+$I44+$J44)</f>
        <v/>
      </c>
      <c r="L44" s="18">
        <f>IF(OR($A44="",$D44=0),"",$K44/$D44)</f>
        <v/>
      </c>
      <c r="M44" s="18">
        <f>IF($A44="","",MAX(0,MIN(100,fam_kaliteTaban-IF($L44&gt;fam_esikKmBasi,fam_kaliteCeza,0)-IF($F44&gt;fam_esikBakimTl,fam_kaliteSapma,0)-IF($P44="YETIM",fam_kaliteCeza,0))))</f>
        <v/>
      </c>
      <c r="N44" s="18">
        <f>IF($A44="","",IF(OR($L44&gt;fam_esikKmBasi,$F44&gt;fam_esikBakimTl,$M44&lt;fam_esikSaglik),"ALARM","UYGUN"))</f>
        <v/>
      </c>
      <c r="O44" s="18">
        <f>IF($A44="","",1)</f>
        <v/>
      </c>
      <c r="P44" s="18">
        <f>IF($A44="","",IF(OR($B44="",COUNTIF(tblVarliklar[VarlikId],$B44)=0),"YETIM","TAMAM"))</f>
        <v/>
      </c>
    </row>
    <row r="45">
      <c r="A45" s="15" t="n"/>
      <c r="B45" s="15" t="n"/>
      <c r="C45" s="60" t="n"/>
      <c r="D45" s="20" t="n"/>
      <c r="E45" s="16" t="n"/>
      <c r="F45" s="17" t="n"/>
      <c r="G45" s="15" t="n"/>
      <c r="H45" s="18">
        <f>IF($A45="","",$E45*fam_yakitBirimFiyat)</f>
        <v/>
      </c>
      <c r="I45" s="18">
        <f>IF($A45="","",$D45*IFERROR(SUMIF(tblVarliklar[VarlikId],$B45,tblVarliklar[AmortismanTlKm]),fam_amortismanTlKm))</f>
        <v/>
      </c>
      <c r="J45" s="18">
        <f>IF($A45="","",IFERROR(SUMIF(tblVarliklar[VarlikId],$B45,tblVarliklar[SigortaYillikTl]),fam_sigortaYillik)/365*fam_sigortaGunPay)</f>
        <v/>
      </c>
      <c r="K45" s="18">
        <f>IF($A45="","",$H45+$F45+$I45+$J45)</f>
        <v/>
      </c>
      <c r="L45" s="18">
        <f>IF(OR($A45="",$D45=0),"",$K45/$D45)</f>
        <v/>
      </c>
      <c r="M45" s="18">
        <f>IF($A45="","",MAX(0,MIN(100,fam_kaliteTaban-IF($L45&gt;fam_esikKmBasi,fam_kaliteCeza,0)-IF($F45&gt;fam_esikBakimTl,fam_kaliteSapma,0)-IF($P45="YETIM",fam_kaliteCeza,0))))</f>
        <v/>
      </c>
      <c r="N45" s="18">
        <f>IF($A45="","",IF(OR($L45&gt;fam_esikKmBasi,$F45&gt;fam_esikBakimTl,$M45&lt;fam_esikSaglik),"ALARM","UYGUN"))</f>
        <v/>
      </c>
      <c r="O45" s="18">
        <f>IF($A45="","",1)</f>
        <v/>
      </c>
      <c r="P45" s="18">
        <f>IF($A45="","",IF(OR($B45="",COUNTIF(tblVarliklar[VarlikId],$B45)=0),"YETIM","TAMAM"))</f>
        <v/>
      </c>
    </row>
    <row r="46">
      <c r="A46" s="15" t="n"/>
      <c r="B46" s="15" t="n"/>
      <c r="C46" s="60" t="n"/>
      <c r="D46" s="20" t="n"/>
      <c r="E46" s="16" t="n"/>
      <c r="F46" s="17" t="n"/>
      <c r="G46" s="15" t="n"/>
      <c r="H46" s="18">
        <f>IF($A46="","",$E46*fam_yakitBirimFiyat)</f>
        <v/>
      </c>
      <c r="I46" s="18">
        <f>IF($A46="","",$D46*IFERROR(SUMIF(tblVarliklar[VarlikId],$B46,tblVarliklar[AmortismanTlKm]),fam_amortismanTlKm))</f>
        <v/>
      </c>
      <c r="J46" s="18">
        <f>IF($A46="","",IFERROR(SUMIF(tblVarliklar[VarlikId],$B46,tblVarliklar[SigortaYillikTl]),fam_sigortaYillik)/365*fam_sigortaGunPay)</f>
        <v/>
      </c>
      <c r="K46" s="18">
        <f>IF($A46="","",$H46+$F46+$I46+$J46)</f>
        <v/>
      </c>
      <c r="L46" s="18">
        <f>IF(OR($A46="",$D46=0),"",$K46/$D46)</f>
        <v/>
      </c>
      <c r="M46" s="18">
        <f>IF($A46="","",MAX(0,MIN(100,fam_kaliteTaban-IF($L46&gt;fam_esikKmBasi,fam_kaliteCeza,0)-IF($F46&gt;fam_esikBakimTl,fam_kaliteSapma,0)-IF($P46="YETIM",fam_kaliteCeza,0))))</f>
        <v/>
      </c>
      <c r="N46" s="18">
        <f>IF($A46="","",IF(OR($L46&gt;fam_esikKmBasi,$F46&gt;fam_esikBakimTl,$M46&lt;fam_esikSaglik),"ALARM","UYGUN"))</f>
        <v/>
      </c>
      <c r="O46" s="18">
        <f>IF($A46="","",1)</f>
        <v/>
      </c>
      <c r="P46" s="18">
        <f>IF($A46="","",IF(OR($B46="",COUNTIF(tblVarliklar[VarlikId],$B46)=0),"YETIM","TAMAM"))</f>
        <v/>
      </c>
    </row>
    <row r="47">
      <c r="A47" s="15" t="n"/>
      <c r="B47" s="15" t="n"/>
      <c r="C47" s="60" t="n"/>
      <c r="D47" s="20" t="n"/>
      <c r="E47" s="16" t="n"/>
      <c r="F47" s="17" t="n"/>
      <c r="G47" s="15" t="n"/>
      <c r="H47" s="18">
        <f>IF($A47="","",$E47*fam_yakitBirimFiyat)</f>
        <v/>
      </c>
      <c r="I47" s="18">
        <f>IF($A47="","",$D47*IFERROR(SUMIF(tblVarliklar[VarlikId],$B47,tblVarliklar[AmortismanTlKm]),fam_amortismanTlKm))</f>
        <v/>
      </c>
      <c r="J47" s="18">
        <f>IF($A47="","",IFERROR(SUMIF(tblVarliklar[VarlikId],$B47,tblVarliklar[SigortaYillikTl]),fam_sigortaYillik)/365*fam_sigortaGunPay)</f>
        <v/>
      </c>
      <c r="K47" s="18">
        <f>IF($A47="","",$H47+$F47+$I47+$J47)</f>
        <v/>
      </c>
      <c r="L47" s="18">
        <f>IF(OR($A47="",$D47=0),"",$K47/$D47)</f>
        <v/>
      </c>
      <c r="M47" s="18">
        <f>IF($A47="","",MAX(0,MIN(100,fam_kaliteTaban-IF($L47&gt;fam_esikKmBasi,fam_kaliteCeza,0)-IF($F47&gt;fam_esikBakimTl,fam_kaliteSapma,0)-IF($P47="YETIM",fam_kaliteCeza,0))))</f>
        <v/>
      </c>
      <c r="N47" s="18">
        <f>IF($A47="","",IF(OR($L47&gt;fam_esikKmBasi,$F47&gt;fam_esikBakimTl,$M47&lt;fam_esikSaglik),"ALARM","UYGUN"))</f>
        <v/>
      </c>
      <c r="O47" s="18">
        <f>IF($A47="","",1)</f>
        <v/>
      </c>
      <c r="P47" s="18">
        <f>IF($A47="","",IF(OR($B47="",COUNTIF(tblVarliklar[VarlikId],$B47)=0),"YETIM","TAMAM"))</f>
        <v/>
      </c>
    </row>
    <row r="48">
      <c r="A48" s="15" t="n"/>
      <c r="B48" s="15" t="n"/>
      <c r="C48" s="60" t="n"/>
      <c r="D48" s="20" t="n"/>
      <c r="E48" s="16" t="n"/>
      <c r="F48" s="17" t="n"/>
      <c r="G48" s="15" t="n"/>
      <c r="H48" s="18">
        <f>IF($A48="","",$E48*fam_yakitBirimFiyat)</f>
        <v/>
      </c>
      <c r="I48" s="18">
        <f>IF($A48="","",$D48*IFERROR(SUMIF(tblVarliklar[VarlikId],$B48,tblVarliklar[AmortismanTlKm]),fam_amortismanTlKm))</f>
        <v/>
      </c>
      <c r="J48" s="18">
        <f>IF($A48="","",IFERROR(SUMIF(tblVarliklar[VarlikId],$B48,tblVarliklar[SigortaYillikTl]),fam_sigortaYillik)/365*fam_sigortaGunPay)</f>
        <v/>
      </c>
      <c r="K48" s="18">
        <f>IF($A48="","",$H48+$F48+$I48+$J48)</f>
        <v/>
      </c>
      <c r="L48" s="18">
        <f>IF(OR($A48="",$D48=0),"",$K48/$D48)</f>
        <v/>
      </c>
      <c r="M48" s="18">
        <f>IF($A48="","",MAX(0,MIN(100,fam_kaliteTaban-IF($L48&gt;fam_esikKmBasi,fam_kaliteCeza,0)-IF($F48&gt;fam_esikBakimTl,fam_kaliteSapma,0)-IF($P48="YETIM",fam_kaliteCeza,0))))</f>
        <v/>
      </c>
      <c r="N48" s="18">
        <f>IF($A48="","",IF(OR($L48&gt;fam_esikKmBasi,$F48&gt;fam_esikBakimTl,$M48&lt;fam_esikSaglik),"ALARM","UYGUN"))</f>
        <v/>
      </c>
      <c r="O48" s="18">
        <f>IF($A48="","",1)</f>
        <v/>
      </c>
      <c r="P48" s="18">
        <f>IF($A48="","",IF(OR($B48="",COUNTIF(tblVarliklar[VarlikId],$B48)=0),"YETIM","TAMAM"))</f>
        <v/>
      </c>
    </row>
    <row r="49">
      <c r="A49" s="15" t="n"/>
      <c r="B49" s="15" t="n"/>
      <c r="C49" s="60" t="n"/>
      <c r="D49" s="20" t="n"/>
      <c r="E49" s="16" t="n"/>
      <c r="F49" s="17" t="n"/>
      <c r="G49" s="15" t="n"/>
      <c r="H49" s="18">
        <f>IF($A49="","",$E49*fam_yakitBirimFiyat)</f>
        <v/>
      </c>
      <c r="I49" s="18">
        <f>IF($A49="","",$D49*IFERROR(SUMIF(tblVarliklar[VarlikId],$B49,tblVarliklar[AmortismanTlKm]),fam_amortismanTlKm))</f>
        <v/>
      </c>
      <c r="J49" s="18">
        <f>IF($A49="","",IFERROR(SUMIF(tblVarliklar[VarlikId],$B49,tblVarliklar[SigortaYillikTl]),fam_sigortaYillik)/365*fam_sigortaGunPay)</f>
        <v/>
      </c>
      <c r="K49" s="18">
        <f>IF($A49="","",$H49+$F49+$I49+$J49)</f>
        <v/>
      </c>
      <c r="L49" s="18">
        <f>IF(OR($A49="",$D49=0),"",$K49/$D49)</f>
        <v/>
      </c>
      <c r="M49" s="18">
        <f>IF($A49="","",MAX(0,MIN(100,fam_kaliteTaban-IF($L49&gt;fam_esikKmBasi,fam_kaliteCeza,0)-IF($F49&gt;fam_esikBakimTl,fam_kaliteSapma,0)-IF($P49="YETIM",fam_kaliteCeza,0))))</f>
        <v/>
      </c>
      <c r="N49" s="18">
        <f>IF($A49="","",IF(OR($L49&gt;fam_esikKmBasi,$F49&gt;fam_esikBakimTl,$M49&lt;fam_esikSaglik),"ALARM","UYGUN"))</f>
        <v/>
      </c>
      <c r="O49" s="18">
        <f>IF($A49="","",1)</f>
        <v/>
      </c>
      <c r="P49" s="18">
        <f>IF($A49="","",IF(OR($B49="",COUNTIF(tblVarliklar[VarlikId],$B49)=0),"YETIM","TAMAM"))</f>
        <v/>
      </c>
    </row>
    <row r="50">
      <c r="A50" s="15" t="n"/>
      <c r="B50" s="15" t="n"/>
      <c r="C50" s="60" t="n"/>
      <c r="D50" s="20" t="n"/>
      <c r="E50" s="16" t="n"/>
      <c r="F50" s="17" t="n"/>
      <c r="G50" s="15" t="n"/>
      <c r="H50" s="18">
        <f>IF($A50="","",$E50*fam_yakitBirimFiyat)</f>
        <v/>
      </c>
      <c r="I50" s="18">
        <f>IF($A50="","",$D50*IFERROR(SUMIF(tblVarliklar[VarlikId],$B50,tblVarliklar[AmortismanTlKm]),fam_amortismanTlKm))</f>
        <v/>
      </c>
      <c r="J50" s="18">
        <f>IF($A50="","",IFERROR(SUMIF(tblVarliklar[VarlikId],$B50,tblVarliklar[SigortaYillikTl]),fam_sigortaYillik)/365*fam_sigortaGunPay)</f>
        <v/>
      </c>
      <c r="K50" s="18">
        <f>IF($A50="","",$H50+$F50+$I50+$J50)</f>
        <v/>
      </c>
      <c r="L50" s="18">
        <f>IF(OR($A50="",$D50=0),"",$K50/$D50)</f>
        <v/>
      </c>
      <c r="M50" s="18">
        <f>IF($A50="","",MAX(0,MIN(100,fam_kaliteTaban-IF($L50&gt;fam_esikKmBasi,fam_kaliteCeza,0)-IF($F50&gt;fam_esikBakimTl,fam_kaliteSapma,0)-IF($P50="YETIM",fam_kaliteCeza,0))))</f>
        <v/>
      </c>
      <c r="N50" s="18">
        <f>IF($A50="","",IF(OR($L50&gt;fam_esikKmBasi,$F50&gt;fam_esikBakimTl,$M50&lt;fam_esikSaglik),"ALARM","UYGUN"))</f>
        <v/>
      </c>
      <c r="O50" s="18">
        <f>IF($A50="","",1)</f>
        <v/>
      </c>
      <c r="P50" s="18">
        <f>IF($A50="","",IF(OR($B50="",COUNTIF(tblVarliklar[VarlikId],$B50)=0),"YETIM","TAMAM"))</f>
        <v/>
      </c>
    </row>
    <row r="51">
      <c r="A51" s="15" t="n"/>
      <c r="B51" s="15" t="n"/>
      <c r="C51" s="60" t="n"/>
      <c r="D51" s="20" t="n"/>
      <c r="E51" s="16" t="n"/>
      <c r="F51" s="17" t="n"/>
      <c r="G51" s="15" t="n"/>
      <c r="H51" s="18">
        <f>IF($A51="","",$E51*fam_yakitBirimFiyat)</f>
        <v/>
      </c>
      <c r="I51" s="18">
        <f>IF($A51="","",$D51*IFERROR(SUMIF(tblVarliklar[VarlikId],$B51,tblVarliklar[AmortismanTlKm]),fam_amortismanTlKm))</f>
        <v/>
      </c>
      <c r="J51" s="18">
        <f>IF($A51="","",IFERROR(SUMIF(tblVarliklar[VarlikId],$B51,tblVarliklar[SigortaYillikTl]),fam_sigortaYillik)/365*fam_sigortaGunPay)</f>
        <v/>
      </c>
      <c r="K51" s="18">
        <f>IF($A51="","",$H51+$F51+$I51+$J51)</f>
        <v/>
      </c>
      <c r="L51" s="18">
        <f>IF(OR($A51="",$D51=0),"",$K51/$D51)</f>
        <v/>
      </c>
      <c r="M51" s="18">
        <f>IF($A51="","",MAX(0,MIN(100,fam_kaliteTaban-IF($L51&gt;fam_esikKmBasi,fam_kaliteCeza,0)-IF($F51&gt;fam_esikBakimTl,fam_kaliteSapma,0)-IF($P51="YETIM",fam_kaliteCeza,0))))</f>
        <v/>
      </c>
      <c r="N51" s="18">
        <f>IF($A51="","",IF(OR($L51&gt;fam_esikKmBasi,$F51&gt;fam_esikBakimTl,$M51&lt;fam_esikSaglik),"ALARM","UYGUN"))</f>
        <v/>
      </c>
      <c r="O51" s="18">
        <f>IF($A51="","",1)</f>
        <v/>
      </c>
      <c r="P51" s="18">
        <f>IF($A51="","",IF(OR($B51="",COUNTIF(tblVarliklar[VarlikId],$B51)=0),"YETIM","TAMAM"))</f>
        <v/>
      </c>
    </row>
    <row r="52">
      <c r="A52" s="15" t="n"/>
      <c r="B52" s="15" t="n"/>
      <c r="C52" s="60" t="n"/>
      <c r="D52" s="20" t="n"/>
      <c r="E52" s="16" t="n"/>
      <c r="F52" s="17" t="n"/>
      <c r="G52" s="15" t="n"/>
      <c r="H52" s="18">
        <f>IF($A52="","",$E52*fam_yakitBirimFiyat)</f>
        <v/>
      </c>
      <c r="I52" s="18">
        <f>IF($A52="","",$D52*IFERROR(SUMIF(tblVarliklar[VarlikId],$B52,tblVarliklar[AmortismanTlKm]),fam_amortismanTlKm))</f>
        <v/>
      </c>
      <c r="J52" s="18">
        <f>IF($A52="","",IFERROR(SUMIF(tblVarliklar[VarlikId],$B52,tblVarliklar[SigortaYillikTl]),fam_sigortaYillik)/365*fam_sigortaGunPay)</f>
        <v/>
      </c>
      <c r="K52" s="18">
        <f>IF($A52="","",$H52+$F52+$I52+$J52)</f>
        <v/>
      </c>
      <c r="L52" s="18">
        <f>IF(OR($A52="",$D52=0),"",$K52/$D52)</f>
        <v/>
      </c>
      <c r="M52" s="18">
        <f>IF($A52="","",MAX(0,MIN(100,fam_kaliteTaban-IF($L52&gt;fam_esikKmBasi,fam_kaliteCeza,0)-IF($F52&gt;fam_esikBakimTl,fam_kaliteSapma,0)-IF($P52="YETIM",fam_kaliteCeza,0))))</f>
        <v/>
      </c>
      <c r="N52" s="18">
        <f>IF($A52="","",IF(OR($L52&gt;fam_esikKmBasi,$F52&gt;fam_esikBakimTl,$M52&lt;fam_esikSaglik),"ALARM","UYGUN"))</f>
        <v/>
      </c>
      <c r="O52" s="18">
        <f>IF($A52="","",1)</f>
        <v/>
      </c>
      <c r="P52" s="18">
        <f>IF($A52="","",IF(OR($B52="",COUNTIF(tblVarliklar[VarlikId],$B52)=0),"YETIM","TAMAM"))</f>
        <v/>
      </c>
    </row>
    <row r="53">
      <c r="A53" s="15" t="n"/>
      <c r="B53" s="15" t="n"/>
      <c r="C53" s="60" t="n"/>
      <c r="D53" s="20" t="n"/>
      <c r="E53" s="16" t="n"/>
      <c r="F53" s="17" t="n"/>
      <c r="G53" s="15" t="n"/>
      <c r="H53" s="18">
        <f>IF($A53="","",$E53*fam_yakitBirimFiyat)</f>
        <v/>
      </c>
      <c r="I53" s="18">
        <f>IF($A53="","",$D53*IFERROR(SUMIF(tblVarliklar[VarlikId],$B53,tblVarliklar[AmortismanTlKm]),fam_amortismanTlKm))</f>
        <v/>
      </c>
      <c r="J53" s="18">
        <f>IF($A53="","",IFERROR(SUMIF(tblVarliklar[VarlikId],$B53,tblVarliklar[SigortaYillikTl]),fam_sigortaYillik)/365*fam_sigortaGunPay)</f>
        <v/>
      </c>
      <c r="K53" s="18">
        <f>IF($A53="","",$H53+$F53+$I53+$J53)</f>
        <v/>
      </c>
      <c r="L53" s="18">
        <f>IF(OR($A53="",$D53=0),"",$K53/$D53)</f>
        <v/>
      </c>
      <c r="M53" s="18">
        <f>IF($A53="","",MAX(0,MIN(100,fam_kaliteTaban-IF($L53&gt;fam_esikKmBasi,fam_kaliteCeza,0)-IF($F53&gt;fam_esikBakimTl,fam_kaliteSapma,0)-IF($P53="YETIM",fam_kaliteCeza,0))))</f>
        <v/>
      </c>
      <c r="N53" s="18">
        <f>IF($A53="","",IF(OR($L53&gt;fam_esikKmBasi,$F53&gt;fam_esikBakimTl,$M53&lt;fam_esikSaglik),"ALARM","UYGUN"))</f>
        <v/>
      </c>
      <c r="O53" s="18">
        <f>IF($A53="","",1)</f>
        <v/>
      </c>
      <c r="P53" s="18">
        <f>IF($A53="","",IF(OR($B53="",COUNTIF(tblVarliklar[VarlikId],$B53)=0),"YETIM","TAMAM"))</f>
        <v/>
      </c>
    </row>
    <row r="54">
      <c r="A54" s="15" t="n"/>
      <c r="B54" s="15" t="n"/>
      <c r="C54" s="60" t="n"/>
      <c r="D54" s="20" t="n"/>
      <c r="E54" s="16" t="n"/>
      <c r="F54" s="17" t="n"/>
      <c r="G54" s="15" t="n"/>
      <c r="H54" s="18">
        <f>IF($A54="","",$E54*fam_yakitBirimFiyat)</f>
        <v/>
      </c>
      <c r="I54" s="18">
        <f>IF($A54="","",$D54*IFERROR(SUMIF(tblVarliklar[VarlikId],$B54,tblVarliklar[AmortismanTlKm]),fam_amortismanTlKm))</f>
        <v/>
      </c>
      <c r="J54" s="18">
        <f>IF($A54="","",IFERROR(SUMIF(tblVarliklar[VarlikId],$B54,tblVarliklar[SigortaYillikTl]),fam_sigortaYillik)/365*fam_sigortaGunPay)</f>
        <v/>
      </c>
      <c r="K54" s="18">
        <f>IF($A54="","",$H54+$F54+$I54+$J54)</f>
        <v/>
      </c>
      <c r="L54" s="18">
        <f>IF(OR($A54="",$D54=0),"",$K54/$D54)</f>
        <v/>
      </c>
      <c r="M54" s="18">
        <f>IF($A54="","",MAX(0,MIN(100,fam_kaliteTaban-IF($L54&gt;fam_esikKmBasi,fam_kaliteCeza,0)-IF($F54&gt;fam_esikBakimTl,fam_kaliteSapma,0)-IF($P54="YETIM",fam_kaliteCeza,0))))</f>
        <v/>
      </c>
      <c r="N54" s="18">
        <f>IF($A54="","",IF(OR($L54&gt;fam_esikKmBasi,$F54&gt;fam_esikBakimTl,$M54&lt;fam_esikSaglik),"ALARM","UYGUN"))</f>
        <v/>
      </c>
      <c r="O54" s="18">
        <f>IF($A54="","",1)</f>
        <v/>
      </c>
      <c r="P54" s="18">
        <f>IF($A54="","",IF(OR($B54="",COUNTIF(tblVarliklar[VarlikId],$B54)=0),"YETIM","TAMAM"))</f>
        <v/>
      </c>
    </row>
    <row r="55">
      <c r="A55" s="15" t="n"/>
      <c r="B55" s="15" t="n"/>
      <c r="C55" s="60" t="n"/>
      <c r="D55" s="20" t="n"/>
      <c r="E55" s="16" t="n"/>
      <c r="F55" s="17" t="n"/>
      <c r="G55" s="15" t="n"/>
      <c r="H55" s="18">
        <f>IF($A55="","",$E55*fam_yakitBirimFiyat)</f>
        <v/>
      </c>
      <c r="I55" s="18">
        <f>IF($A55="","",$D55*IFERROR(SUMIF(tblVarliklar[VarlikId],$B55,tblVarliklar[AmortismanTlKm]),fam_amortismanTlKm))</f>
        <v/>
      </c>
      <c r="J55" s="18">
        <f>IF($A55="","",IFERROR(SUMIF(tblVarliklar[VarlikId],$B55,tblVarliklar[SigortaYillikTl]),fam_sigortaYillik)/365*fam_sigortaGunPay)</f>
        <v/>
      </c>
      <c r="K55" s="18">
        <f>IF($A55="","",$H55+$F55+$I55+$J55)</f>
        <v/>
      </c>
      <c r="L55" s="18">
        <f>IF(OR($A55="",$D55=0),"",$K55/$D55)</f>
        <v/>
      </c>
      <c r="M55" s="18">
        <f>IF($A55="","",MAX(0,MIN(100,fam_kaliteTaban-IF($L55&gt;fam_esikKmBasi,fam_kaliteCeza,0)-IF($F55&gt;fam_esikBakimTl,fam_kaliteSapma,0)-IF($P55="YETIM",fam_kaliteCeza,0))))</f>
        <v/>
      </c>
      <c r="N55" s="18">
        <f>IF($A55="","",IF(OR($L55&gt;fam_esikKmBasi,$F55&gt;fam_esikBakimTl,$M55&lt;fam_esikSaglik),"ALARM","UYGUN"))</f>
        <v/>
      </c>
      <c r="O55" s="18">
        <f>IF($A55="","",1)</f>
        <v/>
      </c>
      <c r="P55" s="18">
        <f>IF($A55="","",IF(OR($B55="",COUNTIF(tblVarliklar[VarlikId],$B55)=0),"YETIM","TAMAM"))</f>
        <v/>
      </c>
    </row>
    <row r="56">
      <c r="A56" s="15" t="n"/>
      <c r="B56" s="15" t="n"/>
      <c r="C56" s="60" t="n"/>
      <c r="D56" s="20" t="n"/>
      <c r="E56" s="16" t="n"/>
      <c r="F56" s="17" t="n"/>
      <c r="G56" s="15" t="n"/>
      <c r="H56" s="18">
        <f>IF($A56="","",$E56*fam_yakitBirimFiyat)</f>
        <v/>
      </c>
      <c r="I56" s="18">
        <f>IF($A56="","",$D56*IFERROR(SUMIF(tblVarliklar[VarlikId],$B56,tblVarliklar[AmortismanTlKm]),fam_amortismanTlKm))</f>
        <v/>
      </c>
      <c r="J56" s="18">
        <f>IF($A56="","",IFERROR(SUMIF(tblVarliklar[VarlikId],$B56,tblVarliklar[SigortaYillikTl]),fam_sigortaYillik)/365*fam_sigortaGunPay)</f>
        <v/>
      </c>
      <c r="K56" s="18">
        <f>IF($A56="","",$H56+$F56+$I56+$J56)</f>
        <v/>
      </c>
      <c r="L56" s="18">
        <f>IF(OR($A56="",$D56=0),"",$K56/$D56)</f>
        <v/>
      </c>
      <c r="M56" s="18">
        <f>IF($A56="","",MAX(0,MIN(100,fam_kaliteTaban-IF($L56&gt;fam_esikKmBasi,fam_kaliteCeza,0)-IF($F56&gt;fam_esikBakimTl,fam_kaliteSapma,0)-IF($P56="YETIM",fam_kaliteCeza,0))))</f>
        <v/>
      </c>
      <c r="N56" s="18">
        <f>IF($A56="","",IF(OR($L56&gt;fam_esikKmBasi,$F56&gt;fam_esikBakimTl,$M56&lt;fam_esikSaglik),"ALARM","UYGUN"))</f>
        <v/>
      </c>
      <c r="O56" s="18">
        <f>IF($A56="","",1)</f>
        <v/>
      </c>
      <c r="P56" s="18">
        <f>IF($A56="","",IF(OR($B56="",COUNTIF(tblVarliklar[VarlikId],$B56)=0),"YETIM","TAMAM"))</f>
        <v/>
      </c>
    </row>
    <row r="57">
      <c r="A57" s="15" t="n"/>
      <c r="B57" s="15" t="n"/>
      <c r="C57" s="60" t="n"/>
      <c r="D57" s="20" t="n"/>
      <c r="E57" s="16" t="n"/>
      <c r="F57" s="17" t="n"/>
      <c r="G57" s="15" t="n"/>
      <c r="H57" s="18">
        <f>IF($A57="","",$E57*fam_yakitBirimFiyat)</f>
        <v/>
      </c>
      <c r="I57" s="18">
        <f>IF($A57="","",$D57*IFERROR(SUMIF(tblVarliklar[VarlikId],$B57,tblVarliklar[AmortismanTlKm]),fam_amortismanTlKm))</f>
        <v/>
      </c>
      <c r="J57" s="18">
        <f>IF($A57="","",IFERROR(SUMIF(tblVarliklar[VarlikId],$B57,tblVarliklar[SigortaYillikTl]),fam_sigortaYillik)/365*fam_sigortaGunPay)</f>
        <v/>
      </c>
      <c r="K57" s="18">
        <f>IF($A57="","",$H57+$F57+$I57+$J57)</f>
        <v/>
      </c>
      <c r="L57" s="18">
        <f>IF(OR($A57="",$D57=0),"",$K57/$D57)</f>
        <v/>
      </c>
      <c r="M57" s="18">
        <f>IF($A57="","",MAX(0,MIN(100,fam_kaliteTaban-IF($L57&gt;fam_esikKmBasi,fam_kaliteCeza,0)-IF($F57&gt;fam_esikBakimTl,fam_kaliteSapma,0)-IF($P57="YETIM",fam_kaliteCeza,0))))</f>
        <v/>
      </c>
      <c r="N57" s="18">
        <f>IF($A57="","",IF(OR($L57&gt;fam_esikKmBasi,$F57&gt;fam_esikBakimTl,$M57&lt;fam_esikSaglik),"ALARM","UYGUN"))</f>
        <v/>
      </c>
      <c r="O57" s="18">
        <f>IF($A57="","",1)</f>
        <v/>
      </c>
      <c r="P57" s="18">
        <f>IF($A57="","",IF(OR($B57="",COUNTIF(tblVarliklar[VarlikId],$B57)=0),"YETIM","TAMAM"))</f>
        <v/>
      </c>
    </row>
    <row r="58">
      <c r="A58" s="15" t="n"/>
      <c r="B58" s="15" t="n"/>
      <c r="C58" s="60" t="n"/>
      <c r="D58" s="20" t="n"/>
      <c r="E58" s="16" t="n"/>
      <c r="F58" s="17" t="n"/>
      <c r="G58" s="15" t="n"/>
      <c r="H58" s="18">
        <f>IF($A58="","",$E58*fam_yakitBirimFiyat)</f>
        <v/>
      </c>
      <c r="I58" s="18">
        <f>IF($A58="","",$D58*IFERROR(SUMIF(tblVarliklar[VarlikId],$B58,tblVarliklar[AmortismanTlKm]),fam_amortismanTlKm))</f>
        <v/>
      </c>
      <c r="J58" s="18">
        <f>IF($A58="","",IFERROR(SUMIF(tblVarliklar[VarlikId],$B58,tblVarliklar[SigortaYillikTl]),fam_sigortaYillik)/365*fam_sigortaGunPay)</f>
        <v/>
      </c>
      <c r="K58" s="18">
        <f>IF($A58="","",$H58+$F58+$I58+$J58)</f>
        <v/>
      </c>
      <c r="L58" s="18">
        <f>IF(OR($A58="",$D58=0),"",$K58/$D58)</f>
        <v/>
      </c>
      <c r="M58" s="18">
        <f>IF($A58="","",MAX(0,MIN(100,fam_kaliteTaban-IF($L58&gt;fam_esikKmBasi,fam_kaliteCeza,0)-IF($F58&gt;fam_esikBakimTl,fam_kaliteSapma,0)-IF($P58="YETIM",fam_kaliteCeza,0))))</f>
        <v/>
      </c>
      <c r="N58" s="18">
        <f>IF($A58="","",IF(OR($L58&gt;fam_esikKmBasi,$F58&gt;fam_esikBakimTl,$M58&lt;fam_esikSaglik),"ALARM","UYGUN"))</f>
        <v/>
      </c>
      <c r="O58" s="18">
        <f>IF($A58="","",1)</f>
        <v/>
      </c>
      <c r="P58" s="18">
        <f>IF($A58="","",IF(OR($B58="",COUNTIF(tblVarliklar[VarlikId],$B58)=0),"YETIM","TAMAM"))</f>
        <v/>
      </c>
    </row>
    <row r="59">
      <c r="A59" s="15" t="n"/>
      <c r="B59" s="15" t="n"/>
      <c r="C59" s="60" t="n"/>
      <c r="D59" s="20" t="n"/>
      <c r="E59" s="16" t="n"/>
      <c r="F59" s="17" t="n"/>
      <c r="G59" s="15" t="n"/>
      <c r="H59" s="18">
        <f>IF($A59="","",$E59*fam_yakitBirimFiyat)</f>
        <v/>
      </c>
      <c r="I59" s="18">
        <f>IF($A59="","",$D59*IFERROR(SUMIF(tblVarliklar[VarlikId],$B59,tblVarliklar[AmortismanTlKm]),fam_amortismanTlKm))</f>
        <v/>
      </c>
      <c r="J59" s="18">
        <f>IF($A59="","",IFERROR(SUMIF(tblVarliklar[VarlikId],$B59,tblVarliklar[SigortaYillikTl]),fam_sigortaYillik)/365*fam_sigortaGunPay)</f>
        <v/>
      </c>
      <c r="K59" s="18">
        <f>IF($A59="","",$H59+$F59+$I59+$J59)</f>
        <v/>
      </c>
      <c r="L59" s="18">
        <f>IF(OR($A59="",$D59=0),"",$K59/$D59)</f>
        <v/>
      </c>
      <c r="M59" s="18">
        <f>IF($A59="","",MAX(0,MIN(100,fam_kaliteTaban-IF($L59&gt;fam_esikKmBasi,fam_kaliteCeza,0)-IF($F59&gt;fam_esikBakimTl,fam_kaliteSapma,0)-IF($P59="YETIM",fam_kaliteCeza,0))))</f>
        <v/>
      </c>
      <c r="N59" s="18">
        <f>IF($A59="","",IF(OR($L59&gt;fam_esikKmBasi,$F59&gt;fam_esikBakimTl,$M59&lt;fam_esikSaglik),"ALARM","UYGUN"))</f>
        <v/>
      </c>
      <c r="O59" s="18">
        <f>IF($A59="","",1)</f>
        <v/>
      </c>
      <c r="P59" s="18">
        <f>IF($A59="","",IF(OR($B59="",COUNTIF(tblVarliklar[VarlikId],$B59)=0),"YETIM","TAMAM"))</f>
        <v/>
      </c>
    </row>
    <row r="60">
      <c r="A60" s="15" t="n"/>
      <c r="B60" s="15" t="n"/>
      <c r="C60" s="60" t="n"/>
      <c r="D60" s="20" t="n"/>
      <c r="E60" s="16" t="n"/>
      <c r="F60" s="17" t="n"/>
      <c r="G60" s="15" t="n"/>
      <c r="H60" s="18">
        <f>IF($A60="","",$E60*fam_yakitBirimFiyat)</f>
        <v/>
      </c>
      <c r="I60" s="18">
        <f>IF($A60="","",$D60*IFERROR(SUMIF(tblVarliklar[VarlikId],$B60,tblVarliklar[AmortismanTlKm]),fam_amortismanTlKm))</f>
        <v/>
      </c>
      <c r="J60" s="18">
        <f>IF($A60="","",IFERROR(SUMIF(tblVarliklar[VarlikId],$B60,tblVarliklar[SigortaYillikTl]),fam_sigortaYillik)/365*fam_sigortaGunPay)</f>
        <v/>
      </c>
      <c r="K60" s="18">
        <f>IF($A60="","",$H60+$F60+$I60+$J60)</f>
        <v/>
      </c>
      <c r="L60" s="18">
        <f>IF(OR($A60="",$D60=0),"",$K60/$D60)</f>
        <v/>
      </c>
      <c r="M60" s="18">
        <f>IF($A60="","",MAX(0,MIN(100,fam_kaliteTaban-IF($L60&gt;fam_esikKmBasi,fam_kaliteCeza,0)-IF($F60&gt;fam_esikBakimTl,fam_kaliteSapma,0)-IF($P60="YETIM",fam_kaliteCeza,0))))</f>
        <v/>
      </c>
      <c r="N60" s="18">
        <f>IF($A60="","",IF(OR($L60&gt;fam_esikKmBasi,$F60&gt;fam_esikBakimTl,$M60&lt;fam_esikSaglik),"ALARM","UYGUN"))</f>
        <v/>
      </c>
      <c r="O60" s="18">
        <f>IF($A60="","",1)</f>
        <v/>
      </c>
      <c r="P60" s="18">
        <f>IF($A60="","",IF(OR($B60="",COUNTIF(tblVarliklar[VarlikId],$B60)=0),"YETIM","TAMAM"))</f>
        <v/>
      </c>
    </row>
    <row r="61">
      <c r="A61" s="15" t="n"/>
      <c r="B61" s="15" t="n"/>
      <c r="C61" s="60" t="n"/>
      <c r="D61" s="20" t="n"/>
      <c r="E61" s="16" t="n"/>
      <c r="F61" s="17" t="n"/>
      <c r="G61" s="15" t="n"/>
      <c r="H61" s="18">
        <f>IF($A61="","",$E61*fam_yakitBirimFiyat)</f>
        <v/>
      </c>
      <c r="I61" s="18">
        <f>IF($A61="","",$D61*IFERROR(SUMIF(tblVarliklar[VarlikId],$B61,tblVarliklar[AmortismanTlKm]),fam_amortismanTlKm))</f>
        <v/>
      </c>
      <c r="J61" s="18">
        <f>IF($A61="","",IFERROR(SUMIF(tblVarliklar[VarlikId],$B61,tblVarliklar[SigortaYillikTl]),fam_sigortaYillik)/365*fam_sigortaGunPay)</f>
        <v/>
      </c>
      <c r="K61" s="18">
        <f>IF($A61="","",$H61+$F61+$I61+$J61)</f>
        <v/>
      </c>
      <c r="L61" s="18">
        <f>IF(OR($A61="",$D61=0),"",$K61/$D61)</f>
        <v/>
      </c>
      <c r="M61" s="18">
        <f>IF($A61="","",MAX(0,MIN(100,fam_kaliteTaban-IF($L61&gt;fam_esikKmBasi,fam_kaliteCeza,0)-IF($F61&gt;fam_esikBakimTl,fam_kaliteSapma,0)-IF($P61="YETIM",fam_kaliteCeza,0))))</f>
        <v/>
      </c>
      <c r="N61" s="18">
        <f>IF($A61="","",IF(OR($L61&gt;fam_esikKmBasi,$F61&gt;fam_esikBakimTl,$M61&lt;fam_esikSaglik),"ALARM","UYGUN"))</f>
        <v/>
      </c>
      <c r="O61" s="18">
        <f>IF($A61="","",1)</f>
        <v/>
      </c>
      <c r="P61" s="18">
        <f>IF($A61="","",IF(OR($B61="",COUNTIF(tblVarliklar[VarlikId],$B61)=0),"YETIM","TAMAM"))</f>
        <v/>
      </c>
    </row>
    <row r="62">
      <c r="A62" s="15" t="n"/>
      <c r="B62" s="15" t="n"/>
      <c r="C62" s="60" t="n"/>
      <c r="D62" s="20" t="n"/>
      <c r="E62" s="16" t="n"/>
      <c r="F62" s="17" t="n"/>
      <c r="G62" s="15" t="n"/>
      <c r="H62" s="18">
        <f>IF($A62="","",$E62*fam_yakitBirimFiyat)</f>
        <v/>
      </c>
      <c r="I62" s="18">
        <f>IF($A62="","",$D62*IFERROR(SUMIF(tblVarliklar[VarlikId],$B62,tblVarliklar[AmortismanTlKm]),fam_amortismanTlKm))</f>
        <v/>
      </c>
      <c r="J62" s="18">
        <f>IF($A62="","",IFERROR(SUMIF(tblVarliklar[VarlikId],$B62,tblVarliklar[SigortaYillikTl]),fam_sigortaYillik)/365*fam_sigortaGunPay)</f>
        <v/>
      </c>
      <c r="K62" s="18">
        <f>IF($A62="","",$H62+$F62+$I62+$J62)</f>
        <v/>
      </c>
      <c r="L62" s="18">
        <f>IF(OR($A62="",$D62=0),"",$K62/$D62)</f>
        <v/>
      </c>
      <c r="M62" s="18">
        <f>IF($A62="","",MAX(0,MIN(100,fam_kaliteTaban-IF($L62&gt;fam_esikKmBasi,fam_kaliteCeza,0)-IF($F62&gt;fam_esikBakimTl,fam_kaliteSapma,0)-IF($P62="YETIM",fam_kaliteCeza,0))))</f>
        <v/>
      </c>
      <c r="N62" s="18">
        <f>IF($A62="","",IF(OR($L62&gt;fam_esikKmBasi,$F62&gt;fam_esikBakimTl,$M62&lt;fam_esikSaglik),"ALARM","UYGUN"))</f>
        <v/>
      </c>
      <c r="O62" s="18">
        <f>IF($A62="","",1)</f>
        <v/>
      </c>
      <c r="P62" s="18">
        <f>IF($A62="","",IF(OR($B62="",COUNTIF(tblVarliklar[VarlikId],$B62)=0),"YETIM","TAMAM"))</f>
        <v/>
      </c>
    </row>
    <row r="63">
      <c r="A63" s="15" t="n"/>
      <c r="B63" s="15" t="n"/>
      <c r="C63" s="60" t="n"/>
      <c r="D63" s="20" t="n"/>
      <c r="E63" s="16" t="n"/>
      <c r="F63" s="17" t="n"/>
      <c r="G63" s="15" t="n"/>
      <c r="H63" s="18">
        <f>IF($A63="","",$E63*fam_yakitBirimFiyat)</f>
        <v/>
      </c>
      <c r="I63" s="18">
        <f>IF($A63="","",$D63*IFERROR(SUMIF(tblVarliklar[VarlikId],$B63,tblVarliklar[AmortismanTlKm]),fam_amortismanTlKm))</f>
        <v/>
      </c>
      <c r="J63" s="18">
        <f>IF($A63="","",IFERROR(SUMIF(tblVarliklar[VarlikId],$B63,tblVarliklar[SigortaYillikTl]),fam_sigortaYillik)/365*fam_sigortaGunPay)</f>
        <v/>
      </c>
      <c r="K63" s="18">
        <f>IF($A63="","",$H63+$F63+$I63+$J63)</f>
        <v/>
      </c>
      <c r="L63" s="18">
        <f>IF(OR($A63="",$D63=0),"",$K63/$D63)</f>
        <v/>
      </c>
      <c r="M63" s="18">
        <f>IF($A63="","",MAX(0,MIN(100,fam_kaliteTaban-IF($L63&gt;fam_esikKmBasi,fam_kaliteCeza,0)-IF($F63&gt;fam_esikBakimTl,fam_kaliteSapma,0)-IF($P63="YETIM",fam_kaliteCeza,0))))</f>
        <v/>
      </c>
      <c r="N63" s="18">
        <f>IF($A63="","",IF(OR($L63&gt;fam_esikKmBasi,$F63&gt;fam_esikBakimTl,$M63&lt;fam_esikSaglik),"ALARM","UYGUN"))</f>
        <v/>
      </c>
      <c r="O63" s="18">
        <f>IF($A63="","",1)</f>
        <v/>
      </c>
      <c r="P63" s="18">
        <f>IF($A63="","",IF(OR($B63="",COUNTIF(tblVarliklar[VarlikId],$B63)=0),"YETIM","TAMAM"))</f>
        <v/>
      </c>
    </row>
    <row r="64">
      <c r="A64" s="15" t="n"/>
      <c r="B64" s="15" t="n"/>
      <c r="C64" s="60" t="n"/>
      <c r="D64" s="20" t="n"/>
      <c r="E64" s="16" t="n"/>
      <c r="F64" s="17" t="n"/>
      <c r="G64" s="15" t="n"/>
      <c r="H64" s="18">
        <f>IF($A64="","",$E64*fam_yakitBirimFiyat)</f>
        <v/>
      </c>
      <c r="I64" s="18">
        <f>IF($A64="","",$D64*IFERROR(SUMIF(tblVarliklar[VarlikId],$B64,tblVarliklar[AmortismanTlKm]),fam_amortismanTlKm))</f>
        <v/>
      </c>
      <c r="J64" s="18">
        <f>IF($A64="","",IFERROR(SUMIF(tblVarliklar[VarlikId],$B64,tblVarliklar[SigortaYillikTl]),fam_sigortaYillik)/365*fam_sigortaGunPay)</f>
        <v/>
      </c>
      <c r="K64" s="18">
        <f>IF($A64="","",$H64+$F64+$I64+$J64)</f>
        <v/>
      </c>
      <c r="L64" s="18">
        <f>IF(OR($A64="",$D64=0),"",$K64/$D64)</f>
        <v/>
      </c>
      <c r="M64" s="18">
        <f>IF($A64="","",MAX(0,MIN(100,fam_kaliteTaban-IF($L64&gt;fam_esikKmBasi,fam_kaliteCeza,0)-IF($F64&gt;fam_esikBakimTl,fam_kaliteSapma,0)-IF($P64="YETIM",fam_kaliteCeza,0))))</f>
        <v/>
      </c>
      <c r="N64" s="18">
        <f>IF($A64="","",IF(OR($L64&gt;fam_esikKmBasi,$F64&gt;fam_esikBakimTl,$M64&lt;fam_esikSaglik),"ALARM","UYGUN"))</f>
        <v/>
      </c>
      <c r="O64" s="18">
        <f>IF($A64="","",1)</f>
        <v/>
      </c>
      <c r="P64" s="18">
        <f>IF($A64="","",IF(OR($B64="",COUNTIF(tblVarliklar[VarlikId],$B64)=0),"YETIM","TAMAM"))</f>
        <v/>
      </c>
    </row>
    <row r="65">
      <c r="A65" s="15" t="n"/>
      <c r="B65" s="15" t="n"/>
      <c r="C65" s="60" t="n"/>
      <c r="D65" s="20" t="n"/>
      <c r="E65" s="16" t="n"/>
      <c r="F65" s="17" t="n"/>
      <c r="G65" s="15" t="n"/>
      <c r="H65" s="18">
        <f>IF($A65="","",$E65*fam_yakitBirimFiyat)</f>
        <v/>
      </c>
      <c r="I65" s="18">
        <f>IF($A65="","",$D65*IFERROR(SUMIF(tblVarliklar[VarlikId],$B65,tblVarliklar[AmortismanTlKm]),fam_amortismanTlKm))</f>
        <v/>
      </c>
      <c r="J65" s="18">
        <f>IF($A65="","",IFERROR(SUMIF(tblVarliklar[VarlikId],$B65,tblVarliklar[SigortaYillikTl]),fam_sigortaYillik)/365*fam_sigortaGunPay)</f>
        <v/>
      </c>
      <c r="K65" s="18">
        <f>IF($A65="","",$H65+$F65+$I65+$J65)</f>
        <v/>
      </c>
      <c r="L65" s="18">
        <f>IF(OR($A65="",$D65=0),"",$K65/$D65)</f>
        <v/>
      </c>
      <c r="M65" s="18">
        <f>IF($A65="","",MAX(0,MIN(100,fam_kaliteTaban-IF($L65&gt;fam_esikKmBasi,fam_kaliteCeza,0)-IF($F65&gt;fam_esikBakimTl,fam_kaliteSapma,0)-IF($P65="YETIM",fam_kaliteCeza,0))))</f>
        <v/>
      </c>
      <c r="N65" s="18">
        <f>IF($A65="","",IF(OR($L65&gt;fam_esikKmBasi,$F65&gt;fam_esikBakimTl,$M65&lt;fam_esikSaglik),"ALARM","UYGUN"))</f>
        <v/>
      </c>
      <c r="O65" s="18">
        <f>IF($A65="","",1)</f>
        <v/>
      </c>
      <c r="P65" s="18">
        <f>IF($A65="","",IF(OR($B65="",COUNTIF(tblVarliklar[VarlikId],$B65)=0),"YETIM","TAMAM"))</f>
        <v/>
      </c>
    </row>
    <row r="66">
      <c r="A66" s="15" t="n"/>
      <c r="B66" s="15" t="n"/>
      <c r="C66" s="60" t="n"/>
      <c r="D66" s="20" t="n"/>
      <c r="E66" s="16" t="n"/>
      <c r="F66" s="17" t="n"/>
      <c r="G66" s="15" t="n"/>
      <c r="H66" s="18">
        <f>IF($A66="","",$E66*fam_yakitBirimFiyat)</f>
        <v/>
      </c>
      <c r="I66" s="18">
        <f>IF($A66="","",$D66*IFERROR(SUMIF(tblVarliklar[VarlikId],$B66,tblVarliklar[AmortismanTlKm]),fam_amortismanTlKm))</f>
        <v/>
      </c>
      <c r="J66" s="18">
        <f>IF($A66="","",IFERROR(SUMIF(tblVarliklar[VarlikId],$B66,tblVarliklar[SigortaYillikTl]),fam_sigortaYillik)/365*fam_sigortaGunPay)</f>
        <v/>
      </c>
      <c r="K66" s="18">
        <f>IF($A66="","",$H66+$F66+$I66+$J66)</f>
        <v/>
      </c>
      <c r="L66" s="18">
        <f>IF(OR($A66="",$D66=0),"",$K66/$D66)</f>
        <v/>
      </c>
      <c r="M66" s="18">
        <f>IF($A66="","",MAX(0,MIN(100,fam_kaliteTaban-IF($L66&gt;fam_esikKmBasi,fam_kaliteCeza,0)-IF($F66&gt;fam_esikBakimTl,fam_kaliteSapma,0)-IF($P66="YETIM",fam_kaliteCeza,0))))</f>
        <v/>
      </c>
      <c r="N66" s="18">
        <f>IF($A66="","",IF(OR($L66&gt;fam_esikKmBasi,$F66&gt;fam_esikBakimTl,$M66&lt;fam_esikSaglik),"ALARM","UYGUN"))</f>
        <v/>
      </c>
      <c r="O66" s="18">
        <f>IF($A66="","",1)</f>
        <v/>
      </c>
      <c r="P66" s="18">
        <f>IF($A66="","",IF(OR($B66="",COUNTIF(tblVarliklar[VarlikId],$B66)=0),"YETIM","TAMAM"))</f>
        <v/>
      </c>
    </row>
    <row r="67">
      <c r="A67" s="15" t="n"/>
      <c r="B67" s="15" t="n"/>
      <c r="C67" s="60" t="n"/>
      <c r="D67" s="20" t="n"/>
      <c r="E67" s="16" t="n"/>
      <c r="F67" s="17" t="n"/>
      <c r="G67" s="15" t="n"/>
      <c r="H67" s="18">
        <f>IF($A67="","",$E67*fam_yakitBirimFiyat)</f>
        <v/>
      </c>
      <c r="I67" s="18">
        <f>IF($A67="","",$D67*IFERROR(SUMIF(tblVarliklar[VarlikId],$B67,tblVarliklar[AmortismanTlKm]),fam_amortismanTlKm))</f>
        <v/>
      </c>
      <c r="J67" s="18">
        <f>IF($A67="","",IFERROR(SUMIF(tblVarliklar[VarlikId],$B67,tblVarliklar[SigortaYillikTl]),fam_sigortaYillik)/365*fam_sigortaGunPay)</f>
        <v/>
      </c>
      <c r="K67" s="18">
        <f>IF($A67="","",$H67+$F67+$I67+$J67)</f>
        <v/>
      </c>
      <c r="L67" s="18">
        <f>IF(OR($A67="",$D67=0),"",$K67/$D67)</f>
        <v/>
      </c>
      <c r="M67" s="18">
        <f>IF($A67="","",MAX(0,MIN(100,fam_kaliteTaban-IF($L67&gt;fam_esikKmBasi,fam_kaliteCeza,0)-IF($F67&gt;fam_esikBakimTl,fam_kaliteSapma,0)-IF($P67="YETIM",fam_kaliteCeza,0))))</f>
        <v/>
      </c>
      <c r="N67" s="18">
        <f>IF($A67="","",IF(OR($L67&gt;fam_esikKmBasi,$F67&gt;fam_esikBakimTl,$M67&lt;fam_esikSaglik),"ALARM","UYGUN"))</f>
        <v/>
      </c>
      <c r="O67" s="18">
        <f>IF($A67="","",1)</f>
        <v/>
      </c>
      <c r="P67" s="18">
        <f>IF($A67="","",IF(OR($B67="",COUNTIF(tblVarliklar[VarlikId],$B67)=0),"YETIM","TAMAM"))</f>
        <v/>
      </c>
    </row>
    <row r="68">
      <c r="A68" s="15" t="n"/>
      <c r="B68" s="15" t="n"/>
      <c r="C68" s="60" t="n"/>
      <c r="D68" s="20" t="n"/>
      <c r="E68" s="16" t="n"/>
      <c r="F68" s="17" t="n"/>
      <c r="G68" s="15" t="n"/>
      <c r="H68" s="18">
        <f>IF($A68="","",$E68*fam_yakitBirimFiyat)</f>
        <v/>
      </c>
      <c r="I68" s="18">
        <f>IF($A68="","",$D68*IFERROR(SUMIF(tblVarliklar[VarlikId],$B68,tblVarliklar[AmortismanTlKm]),fam_amortismanTlKm))</f>
        <v/>
      </c>
      <c r="J68" s="18">
        <f>IF($A68="","",IFERROR(SUMIF(tblVarliklar[VarlikId],$B68,tblVarliklar[SigortaYillikTl]),fam_sigortaYillik)/365*fam_sigortaGunPay)</f>
        <v/>
      </c>
      <c r="K68" s="18">
        <f>IF($A68="","",$H68+$F68+$I68+$J68)</f>
        <v/>
      </c>
      <c r="L68" s="18">
        <f>IF(OR($A68="",$D68=0),"",$K68/$D68)</f>
        <v/>
      </c>
      <c r="M68" s="18">
        <f>IF($A68="","",MAX(0,MIN(100,fam_kaliteTaban-IF($L68&gt;fam_esikKmBasi,fam_kaliteCeza,0)-IF($F68&gt;fam_esikBakimTl,fam_kaliteSapma,0)-IF($P68="YETIM",fam_kaliteCeza,0))))</f>
        <v/>
      </c>
      <c r="N68" s="18">
        <f>IF($A68="","",IF(OR($L68&gt;fam_esikKmBasi,$F68&gt;fam_esikBakimTl,$M68&lt;fam_esikSaglik),"ALARM","UYGUN"))</f>
        <v/>
      </c>
      <c r="O68" s="18">
        <f>IF($A68="","",1)</f>
        <v/>
      </c>
      <c r="P68" s="18">
        <f>IF($A68="","",IF(OR($B68="",COUNTIF(tblVarliklar[VarlikId],$B68)=0),"YETIM","TAMAM"))</f>
        <v/>
      </c>
    </row>
    <row r="69">
      <c r="A69" s="15" t="n"/>
      <c r="B69" s="15" t="n"/>
      <c r="C69" s="60" t="n"/>
      <c r="D69" s="20" t="n"/>
      <c r="E69" s="16" t="n"/>
      <c r="F69" s="17" t="n"/>
      <c r="G69" s="15" t="n"/>
      <c r="H69" s="18">
        <f>IF($A69="","",$E69*fam_yakitBirimFiyat)</f>
        <v/>
      </c>
      <c r="I69" s="18">
        <f>IF($A69="","",$D69*IFERROR(SUMIF(tblVarliklar[VarlikId],$B69,tblVarliklar[AmortismanTlKm]),fam_amortismanTlKm))</f>
        <v/>
      </c>
      <c r="J69" s="18">
        <f>IF($A69="","",IFERROR(SUMIF(tblVarliklar[VarlikId],$B69,tblVarliklar[SigortaYillikTl]),fam_sigortaYillik)/365*fam_sigortaGunPay)</f>
        <v/>
      </c>
      <c r="K69" s="18">
        <f>IF($A69="","",$H69+$F69+$I69+$J69)</f>
        <v/>
      </c>
      <c r="L69" s="18">
        <f>IF(OR($A69="",$D69=0),"",$K69/$D69)</f>
        <v/>
      </c>
      <c r="M69" s="18">
        <f>IF($A69="","",MAX(0,MIN(100,fam_kaliteTaban-IF($L69&gt;fam_esikKmBasi,fam_kaliteCeza,0)-IF($F69&gt;fam_esikBakimTl,fam_kaliteSapma,0)-IF($P69="YETIM",fam_kaliteCeza,0))))</f>
        <v/>
      </c>
      <c r="N69" s="18">
        <f>IF($A69="","",IF(OR($L69&gt;fam_esikKmBasi,$F69&gt;fam_esikBakimTl,$M69&lt;fam_esikSaglik),"ALARM","UYGUN"))</f>
        <v/>
      </c>
      <c r="O69" s="18">
        <f>IF($A69="","",1)</f>
        <v/>
      </c>
      <c r="P69" s="18">
        <f>IF($A69="","",IF(OR($B69="",COUNTIF(tblVarliklar[VarlikId],$B69)=0),"YETIM","TAMAM"))</f>
        <v/>
      </c>
    </row>
    <row r="70">
      <c r="A70" s="15" t="n"/>
      <c r="B70" s="15" t="n"/>
      <c r="C70" s="60" t="n"/>
      <c r="D70" s="20" t="n"/>
      <c r="E70" s="16" t="n"/>
      <c r="F70" s="17" t="n"/>
      <c r="G70" s="15" t="n"/>
      <c r="H70" s="18">
        <f>IF($A70="","",$E70*fam_yakitBirimFiyat)</f>
        <v/>
      </c>
      <c r="I70" s="18">
        <f>IF($A70="","",$D70*IFERROR(SUMIF(tblVarliklar[VarlikId],$B70,tblVarliklar[AmortismanTlKm]),fam_amortismanTlKm))</f>
        <v/>
      </c>
      <c r="J70" s="18">
        <f>IF($A70="","",IFERROR(SUMIF(tblVarliklar[VarlikId],$B70,tblVarliklar[SigortaYillikTl]),fam_sigortaYillik)/365*fam_sigortaGunPay)</f>
        <v/>
      </c>
      <c r="K70" s="18">
        <f>IF($A70="","",$H70+$F70+$I70+$J70)</f>
        <v/>
      </c>
      <c r="L70" s="18">
        <f>IF(OR($A70="",$D70=0),"",$K70/$D70)</f>
        <v/>
      </c>
      <c r="M70" s="18">
        <f>IF($A70="","",MAX(0,MIN(100,fam_kaliteTaban-IF($L70&gt;fam_esikKmBasi,fam_kaliteCeza,0)-IF($F70&gt;fam_esikBakimTl,fam_kaliteSapma,0)-IF($P70="YETIM",fam_kaliteCeza,0))))</f>
        <v/>
      </c>
      <c r="N70" s="18">
        <f>IF($A70="","",IF(OR($L70&gt;fam_esikKmBasi,$F70&gt;fam_esikBakimTl,$M70&lt;fam_esikSaglik),"ALARM","UYGUN"))</f>
        <v/>
      </c>
      <c r="O70" s="18">
        <f>IF($A70="","",1)</f>
        <v/>
      </c>
      <c r="P70" s="18">
        <f>IF($A70="","",IF(OR($B70="",COUNTIF(tblVarliklar[VarlikId],$B70)=0),"YETIM","TAMAM"))</f>
        <v/>
      </c>
    </row>
    <row r="71">
      <c r="A71" s="15" t="n"/>
      <c r="B71" s="15" t="n"/>
      <c r="C71" s="60" t="n"/>
      <c r="D71" s="20" t="n"/>
      <c r="E71" s="16" t="n"/>
      <c r="F71" s="17" t="n"/>
      <c r="G71" s="15" t="n"/>
      <c r="H71" s="18">
        <f>IF($A71="","",$E71*fam_yakitBirimFiyat)</f>
        <v/>
      </c>
      <c r="I71" s="18">
        <f>IF($A71="","",$D71*IFERROR(SUMIF(tblVarliklar[VarlikId],$B71,tblVarliklar[AmortismanTlKm]),fam_amortismanTlKm))</f>
        <v/>
      </c>
      <c r="J71" s="18">
        <f>IF($A71="","",IFERROR(SUMIF(tblVarliklar[VarlikId],$B71,tblVarliklar[SigortaYillikTl]),fam_sigortaYillik)/365*fam_sigortaGunPay)</f>
        <v/>
      </c>
      <c r="K71" s="18">
        <f>IF($A71="","",$H71+$F71+$I71+$J71)</f>
        <v/>
      </c>
      <c r="L71" s="18">
        <f>IF(OR($A71="",$D71=0),"",$K71/$D71)</f>
        <v/>
      </c>
      <c r="M71" s="18">
        <f>IF($A71="","",MAX(0,MIN(100,fam_kaliteTaban-IF($L71&gt;fam_esikKmBasi,fam_kaliteCeza,0)-IF($F71&gt;fam_esikBakimTl,fam_kaliteSapma,0)-IF($P71="YETIM",fam_kaliteCeza,0))))</f>
        <v/>
      </c>
      <c r="N71" s="18">
        <f>IF($A71="","",IF(OR($L71&gt;fam_esikKmBasi,$F71&gt;fam_esikBakimTl,$M71&lt;fam_esikSaglik),"ALARM","UYGUN"))</f>
        <v/>
      </c>
      <c r="O71" s="18">
        <f>IF($A71="","",1)</f>
        <v/>
      </c>
      <c r="P71" s="18">
        <f>IF($A71="","",IF(OR($B71="",COUNTIF(tblVarliklar[VarlikId],$B71)=0),"YETIM","TAMAM"))</f>
        <v/>
      </c>
    </row>
    <row r="72">
      <c r="A72" s="15" t="n"/>
      <c r="B72" s="15" t="n"/>
      <c r="C72" s="60" t="n"/>
      <c r="D72" s="20" t="n"/>
      <c r="E72" s="16" t="n"/>
      <c r="F72" s="17" t="n"/>
      <c r="G72" s="15" t="n"/>
      <c r="H72" s="18">
        <f>IF($A72="","",$E72*fam_yakitBirimFiyat)</f>
        <v/>
      </c>
      <c r="I72" s="18">
        <f>IF($A72="","",$D72*IFERROR(SUMIF(tblVarliklar[VarlikId],$B72,tblVarliklar[AmortismanTlKm]),fam_amortismanTlKm))</f>
        <v/>
      </c>
      <c r="J72" s="18">
        <f>IF($A72="","",IFERROR(SUMIF(tblVarliklar[VarlikId],$B72,tblVarliklar[SigortaYillikTl]),fam_sigortaYillik)/365*fam_sigortaGunPay)</f>
        <v/>
      </c>
      <c r="K72" s="18">
        <f>IF($A72="","",$H72+$F72+$I72+$J72)</f>
        <v/>
      </c>
      <c r="L72" s="18">
        <f>IF(OR($A72="",$D72=0),"",$K72/$D72)</f>
        <v/>
      </c>
      <c r="M72" s="18">
        <f>IF($A72="","",MAX(0,MIN(100,fam_kaliteTaban-IF($L72&gt;fam_esikKmBasi,fam_kaliteCeza,0)-IF($F72&gt;fam_esikBakimTl,fam_kaliteSapma,0)-IF($P72="YETIM",fam_kaliteCeza,0))))</f>
        <v/>
      </c>
      <c r="N72" s="18">
        <f>IF($A72="","",IF(OR($L72&gt;fam_esikKmBasi,$F72&gt;fam_esikBakimTl,$M72&lt;fam_esikSaglik),"ALARM","UYGUN"))</f>
        <v/>
      </c>
      <c r="O72" s="18">
        <f>IF($A72="","",1)</f>
        <v/>
      </c>
      <c r="P72" s="18">
        <f>IF($A72="","",IF(OR($B72="",COUNTIF(tblVarliklar[VarlikId],$B72)=0),"YETIM","TAMAM"))</f>
        <v/>
      </c>
    </row>
    <row r="73">
      <c r="A73" s="15" t="n"/>
      <c r="B73" s="15" t="n"/>
      <c r="C73" s="60" t="n"/>
      <c r="D73" s="20" t="n"/>
      <c r="E73" s="16" t="n"/>
      <c r="F73" s="17" t="n"/>
      <c r="G73" s="15" t="n"/>
      <c r="H73" s="18">
        <f>IF($A73="","",$E73*fam_yakitBirimFiyat)</f>
        <v/>
      </c>
      <c r="I73" s="18">
        <f>IF($A73="","",$D73*IFERROR(SUMIF(tblVarliklar[VarlikId],$B73,tblVarliklar[AmortismanTlKm]),fam_amortismanTlKm))</f>
        <v/>
      </c>
      <c r="J73" s="18">
        <f>IF($A73="","",IFERROR(SUMIF(tblVarliklar[VarlikId],$B73,tblVarliklar[SigortaYillikTl]),fam_sigortaYillik)/365*fam_sigortaGunPay)</f>
        <v/>
      </c>
      <c r="K73" s="18">
        <f>IF($A73="","",$H73+$F73+$I73+$J73)</f>
        <v/>
      </c>
      <c r="L73" s="18">
        <f>IF(OR($A73="",$D73=0),"",$K73/$D73)</f>
        <v/>
      </c>
      <c r="M73" s="18">
        <f>IF($A73="","",MAX(0,MIN(100,fam_kaliteTaban-IF($L73&gt;fam_esikKmBasi,fam_kaliteCeza,0)-IF($F73&gt;fam_esikBakimTl,fam_kaliteSapma,0)-IF($P73="YETIM",fam_kaliteCeza,0))))</f>
        <v/>
      </c>
      <c r="N73" s="18">
        <f>IF($A73="","",IF(OR($L73&gt;fam_esikKmBasi,$F73&gt;fam_esikBakimTl,$M73&lt;fam_esikSaglik),"ALARM","UYGUN"))</f>
        <v/>
      </c>
      <c r="O73" s="18">
        <f>IF($A73="","",1)</f>
        <v/>
      </c>
      <c r="P73" s="18">
        <f>IF($A73="","",IF(OR($B73="",COUNTIF(tblVarliklar[VarlikId],$B73)=0),"YETIM","TAMAM"))</f>
        <v/>
      </c>
    </row>
    <row r="74">
      <c r="A74" s="15" t="n"/>
      <c r="B74" s="15" t="n"/>
      <c r="C74" s="60" t="n"/>
      <c r="D74" s="20" t="n"/>
      <c r="E74" s="16" t="n"/>
      <c r="F74" s="17" t="n"/>
      <c r="G74" s="15" t="n"/>
      <c r="H74" s="18">
        <f>IF($A74="","",$E74*fam_yakitBirimFiyat)</f>
        <v/>
      </c>
      <c r="I74" s="18">
        <f>IF($A74="","",$D74*IFERROR(SUMIF(tblVarliklar[VarlikId],$B74,tblVarliklar[AmortismanTlKm]),fam_amortismanTlKm))</f>
        <v/>
      </c>
      <c r="J74" s="18">
        <f>IF($A74="","",IFERROR(SUMIF(tblVarliklar[VarlikId],$B74,tblVarliklar[SigortaYillikTl]),fam_sigortaYillik)/365*fam_sigortaGunPay)</f>
        <v/>
      </c>
      <c r="K74" s="18">
        <f>IF($A74="","",$H74+$F74+$I74+$J74)</f>
        <v/>
      </c>
      <c r="L74" s="18">
        <f>IF(OR($A74="",$D74=0),"",$K74/$D74)</f>
        <v/>
      </c>
      <c r="M74" s="18">
        <f>IF($A74="","",MAX(0,MIN(100,fam_kaliteTaban-IF($L74&gt;fam_esikKmBasi,fam_kaliteCeza,0)-IF($F74&gt;fam_esikBakimTl,fam_kaliteSapma,0)-IF($P74="YETIM",fam_kaliteCeza,0))))</f>
        <v/>
      </c>
      <c r="N74" s="18">
        <f>IF($A74="","",IF(OR($L74&gt;fam_esikKmBasi,$F74&gt;fam_esikBakimTl,$M74&lt;fam_esikSaglik),"ALARM","UYGUN"))</f>
        <v/>
      </c>
      <c r="O74" s="18">
        <f>IF($A74="","",1)</f>
        <v/>
      </c>
      <c r="P74" s="18">
        <f>IF($A74="","",IF(OR($B74="",COUNTIF(tblVarliklar[VarlikId],$B74)=0),"YETIM","TAMAM"))</f>
        <v/>
      </c>
    </row>
    <row r="75">
      <c r="A75" s="15" t="n"/>
      <c r="B75" s="15" t="n"/>
      <c r="C75" s="60" t="n"/>
      <c r="D75" s="20" t="n"/>
      <c r="E75" s="16" t="n"/>
      <c r="F75" s="17" t="n"/>
      <c r="G75" s="15" t="n"/>
      <c r="H75" s="18">
        <f>IF($A75="","",$E75*fam_yakitBirimFiyat)</f>
        <v/>
      </c>
      <c r="I75" s="18">
        <f>IF($A75="","",$D75*IFERROR(SUMIF(tblVarliklar[VarlikId],$B75,tblVarliklar[AmortismanTlKm]),fam_amortismanTlKm))</f>
        <v/>
      </c>
      <c r="J75" s="18">
        <f>IF($A75="","",IFERROR(SUMIF(tblVarliklar[VarlikId],$B75,tblVarliklar[SigortaYillikTl]),fam_sigortaYillik)/365*fam_sigortaGunPay)</f>
        <v/>
      </c>
      <c r="K75" s="18">
        <f>IF($A75="","",$H75+$F75+$I75+$J75)</f>
        <v/>
      </c>
      <c r="L75" s="18">
        <f>IF(OR($A75="",$D75=0),"",$K75/$D75)</f>
        <v/>
      </c>
      <c r="M75" s="18">
        <f>IF($A75="","",MAX(0,MIN(100,fam_kaliteTaban-IF($L75&gt;fam_esikKmBasi,fam_kaliteCeza,0)-IF($F75&gt;fam_esikBakimTl,fam_kaliteSapma,0)-IF($P75="YETIM",fam_kaliteCeza,0))))</f>
        <v/>
      </c>
      <c r="N75" s="18">
        <f>IF($A75="","",IF(OR($L75&gt;fam_esikKmBasi,$F75&gt;fam_esikBakimTl,$M75&lt;fam_esikSaglik),"ALARM","UYGUN"))</f>
        <v/>
      </c>
      <c r="O75" s="18">
        <f>IF($A75="","",1)</f>
        <v/>
      </c>
      <c r="P75" s="18">
        <f>IF($A75="","",IF(OR($B75="",COUNTIF(tblVarliklar[VarlikId],$B75)=0),"YETIM","TAMAM"))</f>
        <v/>
      </c>
    </row>
    <row r="76">
      <c r="A76" s="15" t="n"/>
      <c r="B76" s="15" t="n"/>
      <c r="C76" s="60" t="n"/>
      <c r="D76" s="20" t="n"/>
      <c r="E76" s="16" t="n"/>
      <c r="F76" s="17" t="n"/>
      <c r="G76" s="15" t="n"/>
      <c r="H76" s="18">
        <f>IF($A76="","",$E76*fam_yakitBirimFiyat)</f>
        <v/>
      </c>
      <c r="I76" s="18">
        <f>IF($A76="","",$D76*IFERROR(SUMIF(tblVarliklar[VarlikId],$B76,tblVarliklar[AmortismanTlKm]),fam_amortismanTlKm))</f>
        <v/>
      </c>
      <c r="J76" s="18">
        <f>IF($A76="","",IFERROR(SUMIF(tblVarliklar[VarlikId],$B76,tblVarliklar[SigortaYillikTl]),fam_sigortaYillik)/365*fam_sigortaGunPay)</f>
        <v/>
      </c>
      <c r="K76" s="18">
        <f>IF($A76="","",$H76+$F76+$I76+$J76)</f>
        <v/>
      </c>
      <c r="L76" s="18">
        <f>IF(OR($A76="",$D76=0),"",$K76/$D76)</f>
        <v/>
      </c>
      <c r="M76" s="18">
        <f>IF($A76="","",MAX(0,MIN(100,fam_kaliteTaban-IF($L76&gt;fam_esikKmBasi,fam_kaliteCeza,0)-IF($F76&gt;fam_esikBakimTl,fam_kaliteSapma,0)-IF($P76="YETIM",fam_kaliteCeza,0))))</f>
        <v/>
      </c>
      <c r="N76" s="18">
        <f>IF($A76="","",IF(OR($L76&gt;fam_esikKmBasi,$F76&gt;fam_esikBakimTl,$M76&lt;fam_esikSaglik),"ALARM","UYGUN"))</f>
        <v/>
      </c>
      <c r="O76" s="18">
        <f>IF($A76="","",1)</f>
        <v/>
      </c>
      <c r="P76" s="18">
        <f>IF($A76="","",IF(OR($B76="",COUNTIF(tblVarliklar[VarlikId],$B76)=0),"YETIM","TAMAM"))</f>
        <v/>
      </c>
    </row>
    <row r="77">
      <c r="A77" s="15" t="n"/>
      <c r="B77" s="15" t="n"/>
      <c r="C77" s="60" t="n"/>
      <c r="D77" s="20" t="n"/>
      <c r="E77" s="16" t="n"/>
      <c r="F77" s="17" t="n"/>
      <c r="G77" s="15" t="n"/>
      <c r="H77" s="18">
        <f>IF($A77="","",$E77*fam_yakitBirimFiyat)</f>
        <v/>
      </c>
      <c r="I77" s="18">
        <f>IF($A77="","",$D77*IFERROR(SUMIF(tblVarliklar[VarlikId],$B77,tblVarliklar[AmortismanTlKm]),fam_amortismanTlKm))</f>
        <v/>
      </c>
      <c r="J77" s="18">
        <f>IF($A77="","",IFERROR(SUMIF(tblVarliklar[VarlikId],$B77,tblVarliklar[SigortaYillikTl]),fam_sigortaYillik)/365*fam_sigortaGunPay)</f>
        <v/>
      </c>
      <c r="K77" s="18">
        <f>IF($A77="","",$H77+$F77+$I77+$J77)</f>
        <v/>
      </c>
      <c r="L77" s="18">
        <f>IF(OR($A77="",$D77=0),"",$K77/$D77)</f>
        <v/>
      </c>
      <c r="M77" s="18">
        <f>IF($A77="","",MAX(0,MIN(100,fam_kaliteTaban-IF($L77&gt;fam_esikKmBasi,fam_kaliteCeza,0)-IF($F77&gt;fam_esikBakimTl,fam_kaliteSapma,0)-IF($P77="YETIM",fam_kaliteCeza,0))))</f>
        <v/>
      </c>
      <c r="N77" s="18">
        <f>IF($A77="","",IF(OR($L77&gt;fam_esikKmBasi,$F77&gt;fam_esikBakimTl,$M77&lt;fam_esikSaglik),"ALARM","UYGUN"))</f>
        <v/>
      </c>
      <c r="O77" s="18">
        <f>IF($A77="","",1)</f>
        <v/>
      </c>
      <c r="P77" s="18">
        <f>IF($A77="","",IF(OR($B77="",COUNTIF(tblVarliklar[VarlikId],$B77)=0),"YETIM","TAMAM"))</f>
        <v/>
      </c>
    </row>
    <row r="78">
      <c r="A78" s="15" t="n"/>
      <c r="B78" s="15" t="n"/>
      <c r="C78" s="60" t="n"/>
      <c r="D78" s="20" t="n"/>
      <c r="E78" s="16" t="n"/>
      <c r="F78" s="17" t="n"/>
      <c r="G78" s="15" t="n"/>
      <c r="H78" s="18">
        <f>IF($A78="","",$E78*fam_yakitBirimFiyat)</f>
        <v/>
      </c>
      <c r="I78" s="18">
        <f>IF($A78="","",$D78*IFERROR(SUMIF(tblVarliklar[VarlikId],$B78,tblVarliklar[AmortismanTlKm]),fam_amortismanTlKm))</f>
        <v/>
      </c>
      <c r="J78" s="18">
        <f>IF($A78="","",IFERROR(SUMIF(tblVarliklar[VarlikId],$B78,tblVarliklar[SigortaYillikTl]),fam_sigortaYillik)/365*fam_sigortaGunPay)</f>
        <v/>
      </c>
      <c r="K78" s="18">
        <f>IF($A78="","",$H78+$F78+$I78+$J78)</f>
        <v/>
      </c>
      <c r="L78" s="18">
        <f>IF(OR($A78="",$D78=0),"",$K78/$D78)</f>
        <v/>
      </c>
      <c r="M78" s="18">
        <f>IF($A78="","",MAX(0,MIN(100,fam_kaliteTaban-IF($L78&gt;fam_esikKmBasi,fam_kaliteCeza,0)-IF($F78&gt;fam_esikBakimTl,fam_kaliteSapma,0)-IF($P78="YETIM",fam_kaliteCeza,0))))</f>
        <v/>
      </c>
      <c r="N78" s="18">
        <f>IF($A78="","",IF(OR($L78&gt;fam_esikKmBasi,$F78&gt;fam_esikBakimTl,$M78&lt;fam_esikSaglik),"ALARM","UYGUN"))</f>
        <v/>
      </c>
      <c r="O78" s="18">
        <f>IF($A78="","",1)</f>
        <v/>
      </c>
      <c r="P78" s="18">
        <f>IF($A78="","",IF(OR($B78="",COUNTIF(tblVarliklar[VarlikId],$B78)=0),"YETIM","TAMAM"))</f>
        <v/>
      </c>
    </row>
    <row r="79">
      <c r="A79" s="15" t="n"/>
      <c r="B79" s="15" t="n"/>
      <c r="C79" s="60" t="n"/>
      <c r="D79" s="20" t="n"/>
      <c r="E79" s="16" t="n"/>
      <c r="F79" s="17" t="n"/>
      <c r="G79" s="15" t="n"/>
      <c r="H79" s="18">
        <f>IF($A79="","",$E79*fam_yakitBirimFiyat)</f>
        <v/>
      </c>
      <c r="I79" s="18">
        <f>IF($A79="","",$D79*IFERROR(SUMIF(tblVarliklar[VarlikId],$B79,tblVarliklar[AmortismanTlKm]),fam_amortismanTlKm))</f>
        <v/>
      </c>
      <c r="J79" s="18">
        <f>IF($A79="","",IFERROR(SUMIF(tblVarliklar[VarlikId],$B79,tblVarliklar[SigortaYillikTl]),fam_sigortaYillik)/365*fam_sigortaGunPay)</f>
        <v/>
      </c>
      <c r="K79" s="18">
        <f>IF($A79="","",$H79+$F79+$I79+$J79)</f>
        <v/>
      </c>
      <c r="L79" s="18">
        <f>IF(OR($A79="",$D79=0),"",$K79/$D79)</f>
        <v/>
      </c>
      <c r="M79" s="18">
        <f>IF($A79="","",MAX(0,MIN(100,fam_kaliteTaban-IF($L79&gt;fam_esikKmBasi,fam_kaliteCeza,0)-IF($F79&gt;fam_esikBakimTl,fam_kaliteSapma,0)-IF($P79="YETIM",fam_kaliteCeza,0))))</f>
        <v/>
      </c>
      <c r="N79" s="18">
        <f>IF($A79="","",IF(OR($L79&gt;fam_esikKmBasi,$F79&gt;fam_esikBakimTl,$M79&lt;fam_esikSaglik),"ALARM","UYGUN"))</f>
        <v/>
      </c>
      <c r="O79" s="18">
        <f>IF($A79="","",1)</f>
        <v/>
      </c>
      <c r="P79" s="18">
        <f>IF($A79="","",IF(OR($B79="",COUNTIF(tblVarliklar[VarlikId],$B79)=0),"YETIM","TAMAM"))</f>
        <v/>
      </c>
    </row>
    <row r="80">
      <c r="A80" s="15" t="n"/>
      <c r="B80" s="15" t="n"/>
      <c r="C80" s="60" t="n"/>
      <c r="D80" s="20" t="n"/>
      <c r="E80" s="16" t="n"/>
      <c r="F80" s="17" t="n"/>
      <c r="G80" s="15" t="n"/>
      <c r="H80" s="18">
        <f>IF($A80="","",$E80*fam_yakitBirimFiyat)</f>
        <v/>
      </c>
      <c r="I80" s="18">
        <f>IF($A80="","",$D80*IFERROR(SUMIF(tblVarliklar[VarlikId],$B80,tblVarliklar[AmortismanTlKm]),fam_amortismanTlKm))</f>
        <v/>
      </c>
      <c r="J80" s="18">
        <f>IF($A80="","",IFERROR(SUMIF(tblVarliklar[VarlikId],$B80,tblVarliklar[SigortaYillikTl]),fam_sigortaYillik)/365*fam_sigortaGunPay)</f>
        <v/>
      </c>
      <c r="K80" s="18">
        <f>IF($A80="","",$H80+$F80+$I80+$J80)</f>
        <v/>
      </c>
      <c r="L80" s="18">
        <f>IF(OR($A80="",$D80=0),"",$K80/$D80)</f>
        <v/>
      </c>
      <c r="M80" s="18">
        <f>IF($A80="","",MAX(0,MIN(100,fam_kaliteTaban-IF($L80&gt;fam_esikKmBasi,fam_kaliteCeza,0)-IF($F80&gt;fam_esikBakimTl,fam_kaliteSapma,0)-IF($P80="YETIM",fam_kaliteCeza,0))))</f>
        <v/>
      </c>
      <c r="N80" s="18">
        <f>IF($A80="","",IF(OR($L80&gt;fam_esikKmBasi,$F80&gt;fam_esikBakimTl,$M80&lt;fam_esikSaglik),"ALARM","UYGUN"))</f>
        <v/>
      </c>
      <c r="O80" s="18">
        <f>IF($A80="","",1)</f>
        <v/>
      </c>
      <c r="P80" s="18">
        <f>IF($A80="","",IF(OR($B80="",COUNTIF(tblVarliklar[VarlikId],$B80)=0),"YETIM","TAMAM"))</f>
        <v/>
      </c>
    </row>
    <row r="81">
      <c r="A81" s="15" t="n"/>
      <c r="B81" s="15" t="n"/>
      <c r="C81" s="60" t="n"/>
      <c r="D81" s="20" t="n"/>
      <c r="E81" s="16" t="n"/>
      <c r="F81" s="17" t="n"/>
      <c r="G81" s="15" t="n"/>
      <c r="H81" s="18">
        <f>IF($A81="","",$E81*fam_yakitBirimFiyat)</f>
        <v/>
      </c>
      <c r="I81" s="18">
        <f>IF($A81="","",$D81*IFERROR(SUMIF(tblVarliklar[VarlikId],$B81,tblVarliklar[AmortismanTlKm]),fam_amortismanTlKm))</f>
        <v/>
      </c>
      <c r="J81" s="18">
        <f>IF($A81="","",IFERROR(SUMIF(tblVarliklar[VarlikId],$B81,tblVarliklar[SigortaYillikTl]),fam_sigortaYillik)/365*fam_sigortaGunPay)</f>
        <v/>
      </c>
      <c r="K81" s="18">
        <f>IF($A81="","",$H81+$F81+$I81+$J81)</f>
        <v/>
      </c>
      <c r="L81" s="18">
        <f>IF(OR($A81="",$D81=0),"",$K81/$D81)</f>
        <v/>
      </c>
      <c r="M81" s="18">
        <f>IF($A81="","",MAX(0,MIN(100,fam_kaliteTaban-IF($L81&gt;fam_esikKmBasi,fam_kaliteCeza,0)-IF($F81&gt;fam_esikBakimTl,fam_kaliteSapma,0)-IF($P81="YETIM",fam_kaliteCeza,0))))</f>
        <v/>
      </c>
      <c r="N81" s="18">
        <f>IF($A81="","",IF(OR($L81&gt;fam_esikKmBasi,$F81&gt;fam_esikBakimTl,$M81&lt;fam_esikSaglik),"ALARM","UYGUN"))</f>
        <v/>
      </c>
      <c r="O81" s="18">
        <f>IF($A81="","",1)</f>
        <v/>
      </c>
      <c r="P81" s="18">
        <f>IF($A81="","",IF(OR($B81="",COUNTIF(tblVarliklar[VarlikId],$B81)=0),"YETIM","TAMAM"))</f>
        <v/>
      </c>
    </row>
    <row r="82">
      <c r="A82" s="15" t="n"/>
      <c r="B82" s="15" t="n"/>
      <c r="C82" s="60" t="n"/>
      <c r="D82" s="20" t="n"/>
      <c r="E82" s="16" t="n"/>
      <c r="F82" s="17" t="n"/>
      <c r="G82" s="15" t="n"/>
      <c r="H82" s="18">
        <f>IF($A82="","",$E82*fam_yakitBirimFiyat)</f>
        <v/>
      </c>
      <c r="I82" s="18">
        <f>IF($A82="","",$D82*IFERROR(SUMIF(tblVarliklar[VarlikId],$B82,tblVarliklar[AmortismanTlKm]),fam_amortismanTlKm))</f>
        <v/>
      </c>
      <c r="J82" s="18">
        <f>IF($A82="","",IFERROR(SUMIF(tblVarliklar[VarlikId],$B82,tblVarliklar[SigortaYillikTl]),fam_sigortaYillik)/365*fam_sigortaGunPay)</f>
        <v/>
      </c>
      <c r="K82" s="18">
        <f>IF($A82="","",$H82+$F82+$I82+$J82)</f>
        <v/>
      </c>
      <c r="L82" s="18">
        <f>IF(OR($A82="",$D82=0),"",$K82/$D82)</f>
        <v/>
      </c>
      <c r="M82" s="18">
        <f>IF($A82="","",MAX(0,MIN(100,fam_kaliteTaban-IF($L82&gt;fam_esikKmBasi,fam_kaliteCeza,0)-IF($F82&gt;fam_esikBakimTl,fam_kaliteSapma,0)-IF($P82="YETIM",fam_kaliteCeza,0))))</f>
        <v/>
      </c>
      <c r="N82" s="18">
        <f>IF($A82="","",IF(OR($L82&gt;fam_esikKmBasi,$F82&gt;fam_esikBakimTl,$M82&lt;fam_esikSaglik),"ALARM","UYGUN"))</f>
        <v/>
      </c>
      <c r="O82" s="18">
        <f>IF($A82="","",1)</f>
        <v/>
      </c>
      <c r="P82" s="18">
        <f>IF($A82="","",IF(OR($B82="",COUNTIF(tblVarliklar[VarlikId],$B82)=0),"YETIM","TAMAM"))</f>
        <v/>
      </c>
    </row>
    <row r="83">
      <c r="A83" s="15" t="n"/>
      <c r="B83" s="15" t="n"/>
      <c r="C83" s="60" t="n"/>
      <c r="D83" s="20" t="n"/>
      <c r="E83" s="16" t="n"/>
      <c r="F83" s="17" t="n"/>
      <c r="G83" s="15" t="n"/>
      <c r="H83" s="18">
        <f>IF($A83="","",$E83*fam_yakitBirimFiyat)</f>
        <v/>
      </c>
      <c r="I83" s="18">
        <f>IF($A83="","",$D83*IFERROR(SUMIF(tblVarliklar[VarlikId],$B83,tblVarliklar[AmortismanTlKm]),fam_amortismanTlKm))</f>
        <v/>
      </c>
      <c r="J83" s="18">
        <f>IF($A83="","",IFERROR(SUMIF(tblVarliklar[VarlikId],$B83,tblVarliklar[SigortaYillikTl]),fam_sigortaYillik)/365*fam_sigortaGunPay)</f>
        <v/>
      </c>
      <c r="K83" s="18">
        <f>IF($A83="","",$H83+$F83+$I83+$J83)</f>
        <v/>
      </c>
      <c r="L83" s="18">
        <f>IF(OR($A83="",$D83=0),"",$K83/$D83)</f>
        <v/>
      </c>
      <c r="M83" s="18">
        <f>IF($A83="","",MAX(0,MIN(100,fam_kaliteTaban-IF($L83&gt;fam_esikKmBasi,fam_kaliteCeza,0)-IF($F83&gt;fam_esikBakimTl,fam_kaliteSapma,0)-IF($P83="YETIM",fam_kaliteCeza,0))))</f>
        <v/>
      </c>
      <c r="N83" s="18">
        <f>IF($A83="","",IF(OR($L83&gt;fam_esikKmBasi,$F83&gt;fam_esikBakimTl,$M83&lt;fam_esikSaglik),"ALARM","UYGUN"))</f>
        <v/>
      </c>
      <c r="O83" s="18">
        <f>IF($A83="","",1)</f>
        <v/>
      </c>
      <c r="P83" s="18">
        <f>IF($A83="","",IF(OR($B83="",COUNTIF(tblVarliklar[VarlikId],$B83)=0),"YETIM","TAMAM"))</f>
        <v/>
      </c>
    </row>
    <row r="84">
      <c r="A84" s="15" t="n"/>
      <c r="B84" s="15" t="n"/>
      <c r="C84" s="60" t="n"/>
      <c r="D84" s="20" t="n"/>
      <c r="E84" s="16" t="n"/>
      <c r="F84" s="17" t="n"/>
      <c r="G84" s="15" t="n"/>
      <c r="H84" s="18">
        <f>IF($A84="","",$E84*fam_yakitBirimFiyat)</f>
        <v/>
      </c>
      <c r="I84" s="18">
        <f>IF($A84="","",$D84*IFERROR(SUMIF(tblVarliklar[VarlikId],$B84,tblVarliklar[AmortismanTlKm]),fam_amortismanTlKm))</f>
        <v/>
      </c>
      <c r="J84" s="18">
        <f>IF($A84="","",IFERROR(SUMIF(tblVarliklar[VarlikId],$B84,tblVarliklar[SigortaYillikTl]),fam_sigortaYillik)/365*fam_sigortaGunPay)</f>
        <v/>
      </c>
      <c r="K84" s="18">
        <f>IF($A84="","",$H84+$F84+$I84+$J84)</f>
        <v/>
      </c>
      <c r="L84" s="18">
        <f>IF(OR($A84="",$D84=0),"",$K84/$D84)</f>
        <v/>
      </c>
      <c r="M84" s="18">
        <f>IF($A84="","",MAX(0,MIN(100,fam_kaliteTaban-IF($L84&gt;fam_esikKmBasi,fam_kaliteCeza,0)-IF($F84&gt;fam_esikBakimTl,fam_kaliteSapma,0)-IF($P84="YETIM",fam_kaliteCeza,0))))</f>
        <v/>
      </c>
      <c r="N84" s="18">
        <f>IF($A84="","",IF(OR($L84&gt;fam_esikKmBasi,$F84&gt;fam_esikBakimTl,$M84&lt;fam_esikSaglik),"ALARM","UYGUN"))</f>
        <v/>
      </c>
      <c r="O84" s="18">
        <f>IF($A84="","",1)</f>
        <v/>
      </c>
      <c r="P84" s="18">
        <f>IF($A84="","",IF(OR($B84="",COUNTIF(tblVarliklar[VarlikId],$B84)=0),"YETIM","TAMAM"))</f>
        <v/>
      </c>
    </row>
    <row r="85">
      <c r="A85" s="15" t="n"/>
      <c r="B85" s="15" t="n"/>
      <c r="C85" s="60" t="n"/>
      <c r="D85" s="20" t="n"/>
      <c r="E85" s="16" t="n"/>
      <c r="F85" s="17" t="n"/>
      <c r="G85" s="15" t="n"/>
      <c r="H85" s="18">
        <f>IF($A85="","",$E85*fam_yakitBirimFiyat)</f>
        <v/>
      </c>
      <c r="I85" s="18">
        <f>IF($A85="","",$D85*IFERROR(SUMIF(tblVarliklar[VarlikId],$B85,tblVarliklar[AmortismanTlKm]),fam_amortismanTlKm))</f>
        <v/>
      </c>
      <c r="J85" s="18">
        <f>IF($A85="","",IFERROR(SUMIF(tblVarliklar[VarlikId],$B85,tblVarliklar[SigortaYillikTl]),fam_sigortaYillik)/365*fam_sigortaGunPay)</f>
        <v/>
      </c>
      <c r="K85" s="18">
        <f>IF($A85="","",$H85+$F85+$I85+$J85)</f>
        <v/>
      </c>
      <c r="L85" s="18">
        <f>IF(OR($A85="",$D85=0),"",$K85/$D85)</f>
        <v/>
      </c>
      <c r="M85" s="18">
        <f>IF($A85="","",MAX(0,MIN(100,fam_kaliteTaban-IF($L85&gt;fam_esikKmBasi,fam_kaliteCeza,0)-IF($F85&gt;fam_esikBakimTl,fam_kaliteSapma,0)-IF($P85="YETIM",fam_kaliteCeza,0))))</f>
        <v/>
      </c>
      <c r="N85" s="18">
        <f>IF($A85="","",IF(OR($L85&gt;fam_esikKmBasi,$F85&gt;fam_esikBakimTl,$M85&lt;fam_esikSaglik),"ALARM","UYGUN"))</f>
        <v/>
      </c>
      <c r="O85" s="18">
        <f>IF($A85="","",1)</f>
        <v/>
      </c>
      <c r="P85" s="18">
        <f>IF($A85="","",IF(OR($B85="",COUNTIF(tblVarliklar[VarlikId],$B85)=0),"YETIM","TAMAM"))</f>
        <v/>
      </c>
    </row>
    <row r="86">
      <c r="A86" s="15" t="n"/>
      <c r="B86" s="15" t="n"/>
      <c r="C86" s="60" t="n"/>
      <c r="D86" s="20" t="n"/>
      <c r="E86" s="16" t="n"/>
      <c r="F86" s="17" t="n"/>
      <c r="G86" s="15" t="n"/>
      <c r="H86" s="18">
        <f>IF($A86="","",$E86*fam_yakitBirimFiyat)</f>
        <v/>
      </c>
      <c r="I86" s="18">
        <f>IF($A86="","",$D86*IFERROR(SUMIF(tblVarliklar[VarlikId],$B86,tblVarliklar[AmortismanTlKm]),fam_amortismanTlKm))</f>
        <v/>
      </c>
      <c r="J86" s="18">
        <f>IF($A86="","",IFERROR(SUMIF(tblVarliklar[VarlikId],$B86,tblVarliklar[SigortaYillikTl]),fam_sigortaYillik)/365*fam_sigortaGunPay)</f>
        <v/>
      </c>
      <c r="K86" s="18">
        <f>IF($A86="","",$H86+$F86+$I86+$J86)</f>
        <v/>
      </c>
      <c r="L86" s="18">
        <f>IF(OR($A86="",$D86=0),"",$K86/$D86)</f>
        <v/>
      </c>
      <c r="M86" s="18">
        <f>IF($A86="","",MAX(0,MIN(100,fam_kaliteTaban-IF($L86&gt;fam_esikKmBasi,fam_kaliteCeza,0)-IF($F86&gt;fam_esikBakimTl,fam_kaliteSapma,0)-IF($P86="YETIM",fam_kaliteCeza,0))))</f>
        <v/>
      </c>
      <c r="N86" s="18">
        <f>IF($A86="","",IF(OR($L86&gt;fam_esikKmBasi,$F86&gt;fam_esikBakimTl,$M86&lt;fam_esikSaglik),"ALARM","UYGUN"))</f>
        <v/>
      </c>
      <c r="O86" s="18">
        <f>IF($A86="","",1)</f>
        <v/>
      </c>
      <c r="P86" s="18">
        <f>IF($A86="","",IF(OR($B86="",COUNTIF(tblVarliklar[VarlikId],$B86)=0),"YETIM","TAMAM"))</f>
        <v/>
      </c>
    </row>
    <row r="87">
      <c r="A87" s="15" t="n"/>
      <c r="B87" s="15" t="n"/>
      <c r="C87" s="60" t="n"/>
      <c r="D87" s="20" t="n"/>
      <c r="E87" s="16" t="n"/>
      <c r="F87" s="17" t="n"/>
      <c r="G87" s="15" t="n"/>
      <c r="H87" s="18">
        <f>IF($A87="","",$E87*fam_yakitBirimFiyat)</f>
        <v/>
      </c>
      <c r="I87" s="18">
        <f>IF($A87="","",$D87*IFERROR(SUMIF(tblVarliklar[VarlikId],$B87,tblVarliklar[AmortismanTlKm]),fam_amortismanTlKm))</f>
        <v/>
      </c>
      <c r="J87" s="18">
        <f>IF($A87="","",IFERROR(SUMIF(tblVarliklar[VarlikId],$B87,tblVarliklar[SigortaYillikTl]),fam_sigortaYillik)/365*fam_sigortaGunPay)</f>
        <v/>
      </c>
      <c r="K87" s="18">
        <f>IF($A87="","",$H87+$F87+$I87+$J87)</f>
        <v/>
      </c>
      <c r="L87" s="18">
        <f>IF(OR($A87="",$D87=0),"",$K87/$D87)</f>
        <v/>
      </c>
      <c r="M87" s="18">
        <f>IF($A87="","",MAX(0,MIN(100,fam_kaliteTaban-IF($L87&gt;fam_esikKmBasi,fam_kaliteCeza,0)-IF($F87&gt;fam_esikBakimTl,fam_kaliteSapma,0)-IF($P87="YETIM",fam_kaliteCeza,0))))</f>
        <v/>
      </c>
      <c r="N87" s="18">
        <f>IF($A87="","",IF(OR($L87&gt;fam_esikKmBasi,$F87&gt;fam_esikBakimTl,$M87&lt;fam_esikSaglik),"ALARM","UYGUN"))</f>
        <v/>
      </c>
      <c r="O87" s="18">
        <f>IF($A87="","",1)</f>
        <v/>
      </c>
      <c r="P87" s="18">
        <f>IF($A87="","",IF(OR($B87="",COUNTIF(tblVarliklar[VarlikId],$B87)=0),"YETIM","TAMAM"))</f>
        <v/>
      </c>
    </row>
    <row r="88">
      <c r="A88" s="15" t="n"/>
      <c r="B88" s="15" t="n"/>
      <c r="C88" s="60" t="n"/>
      <c r="D88" s="20" t="n"/>
      <c r="E88" s="16" t="n"/>
      <c r="F88" s="17" t="n"/>
      <c r="G88" s="15" t="n"/>
      <c r="H88" s="18">
        <f>IF($A88="","",$E88*fam_yakitBirimFiyat)</f>
        <v/>
      </c>
      <c r="I88" s="18">
        <f>IF($A88="","",$D88*IFERROR(SUMIF(tblVarliklar[VarlikId],$B88,tblVarliklar[AmortismanTlKm]),fam_amortismanTlKm))</f>
        <v/>
      </c>
      <c r="J88" s="18">
        <f>IF($A88="","",IFERROR(SUMIF(tblVarliklar[VarlikId],$B88,tblVarliklar[SigortaYillikTl]),fam_sigortaYillik)/365*fam_sigortaGunPay)</f>
        <v/>
      </c>
      <c r="K88" s="18">
        <f>IF($A88="","",$H88+$F88+$I88+$J88)</f>
        <v/>
      </c>
      <c r="L88" s="18">
        <f>IF(OR($A88="",$D88=0),"",$K88/$D88)</f>
        <v/>
      </c>
      <c r="M88" s="18">
        <f>IF($A88="","",MAX(0,MIN(100,fam_kaliteTaban-IF($L88&gt;fam_esikKmBasi,fam_kaliteCeza,0)-IF($F88&gt;fam_esikBakimTl,fam_kaliteSapma,0)-IF($P88="YETIM",fam_kaliteCeza,0))))</f>
        <v/>
      </c>
      <c r="N88" s="18">
        <f>IF($A88="","",IF(OR($L88&gt;fam_esikKmBasi,$F88&gt;fam_esikBakimTl,$M88&lt;fam_esikSaglik),"ALARM","UYGUN"))</f>
        <v/>
      </c>
      <c r="O88" s="18">
        <f>IF($A88="","",1)</f>
        <v/>
      </c>
      <c r="P88" s="18">
        <f>IF($A88="","",IF(OR($B88="",COUNTIF(tblVarliklar[VarlikId],$B88)=0),"YETIM","TAMAM"))</f>
        <v/>
      </c>
    </row>
    <row r="89">
      <c r="A89" s="15" t="n"/>
      <c r="B89" s="15" t="n"/>
      <c r="C89" s="60" t="n"/>
      <c r="D89" s="20" t="n"/>
      <c r="E89" s="16" t="n"/>
      <c r="F89" s="17" t="n"/>
      <c r="G89" s="15" t="n"/>
      <c r="H89" s="18">
        <f>IF($A89="","",$E89*fam_yakitBirimFiyat)</f>
        <v/>
      </c>
      <c r="I89" s="18">
        <f>IF($A89="","",$D89*IFERROR(SUMIF(tblVarliklar[VarlikId],$B89,tblVarliklar[AmortismanTlKm]),fam_amortismanTlKm))</f>
        <v/>
      </c>
      <c r="J89" s="18">
        <f>IF($A89="","",IFERROR(SUMIF(tblVarliklar[VarlikId],$B89,tblVarliklar[SigortaYillikTl]),fam_sigortaYillik)/365*fam_sigortaGunPay)</f>
        <v/>
      </c>
      <c r="K89" s="18">
        <f>IF($A89="","",$H89+$F89+$I89+$J89)</f>
        <v/>
      </c>
      <c r="L89" s="18">
        <f>IF(OR($A89="",$D89=0),"",$K89/$D89)</f>
        <v/>
      </c>
      <c r="M89" s="18">
        <f>IF($A89="","",MAX(0,MIN(100,fam_kaliteTaban-IF($L89&gt;fam_esikKmBasi,fam_kaliteCeza,0)-IF($F89&gt;fam_esikBakimTl,fam_kaliteSapma,0)-IF($P89="YETIM",fam_kaliteCeza,0))))</f>
        <v/>
      </c>
      <c r="N89" s="18">
        <f>IF($A89="","",IF(OR($L89&gt;fam_esikKmBasi,$F89&gt;fam_esikBakimTl,$M89&lt;fam_esikSaglik),"ALARM","UYGUN"))</f>
        <v/>
      </c>
      <c r="O89" s="18">
        <f>IF($A89="","",1)</f>
        <v/>
      </c>
      <c r="P89" s="18">
        <f>IF($A89="","",IF(OR($B89="",COUNTIF(tblVarliklar[VarlikId],$B89)=0),"YETIM","TAMAM"))</f>
        <v/>
      </c>
    </row>
    <row r="90">
      <c r="A90" s="15" t="n"/>
      <c r="B90" s="15" t="n"/>
      <c r="C90" s="60" t="n"/>
      <c r="D90" s="20" t="n"/>
      <c r="E90" s="16" t="n"/>
      <c r="F90" s="17" t="n"/>
      <c r="G90" s="15" t="n"/>
      <c r="H90" s="18">
        <f>IF($A90="","",$E90*fam_yakitBirimFiyat)</f>
        <v/>
      </c>
      <c r="I90" s="18">
        <f>IF($A90="","",$D90*IFERROR(SUMIF(tblVarliklar[VarlikId],$B90,tblVarliklar[AmortismanTlKm]),fam_amortismanTlKm))</f>
        <v/>
      </c>
      <c r="J90" s="18">
        <f>IF($A90="","",IFERROR(SUMIF(tblVarliklar[VarlikId],$B90,tblVarliklar[SigortaYillikTl]),fam_sigortaYillik)/365*fam_sigortaGunPay)</f>
        <v/>
      </c>
      <c r="K90" s="18">
        <f>IF($A90="","",$H90+$F90+$I90+$J90)</f>
        <v/>
      </c>
      <c r="L90" s="18">
        <f>IF(OR($A90="",$D90=0),"",$K90/$D90)</f>
        <v/>
      </c>
      <c r="M90" s="18">
        <f>IF($A90="","",MAX(0,MIN(100,fam_kaliteTaban-IF($L90&gt;fam_esikKmBasi,fam_kaliteCeza,0)-IF($F90&gt;fam_esikBakimTl,fam_kaliteSapma,0)-IF($P90="YETIM",fam_kaliteCeza,0))))</f>
        <v/>
      </c>
      <c r="N90" s="18">
        <f>IF($A90="","",IF(OR($L90&gt;fam_esikKmBasi,$F90&gt;fam_esikBakimTl,$M90&lt;fam_esikSaglik),"ALARM","UYGUN"))</f>
        <v/>
      </c>
      <c r="O90" s="18">
        <f>IF($A90="","",1)</f>
        <v/>
      </c>
      <c r="P90" s="18">
        <f>IF($A90="","",IF(OR($B90="",COUNTIF(tblVarliklar[VarlikId],$B90)=0),"YETIM","TAMAM"))</f>
        <v/>
      </c>
    </row>
    <row r="91">
      <c r="A91" s="15" t="n"/>
      <c r="B91" s="15" t="n"/>
      <c r="C91" s="60" t="n"/>
      <c r="D91" s="20" t="n"/>
      <c r="E91" s="16" t="n"/>
      <c r="F91" s="17" t="n"/>
      <c r="G91" s="15" t="n"/>
      <c r="H91" s="18">
        <f>IF($A91="","",$E91*fam_yakitBirimFiyat)</f>
        <v/>
      </c>
      <c r="I91" s="18">
        <f>IF($A91="","",$D91*IFERROR(SUMIF(tblVarliklar[VarlikId],$B91,tblVarliklar[AmortismanTlKm]),fam_amortismanTlKm))</f>
        <v/>
      </c>
      <c r="J91" s="18">
        <f>IF($A91="","",IFERROR(SUMIF(tblVarliklar[VarlikId],$B91,tblVarliklar[SigortaYillikTl]),fam_sigortaYillik)/365*fam_sigortaGunPay)</f>
        <v/>
      </c>
      <c r="K91" s="18">
        <f>IF($A91="","",$H91+$F91+$I91+$J91)</f>
        <v/>
      </c>
      <c r="L91" s="18">
        <f>IF(OR($A91="",$D91=0),"",$K91/$D91)</f>
        <v/>
      </c>
      <c r="M91" s="18">
        <f>IF($A91="","",MAX(0,MIN(100,fam_kaliteTaban-IF($L91&gt;fam_esikKmBasi,fam_kaliteCeza,0)-IF($F91&gt;fam_esikBakimTl,fam_kaliteSapma,0)-IF($P91="YETIM",fam_kaliteCeza,0))))</f>
        <v/>
      </c>
      <c r="N91" s="18">
        <f>IF($A91="","",IF(OR($L91&gt;fam_esikKmBasi,$F91&gt;fam_esikBakimTl,$M91&lt;fam_esikSaglik),"ALARM","UYGUN"))</f>
        <v/>
      </c>
      <c r="O91" s="18">
        <f>IF($A91="","",1)</f>
        <v/>
      </c>
      <c r="P91" s="18">
        <f>IF($A91="","",IF(OR($B91="",COUNTIF(tblVarliklar[VarlikId],$B91)=0),"YETIM","TAMAM"))</f>
        <v/>
      </c>
    </row>
    <row r="92">
      <c r="A92" s="15" t="n"/>
      <c r="B92" s="15" t="n"/>
      <c r="C92" s="60" t="n"/>
      <c r="D92" s="20" t="n"/>
      <c r="E92" s="16" t="n"/>
      <c r="F92" s="17" t="n"/>
      <c r="G92" s="15" t="n"/>
      <c r="H92" s="18">
        <f>IF($A92="","",$E92*fam_yakitBirimFiyat)</f>
        <v/>
      </c>
      <c r="I92" s="18">
        <f>IF($A92="","",$D92*IFERROR(SUMIF(tblVarliklar[VarlikId],$B92,tblVarliklar[AmortismanTlKm]),fam_amortismanTlKm))</f>
        <v/>
      </c>
      <c r="J92" s="18">
        <f>IF($A92="","",IFERROR(SUMIF(tblVarliklar[VarlikId],$B92,tblVarliklar[SigortaYillikTl]),fam_sigortaYillik)/365*fam_sigortaGunPay)</f>
        <v/>
      </c>
      <c r="K92" s="18">
        <f>IF($A92="","",$H92+$F92+$I92+$J92)</f>
        <v/>
      </c>
      <c r="L92" s="18">
        <f>IF(OR($A92="",$D92=0),"",$K92/$D92)</f>
        <v/>
      </c>
      <c r="M92" s="18">
        <f>IF($A92="","",MAX(0,MIN(100,fam_kaliteTaban-IF($L92&gt;fam_esikKmBasi,fam_kaliteCeza,0)-IF($F92&gt;fam_esikBakimTl,fam_kaliteSapma,0)-IF($P92="YETIM",fam_kaliteCeza,0))))</f>
        <v/>
      </c>
      <c r="N92" s="18">
        <f>IF($A92="","",IF(OR($L92&gt;fam_esikKmBasi,$F92&gt;fam_esikBakimTl,$M92&lt;fam_esikSaglik),"ALARM","UYGUN"))</f>
        <v/>
      </c>
      <c r="O92" s="18">
        <f>IF($A92="","",1)</f>
        <v/>
      </c>
      <c r="P92" s="18">
        <f>IF($A92="","",IF(OR($B92="",COUNTIF(tblVarliklar[VarlikId],$B92)=0),"YETIM","TAMAM"))</f>
        <v/>
      </c>
    </row>
    <row r="93">
      <c r="A93" s="15" t="n"/>
      <c r="B93" s="15" t="n"/>
      <c r="C93" s="60" t="n"/>
      <c r="D93" s="20" t="n"/>
      <c r="E93" s="16" t="n"/>
      <c r="F93" s="17" t="n"/>
      <c r="G93" s="15" t="n"/>
      <c r="H93" s="18">
        <f>IF($A93="","",$E93*fam_yakitBirimFiyat)</f>
        <v/>
      </c>
      <c r="I93" s="18">
        <f>IF($A93="","",$D93*IFERROR(SUMIF(tblVarliklar[VarlikId],$B93,tblVarliklar[AmortismanTlKm]),fam_amortismanTlKm))</f>
        <v/>
      </c>
      <c r="J93" s="18">
        <f>IF($A93="","",IFERROR(SUMIF(tblVarliklar[VarlikId],$B93,tblVarliklar[SigortaYillikTl]),fam_sigortaYillik)/365*fam_sigortaGunPay)</f>
        <v/>
      </c>
      <c r="K93" s="18">
        <f>IF($A93="","",$H93+$F93+$I93+$J93)</f>
        <v/>
      </c>
      <c r="L93" s="18">
        <f>IF(OR($A93="",$D93=0),"",$K93/$D93)</f>
        <v/>
      </c>
      <c r="M93" s="18">
        <f>IF($A93="","",MAX(0,MIN(100,fam_kaliteTaban-IF($L93&gt;fam_esikKmBasi,fam_kaliteCeza,0)-IF($F93&gt;fam_esikBakimTl,fam_kaliteSapma,0)-IF($P93="YETIM",fam_kaliteCeza,0))))</f>
        <v/>
      </c>
      <c r="N93" s="18">
        <f>IF($A93="","",IF(OR($L93&gt;fam_esikKmBasi,$F93&gt;fam_esikBakimTl,$M93&lt;fam_esikSaglik),"ALARM","UYGUN"))</f>
        <v/>
      </c>
      <c r="O93" s="18">
        <f>IF($A93="","",1)</f>
        <v/>
      </c>
      <c r="P93" s="18">
        <f>IF($A93="","",IF(OR($B93="",COUNTIF(tblVarliklar[VarlikId],$B93)=0),"YETIM","TAMAM"))</f>
        <v/>
      </c>
    </row>
    <row r="94">
      <c r="A94" s="15" t="n"/>
      <c r="B94" s="15" t="n"/>
      <c r="C94" s="60" t="n"/>
      <c r="D94" s="20" t="n"/>
      <c r="E94" s="16" t="n"/>
      <c r="F94" s="17" t="n"/>
      <c r="G94" s="15" t="n"/>
      <c r="H94" s="18">
        <f>IF($A94="","",$E94*fam_yakitBirimFiyat)</f>
        <v/>
      </c>
      <c r="I94" s="18">
        <f>IF($A94="","",$D94*IFERROR(SUMIF(tblVarliklar[VarlikId],$B94,tblVarliklar[AmortismanTlKm]),fam_amortismanTlKm))</f>
        <v/>
      </c>
      <c r="J94" s="18">
        <f>IF($A94="","",IFERROR(SUMIF(tblVarliklar[VarlikId],$B94,tblVarliklar[SigortaYillikTl]),fam_sigortaYillik)/365*fam_sigortaGunPay)</f>
        <v/>
      </c>
      <c r="K94" s="18">
        <f>IF($A94="","",$H94+$F94+$I94+$J94)</f>
        <v/>
      </c>
      <c r="L94" s="18">
        <f>IF(OR($A94="",$D94=0),"",$K94/$D94)</f>
        <v/>
      </c>
      <c r="M94" s="18">
        <f>IF($A94="","",MAX(0,MIN(100,fam_kaliteTaban-IF($L94&gt;fam_esikKmBasi,fam_kaliteCeza,0)-IF($F94&gt;fam_esikBakimTl,fam_kaliteSapma,0)-IF($P94="YETIM",fam_kaliteCeza,0))))</f>
        <v/>
      </c>
      <c r="N94" s="18">
        <f>IF($A94="","",IF(OR($L94&gt;fam_esikKmBasi,$F94&gt;fam_esikBakimTl,$M94&lt;fam_esikSaglik),"ALARM","UYGUN"))</f>
        <v/>
      </c>
      <c r="O94" s="18">
        <f>IF($A94="","",1)</f>
        <v/>
      </c>
      <c r="P94" s="18">
        <f>IF($A94="","",IF(OR($B94="",COUNTIF(tblVarliklar[VarlikId],$B94)=0),"YETIM","TAMAM"))</f>
        <v/>
      </c>
    </row>
    <row r="95">
      <c r="A95" s="15" t="n"/>
      <c r="B95" s="15" t="n"/>
      <c r="C95" s="60" t="n"/>
      <c r="D95" s="20" t="n"/>
      <c r="E95" s="16" t="n"/>
      <c r="F95" s="17" t="n"/>
      <c r="G95" s="15" t="n"/>
      <c r="H95" s="18">
        <f>IF($A95="","",$E95*fam_yakitBirimFiyat)</f>
        <v/>
      </c>
      <c r="I95" s="18">
        <f>IF($A95="","",$D95*IFERROR(SUMIF(tblVarliklar[VarlikId],$B95,tblVarliklar[AmortismanTlKm]),fam_amortismanTlKm))</f>
        <v/>
      </c>
      <c r="J95" s="18">
        <f>IF($A95="","",IFERROR(SUMIF(tblVarliklar[VarlikId],$B95,tblVarliklar[SigortaYillikTl]),fam_sigortaYillik)/365*fam_sigortaGunPay)</f>
        <v/>
      </c>
      <c r="K95" s="18">
        <f>IF($A95="","",$H95+$F95+$I95+$J95)</f>
        <v/>
      </c>
      <c r="L95" s="18">
        <f>IF(OR($A95="",$D95=0),"",$K95/$D95)</f>
        <v/>
      </c>
      <c r="M95" s="18">
        <f>IF($A95="","",MAX(0,MIN(100,fam_kaliteTaban-IF($L95&gt;fam_esikKmBasi,fam_kaliteCeza,0)-IF($F95&gt;fam_esikBakimTl,fam_kaliteSapma,0)-IF($P95="YETIM",fam_kaliteCeza,0))))</f>
        <v/>
      </c>
      <c r="N95" s="18">
        <f>IF($A95="","",IF(OR($L95&gt;fam_esikKmBasi,$F95&gt;fam_esikBakimTl,$M95&lt;fam_esikSaglik),"ALARM","UYGUN"))</f>
        <v/>
      </c>
      <c r="O95" s="18">
        <f>IF($A95="","",1)</f>
        <v/>
      </c>
      <c r="P95" s="18">
        <f>IF($A95="","",IF(OR($B95="",COUNTIF(tblVarliklar[VarlikId],$B95)=0),"YETIM","TAMAM"))</f>
        <v/>
      </c>
    </row>
    <row r="96">
      <c r="A96" s="15" t="n"/>
      <c r="B96" s="15" t="n"/>
      <c r="C96" s="60" t="n"/>
      <c r="D96" s="20" t="n"/>
      <c r="E96" s="16" t="n"/>
      <c r="F96" s="17" t="n"/>
      <c r="G96" s="15" t="n"/>
      <c r="H96" s="18">
        <f>IF($A96="","",$E96*fam_yakitBirimFiyat)</f>
        <v/>
      </c>
      <c r="I96" s="18">
        <f>IF($A96="","",$D96*IFERROR(SUMIF(tblVarliklar[VarlikId],$B96,tblVarliklar[AmortismanTlKm]),fam_amortismanTlKm))</f>
        <v/>
      </c>
      <c r="J96" s="18">
        <f>IF($A96="","",IFERROR(SUMIF(tblVarliklar[VarlikId],$B96,tblVarliklar[SigortaYillikTl]),fam_sigortaYillik)/365*fam_sigortaGunPay)</f>
        <v/>
      </c>
      <c r="K96" s="18">
        <f>IF($A96="","",$H96+$F96+$I96+$J96)</f>
        <v/>
      </c>
      <c r="L96" s="18">
        <f>IF(OR($A96="",$D96=0),"",$K96/$D96)</f>
        <v/>
      </c>
      <c r="M96" s="18">
        <f>IF($A96="","",MAX(0,MIN(100,fam_kaliteTaban-IF($L96&gt;fam_esikKmBasi,fam_kaliteCeza,0)-IF($F96&gt;fam_esikBakimTl,fam_kaliteSapma,0)-IF($P96="YETIM",fam_kaliteCeza,0))))</f>
        <v/>
      </c>
      <c r="N96" s="18">
        <f>IF($A96="","",IF(OR($L96&gt;fam_esikKmBasi,$F96&gt;fam_esikBakimTl,$M96&lt;fam_esikSaglik),"ALARM","UYGUN"))</f>
        <v/>
      </c>
      <c r="O96" s="18">
        <f>IF($A96="","",1)</f>
        <v/>
      </c>
      <c r="P96" s="18">
        <f>IF($A96="","",IF(OR($B96="",COUNTIF(tblVarliklar[VarlikId],$B96)=0),"YETIM","TAMAM"))</f>
        <v/>
      </c>
    </row>
    <row r="97">
      <c r="A97" s="15" t="n"/>
      <c r="B97" s="15" t="n"/>
      <c r="C97" s="60" t="n"/>
      <c r="D97" s="20" t="n"/>
      <c r="E97" s="16" t="n"/>
      <c r="F97" s="17" t="n"/>
      <c r="G97" s="15" t="n"/>
      <c r="H97" s="18">
        <f>IF($A97="","",$E97*fam_yakitBirimFiyat)</f>
        <v/>
      </c>
      <c r="I97" s="18">
        <f>IF($A97="","",$D97*IFERROR(SUMIF(tblVarliklar[VarlikId],$B97,tblVarliklar[AmortismanTlKm]),fam_amortismanTlKm))</f>
        <v/>
      </c>
      <c r="J97" s="18">
        <f>IF($A97="","",IFERROR(SUMIF(tblVarliklar[VarlikId],$B97,tblVarliklar[SigortaYillikTl]),fam_sigortaYillik)/365*fam_sigortaGunPay)</f>
        <v/>
      </c>
      <c r="K97" s="18">
        <f>IF($A97="","",$H97+$F97+$I97+$J97)</f>
        <v/>
      </c>
      <c r="L97" s="18">
        <f>IF(OR($A97="",$D97=0),"",$K97/$D97)</f>
        <v/>
      </c>
      <c r="M97" s="18">
        <f>IF($A97="","",MAX(0,MIN(100,fam_kaliteTaban-IF($L97&gt;fam_esikKmBasi,fam_kaliteCeza,0)-IF($F97&gt;fam_esikBakimTl,fam_kaliteSapma,0)-IF($P97="YETIM",fam_kaliteCeza,0))))</f>
        <v/>
      </c>
      <c r="N97" s="18">
        <f>IF($A97="","",IF(OR($L97&gt;fam_esikKmBasi,$F97&gt;fam_esikBakimTl,$M97&lt;fam_esikSaglik),"ALARM","UYGUN"))</f>
        <v/>
      </c>
      <c r="O97" s="18">
        <f>IF($A97="","",1)</f>
        <v/>
      </c>
      <c r="P97" s="18">
        <f>IF($A97="","",IF(OR($B97="",COUNTIF(tblVarliklar[VarlikId],$B97)=0),"YETIM","TAMAM"))</f>
        <v/>
      </c>
    </row>
    <row r="98">
      <c r="A98" s="15" t="n"/>
      <c r="B98" s="15" t="n"/>
      <c r="C98" s="60" t="n"/>
      <c r="D98" s="20" t="n"/>
      <c r="E98" s="16" t="n"/>
      <c r="F98" s="17" t="n"/>
      <c r="G98" s="15" t="n"/>
      <c r="H98" s="18">
        <f>IF($A98="","",$E98*fam_yakitBirimFiyat)</f>
        <v/>
      </c>
      <c r="I98" s="18">
        <f>IF($A98="","",$D98*IFERROR(SUMIF(tblVarliklar[VarlikId],$B98,tblVarliklar[AmortismanTlKm]),fam_amortismanTlKm))</f>
        <v/>
      </c>
      <c r="J98" s="18">
        <f>IF($A98="","",IFERROR(SUMIF(tblVarliklar[VarlikId],$B98,tblVarliklar[SigortaYillikTl]),fam_sigortaYillik)/365*fam_sigortaGunPay)</f>
        <v/>
      </c>
      <c r="K98" s="18">
        <f>IF($A98="","",$H98+$F98+$I98+$J98)</f>
        <v/>
      </c>
      <c r="L98" s="18">
        <f>IF(OR($A98="",$D98=0),"",$K98/$D98)</f>
        <v/>
      </c>
      <c r="M98" s="18">
        <f>IF($A98="","",MAX(0,MIN(100,fam_kaliteTaban-IF($L98&gt;fam_esikKmBasi,fam_kaliteCeza,0)-IF($F98&gt;fam_esikBakimTl,fam_kaliteSapma,0)-IF($P98="YETIM",fam_kaliteCeza,0))))</f>
        <v/>
      </c>
      <c r="N98" s="18">
        <f>IF($A98="","",IF(OR($L98&gt;fam_esikKmBasi,$F98&gt;fam_esikBakimTl,$M98&lt;fam_esikSaglik),"ALARM","UYGUN"))</f>
        <v/>
      </c>
      <c r="O98" s="18">
        <f>IF($A98="","",1)</f>
        <v/>
      </c>
      <c r="P98" s="18">
        <f>IF($A98="","",IF(OR($B98="",COUNTIF(tblVarliklar[VarlikId],$B98)=0),"YETIM","TAMAM"))</f>
        <v/>
      </c>
    </row>
    <row r="99">
      <c r="A99" s="15" t="n"/>
      <c r="B99" s="15" t="n"/>
      <c r="C99" s="60" t="n"/>
      <c r="D99" s="20" t="n"/>
      <c r="E99" s="16" t="n"/>
      <c r="F99" s="17" t="n"/>
      <c r="G99" s="15" t="n"/>
      <c r="H99" s="18">
        <f>IF($A99="","",$E99*fam_yakitBirimFiyat)</f>
        <v/>
      </c>
      <c r="I99" s="18">
        <f>IF($A99="","",$D99*IFERROR(SUMIF(tblVarliklar[VarlikId],$B99,tblVarliklar[AmortismanTlKm]),fam_amortismanTlKm))</f>
        <v/>
      </c>
      <c r="J99" s="18">
        <f>IF($A99="","",IFERROR(SUMIF(tblVarliklar[VarlikId],$B99,tblVarliklar[SigortaYillikTl]),fam_sigortaYillik)/365*fam_sigortaGunPay)</f>
        <v/>
      </c>
      <c r="K99" s="18">
        <f>IF($A99="","",$H99+$F99+$I99+$J99)</f>
        <v/>
      </c>
      <c r="L99" s="18">
        <f>IF(OR($A99="",$D99=0),"",$K99/$D99)</f>
        <v/>
      </c>
      <c r="M99" s="18">
        <f>IF($A99="","",MAX(0,MIN(100,fam_kaliteTaban-IF($L99&gt;fam_esikKmBasi,fam_kaliteCeza,0)-IF($F99&gt;fam_esikBakimTl,fam_kaliteSapma,0)-IF($P99="YETIM",fam_kaliteCeza,0))))</f>
        <v/>
      </c>
      <c r="N99" s="18">
        <f>IF($A99="","",IF(OR($L99&gt;fam_esikKmBasi,$F99&gt;fam_esikBakimTl,$M99&lt;fam_esikSaglik),"ALARM","UYGUN"))</f>
        <v/>
      </c>
      <c r="O99" s="18">
        <f>IF($A99="","",1)</f>
        <v/>
      </c>
      <c r="P99" s="18">
        <f>IF($A99="","",IF(OR($B99="",COUNTIF(tblVarliklar[VarlikId],$B99)=0),"YETIM","TAMAM"))</f>
        <v/>
      </c>
    </row>
    <row r="100">
      <c r="A100" s="15" t="n"/>
      <c r="B100" s="15" t="n"/>
      <c r="C100" s="60" t="n"/>
      <c r="D100" s="20" t="n"/>
      <c r="E100" s="16" t="n"/>
      <c r="F100" s="17" t="n"/>
      <c r="G100" s="15" t="n"/>
      <c r="H100" s="18">
        <f>IF($A100="","",$E100*fam_yakitBirimFiyat)</f>
        <v/>
      </c>
      <c r="I100" s="18">
        <f>IF($A100="","",$D100*IFERROR(SUMIF(tblVarliklar[VarlikId],$B100,tblVarliklar[AmortismanTlKm]),fam_amortismanTlKm))</f>
        <v/>
      </c>
      <c r="J100" s="18">
        <f>IF($A100="","",IFERROR(SUMIF(tblVarliklar[VarlikId],$B100,tblVarliklar[SigortaYillikTl]),fam_sigortaYillik)/365*fam_sigortaGunPay)</f>
        <v/>
      </c>
      <c r="K100" s="18">
        <f>IF($A100="","",$H100+$F100+$I100+$J100)</f>
        <v/>
      </c>
      <c r="L100" s="18">
        <f>IF(OR($A100="",$D100=0),"",$K100/$D100)</f>
        <v/>
      </c>
      <c r="M100" s="18">
        <f>IF($A100="","",MAX(0,MIN(100,fam_kaliteTaban-IF($L100&gt;fam_esikKmBasi,fam_kaliteCeza,0)-IF($F100&gt;fam_esikBakimTl,fam_kaliteSapma,0)-IF($P100="YETIM",fam_kaliteCeza,0))))</f>
        <v/>
      </c>
      <c r="N100" s="18">
        <f>IF($A100="","",IF(OR($L100&gt;fam_esikKmBasi,$F100&gt;fam_esikBakimTl,$M100&lt;fam_esikSaglik),"ALARM","UYGUN"))</f>
        <v/>
      </c>
      <c r="O100" s="18">
        <f>IF($A100="","",1)</f>
        <v/>
      </c>
      <c r="P100" s="18">
        <f>IF($A100="","",IF(OR($B100="",COUNTIF(tblVarliklar[VarlikId],$B100)=0),"YETIM","TAMAM"))</f>
        <v/>
      </c>
    </row>
    <row r="101">
      <c r="A101" s="15" t="n"/>
      <c r="B101" s="15" t="n"/>
      <c r="C101" s="60" t="n"/>
      <c r="D101" s="20" t="n"/>
      <c r="E101" s="16" t="n"/>
      <c r="F101" s="17" t="n"/>
      <c r="G101" s="15" t="n"/>
      <c r="H101" s="18">
        <f>IF($A101="","",$E101*fam_yakitBirimFiyat)</f>
        <v/>
      </c>
      <c r="I101" s="18">
        <f>IF($A101="","",$D101*IFERROR(SUMIF(tblVarliklar[VarlikId],$B101,tblVarliklar[AmortismanTlKm]),fam_amortismanTlKm))</f>
        <v/>
      </c>
      <c r="J101" s="18">
        <f>IF($A101="","",IFERROR(SUMIF(tblVarliklar[VarlikId],$B101,tblVarliklar[SigortaYillikTl]),fam_sigortaYillik)/365*fam_sigortaGunPay)</f>
        <v/>
      </c>
      <c r="K101" s="18">
        <f>IF($A101="","",$H101+$F101+$I101+$J101)</f>
        <v/>
      </c>
      <c r="L101" s="18">
        <f>IF(OR($A101="",$D101=0),"",$K101/$D101)</f>
        <v/>
      </c>
      <c r="M101" s="18">
        <f>IF($A101="","",MAX(0,MIN(100,fam_kaliteTaban-IF($L101&gt;fam_esikKmBasi,fam_kaliteCeza,0)-IF($F101&gt;fam_esikBakimTl,fam_kaliteSapma,0)-IF($P101="YETIM",fam_kaliteCeza,0))))</f>
        <v/>
      </c>
      <c r="N101" s="18">
        <f>IF($A101="","",IF(OR($L101&gt;fam_esikKmBasi,$F101&gt;fam_esikBakimTl,$M101&lt;fam_esikSaglik),"ALARM","UYGUN"))</f>
        <v/>
      </c>
      <c r="O101" s="18">
        <f>IF($A101="","",1)</f>
        <v/>
      </c>
      <c r="P101" s="18">
        <f>IF($A101="","",IF(OR($B101="",COUNTIF(tblVarliklar[VarlikId],$B101)=0),"YETIM","TAMAM"))</f>
        <v/>
      </c>
    </row>
    <row r="102">
      <c r="A102" s="15" t="n"/>
      <c r="B102" s="15" t="n"/>
      <c r="C102" s="60" t="n"/>
      <c r="D102" s="20" t="n"/>
      <c r="E102" s="16" t="n"/>
      <c r="F102" s="17" t="n"/>
      <c r="G102" s="15" t="n"/>
      <c r="H102" s="18">
        <f>IF($A102="","",$E102*fam_yakitBirimFiyat)</f>
        <v/>
      </c>
      <c r="I102" s="18">
        <f>IF($A102="","",$D102*IFERROR(SUMIF(tblVarliklar[VarlikId],$B102,tblVarliklar[AmortismanTlKm]),fam_amortismanTlKm))</f>
        <v/>
      </c>
      <c r="J102" s="18">
        <f>IF($A102="","",IFERROR(SUMIF(tblVarliklar[VarlikId],$B102,tblVarliklar[SigortaYillikTl]),fam_sigortaYillik)/365*fam_sigortaGunPay)</f>
        <v/>
      </c>
      <c r="K102" s="18">
        <f>IF($A102="","",$H102+$F102+$I102+$J102)</f>
        <v/>
      </c>
      <c r="L102" s="18">
        <f>IF(OR($A102="",$D102=0),"",$K102/$D102)</f>
        <v/>
      </c>
      <c r="M102" s="18">
        <f>IF($A102="","",MAX(0,MIN(100,fam_kaliteTaban-IF($L102&gt;fam_esikKmBasi,fam_kaliteCeza,0)-IF($F102&gt;fam_esikBakimTl,fam_kaliteSapma,0)-IF($P102="YETIM",fam_kaliteCeza,0))))</f>
        <v/>
      </c>
      <c r="N102" s="18">
        <f>IF($A102="","",IF(OR($L102&gt;fam_esikKmBasi,$F102&gt;fam_esikBakimTl,$M102&lt;fam_esikSaglik),"ALARM","UYGUN"))</f>
        <v/>
      </c>
      <c r="O102" s="18">
        <f>IF($A102="","",1)</f>
        <v/>
      </c>
      <c r="P102" s="18">
        <f>IF($A102="","",IF(OR($B102="",COUNTIF(tblVarliklar[VarlikId],$B102)=0),"YETIM","TAMAM"))</f>
        <v/>
      </c>
    </row>
    <row r="103">
      <c r="A103" s="15" t="n"/>
      <c r="B103" s="15" t="n"/>
      <c r="C103" s="60" t="n"/>
      <c r="D103" s="20" t="n"/>
      <c r="E103" s="16" t="n"/>
      <c r="F103" s="17" t="n"/>
      <c r="G103" s="15" t="n"/>
      <c r="H103" s="18">
        <f>IF($A103="","",$E103*fam_yakitBirimFiyat)</f>
        <v/>
      </c>
      <c r="I103" s="18">
        <f>IF($A103="","",$D103*IFERROR(SUMIF(tblVarliklar[VarlikId],$B103,tblVarliklar[AmortismanTlKm]),fam_amortismanTlKm))</f>
        <v/>
      </c>
      <c r="J103" s="18">
        <f>IF($A103="","",IFERROR(SUMIF(tblVarliklar[VarlikId],$B103,tblVarliklar[SigortaYillikTl]),fam_sigortaYillik)/365*fam_sigortaGunPay)</f>
        <v/>
      </c>
      <c r="K103" s="18">
        <f>IF($A103="","",$H103+$F103+$I103+$J103)</f>
        <v/>
      </c>
      <c r="L103" s="18">
        <f>IF(OR($A103="",$D103=0),"",$K103/$D103)</f>
        <v/>
      </c>
      <c r="M103" s="18">
        <f>IF($A103="","",MAX(0,MIN(100,fam_kaliteTaban-IF($L103&gt;fam_esikKmBasi,fam_kaliteCeza,0)-IF($F103&gt;fam_esikBakimTl,fam_kaliteSapma,0)-IF($P103="YETIM",fam_kaliteCeza,0))))</f>
        <v/>
      </c>
      <c r="N103" s="18">
        <f>IF($A103="","",IF(OR($L103&gt;fam_esikKmBasi,$F103&gt;fam_esikBakimTl,$M103&lt;fam_esikSaglik),"ALARM","UYGUN"))</f>
        <v/>
      </c>
      <c r="O103" s="18">
        <f>IF($A103="","",1)</f>
        <v/>
      </c>
      <c r="P103" s="18">
        <f>IF($A103="","",IF(OR($B103="",COUNTIF(tblVarliklar[VarlikId],$B103)=0),"YETIM","TAMAM"))</f>
        <v/>
      </c>
    </row>
    <row r="104">
      <c r="A104" s="15" t="n"/>
      <c r="B104" s="15" t="n"/>
      <c r="C104" s="60" t="n"/>
      <c r="D104" s="20" t="n"/>
      <c r="E104" s="16" t="n"/>
      <c r="F104" s="17" t="n"/>
      <c r="G104" s="15" t="n"/>
      <c r="H104" s="18">
        <f>IF($A104="","",$E104*fam_yakitBirimFiyat)</f>
        <v/>
      </c>
      <c r="I104" s="18">
        <f>IF($A104="","",$D104*IFERROR(SUMIF(tblVarliklar[VarlikId],$B104,tblVarliklar[AmortismanTlKm]),fam_amortismanTlKm))</f>
        <v/>
      </c>
      <c r="J104" s="18">
        <f>IF($A104="","",IFERROR(SUMIF(tblVarliklar[VarlikId],$B104,tblVarliklar[SigortaYillikTl]),fam_sigortaYillik)/365*fam_sigortaGunPay)</f>
        <v/>
      </c>
      <c r="K104" s="18">
        <f>IF($A104="","",$H104+$F104+$I104+$J104)</f>
        <v/>
      </c>
      <c r="L104" s="18">
        <f>IF(OR($A104="",$D104=0),"",$K104/$D104)</f>
        <v/>
      </c>
      <c r="M104" s="18">
        <f>IF($A104="","",MAX(0,MIN(100,fam_kaliteTaban-IF($L104&gt;fam_esikKmBasi,fam_kaliteCeza,0)-IF($F104&gt;fam_esikBakimTl,fam_kaliteSapma,0)-IF($P104="YETIM",fam_kaliteCeza,0))))</f>
        <v/>
      </c>
      <c r="N104" s="18">
        <f>IF($A104="","",IF(OR($L104&gt;fam_esikKmBasi,$F104&gt;fam_esikBakimTl,$M104&lt;fam_esikSaglik),"ALARM","UYGUN"))</f>
        <v/>
      </c>
      <c r="O104" s="18">
        <f>IF($A104="","",1)</f>
        <v/>
      </c>
      <c r="P104" s="18">
        <f>IF($A104="","",IF(OR($B104="",COUNTIF(tblVarliklar[VarlikId],$B104)=0),"YETIM","TAMAM"))</f>
        <v/>
      </c>
    </row>
    <row r="105">
      <c r="A105" s="15" t="n"/>
      <c r="B105" s="15" t="n"/>
      <c r="C105" s="60" t="n"/>
      <c r="D105" s="20" t="n"/>
      <c r="E105" s="16" t="n"/>
      <c r="F105" s="17" t="n"/>
      <c r="G105" s="15" t="n"/>
      <c r="H105" s="18">
        <f>IF($A105="","",$E105*fam_yakitBirimFiyat)</f>
        <v/>
      </c>
      <c r="I105" s="18">
        <f>IF($A105="","",$D105*IFERROR(SUMIF(tblVarliklar[VarlikId],$B105,tblVarliklar[AmortismanTlKm]),fam_amortismanTlKm))</f>
        <v/>
      </c>
      <c r="J105" s="18">
        <f>IF($A105="","",IFERROR(SUMIF(tblVarliklar[VarlikId],$B105,tblVarliklar[SigortaYillikTl]),fam_sigortaYillik)/365*fam_sigortaGunPay)</f>
        <v/>
      </c>
      <c r="K105" s="18">
        <f>IF($A105="","",$H105+$F105+$I105+$J105)</f>
        <v/>
      </c>
      <c r="L105" s="18">
        <f>IF(OR($A105="",$D105=0),"",$K105/$D105)</f>
        <v/>
      </c>
      <c r="M105" s="18">
        <f>IF($A105="","",MAX(0,MIN(100,fam_kaliteTaban-IF($L105&gt;fam_esikKmBasi,fam_kaliteCeza,0)-IF($F105&gt;fam_esikBakimTl,fam_kaliteSapma,0)-IF($P105="YETIM",fam_kaliteCeza,0))))</f>
        <v/>
      </c>
      <c r="N105" s="18">
        <f>IF($A105="","",IF(OR($L105&gt;fam_esikKmBasi,$F105&gt;fam_esikBakimTl,$M105&lt;fam_esikSaglik),"ALARM","UYGUN"))</f>
        <v/>
      </c>
      <c r="O105" s="18">
        <f>IF($A105="","",1)</f>
        <v/>
      </c>
      <c r="P105" s="18">
        <f>IF($A105="","",IF(OR($B105="",COUNTIF(tblVarliklar[VarlikId],$B105)=0),"YETIM","TAMAM"))</f>
        <v/>
      </c>
    </row>
    <row r="106">
      <c r="A106" s="15" t="n"/>
      <c r="B106" s="15" t="n"/>
      <c r="C106" s="60" t="n"/>
      <c r="D106" s="20" t="n"/>
      <c r="E106" s="16" t="n"/>
      <c r="F106" s="17" t="n"/>
      <c r="G106" s="15" t="n"/>
      <c r="H106" s="18">
        <f>IF($A106="","",$E106*fam_yakitBirimFiyat)</f>
        <v/>
      </c>
      <c r="I106" s="18">
        <f>IF($A106="","",$D106*IFERROR(SUMIF(tblVarliklar[VarlikId],$B106,tblVarliklar[AmortismanTlKm]),fam_amortismanTlKm))</f>
        <v/>
      </c>
      <c r="J106" s="18">
        <f>IF($A106="","",IFERROR(SUMIF(tblVarliklar[VarlikId],$B106,tblVarliklar[SigortaYillikTl]),fam_sigortaYillik)/365*fam_sigortaGunPay)</f>
        <v/>
      </c>
      <c r="K106" s="18">
        <f>IF($A106="","",$H106+$F106+$I106+$J106)</f>
        <v/>
      </c>
      <c r="L106" s="18">
        <f>IF(OR($A106="",$D106=0),"",$K106/$D106)</f>
        <v/>
      </c>
      <c r="M106" s="18">
        <f>IF($A106="","",MAX(0,MIN(100,fam_kaliteTaban-IF($L106&gt;fam_esikKmBasi,fam_kaliteCeza,0)-IF($F106&gt;fam_esikBakimTl,fam_kaliteSapma,0)-IF($P106="YETIM",fam_kaliteCeza,0))))</f>
        <v/>
      </c>
      <c r="N106" s="18">
        <f>IF($A106="","",IF(OR($L106&gt;fam_esikKmBasi,$F106&gt;fam_esikBakimTl,$M106&lt;fam_esikSaglik),"ALARM","UYGUN"))</f>
        <v/>
      </c>
      <c r="O106" s="18">
        <f>IF($A106="","",1)</f>
        <v/>
      </c>
      <c r="P106" s="18">
        <f>IF($A106="","",IF(OR($B106="",COUNTIF(tblVarliklar[VarlikId],$B106)=0),"YETIM","TAMAM"))</f>
        <v/>
      </c>
    </row>
    <row r="107">
      <c r="A107" s="15" t="n"/>
      <c r="B107" s="15" t="n"/>
      <c r="C107" s="60" t="n"/>
      <c r="D107" s="20" t="n"/>
      <c r="E107" s="16" t="n"/>
      <c r="F107" s="17" t="n"/>
      <c r="G107" s="15" t="n"/>
      <c r="H107" s="18">
        <f>IF($A107="","",$E107*fam_yakitBirimFiyat)</f>
        <v/>
      </c>
      <c r="I107" s="18">
        <f>IF($A107="","",$D107*IFERROR(SUMIF(tblVarliklar[VarlikId],$B107,tblVarliklar[AmortismanTlKm]),fam_amortismanTlKm))</f>
        <v/>
      </c>
      <c r="J107" s="18">
        <f>IF($A107="","",IFERROR(SUMIF(tblVarliklar[VarlikId],$B107,tblVarliklar[SigortaYillikTl]),fam_sigortaYillik)/365*fam_sigortaGunPay)</f>
        <v/>
      </c>
      <c r="K107" s="18">
        <f>IF($A107="","",$H107+$F107+$I107+$J107)</f>
        <v/>
      </c>
      <c r="L107" s="18">
        <f>IF(OR($A107="",$D107=0),"",$K107/$D107)</f>
        <v/>
      </c>
      <c r="M107" s="18">
        <f>IF($A107="","",MAX(0,MIN(100,fam_kaliteTaban-IF($L107&gt;fam_esikKmBasi,fam_kaliteCeza,0)-IF($F107&gt;fam_esikBakimTl,fam_kaliteSapma,0)-IF($P107="YETIM",fam_kaliteCeza,0))))</f>
        <v/>
      </c>
      <c r="N107" s="18">
        <f>IF($A107="","",IF(OR($L107&gt;fam_esikKmBasi,$F107&gt;fam_esikBakimTl,$M107&lt;fam_esikSaglik),"ALARM","UYGUN"))</f>
        <v/>
      </c>
      <c r="O107" s="18">
        <f>IF($A107="","",1)</f>
        <v/>
      </c>
      <c r="P107" s="18">
        <f>IF($A107="","",IF(OR($B107="",COUNTIF(tblVarliklar[VarlikId],$B107)=0),"YETIM","TAMAM"))</f>
        <v/>
      </c>
    </row>
    <row r="108">
      <c r="A108" s="15" t="n"/>
      <c r="B108" s="15" t="n"/>
      <c r="C108" s="60" t="n"/>
      <c r="D108" s="20" t="n"/>
      <c r="E108" s="16" t="n"/>
      <c r="F108" s="17" t="n"/>
      <c r="G108" s="15" t="n"/>
      <c r="H108" s="18">
        <f>IF($A108="","",$E108*fam_yakitBirimFiyat)</f>
        <v/>
      </c>
      <c r="I108" s="18">
        <f>IF($A108="","",$D108*IFERROR(SUMIF(tblVarliklar[VarlikId],$B108,tblVarliklar[AmortismanTlKm]),fam_amortismanTlKm))</f>
        <v/>
      </c>
      <c r="J108" s="18">
        <f>IF($A108="","",IFERROR(SUMIF(tblVarliklar[VarlikId],$B108,tblVarliklar[SigortaYillikTl]),fam_sigortaYillik)/365*fam_sigortaGunPay)</f>
        <v/>
      </c>
      <c r="K108" s="18">
        <f>IF($A108="","",$H108+$F108+$I108+$J108)</f>
        <v/>
      </c>
      <c r="L108" s="18">
        <f>IF(OR($A108="",$D108=0),"",$K108/$D108)</f>
        <v/>
      </c>
      <c r="M108" s="18">
        <f>IF($A108="","",MAX(0,MIN(100,fam_kaliteTaban-IF($L108&gt;fam_esikKmBasi,fam_kaliteCeza,0)-IF($F108&gt;fam_esikBakimTl,fam_kaliteSapma,0)-IF($P108="YETIM",fam_kaliteCeza,0))))</f>
        <v/>
      </c>
      <c r="N108" s="18">
        <f>IF($A108="","",IF(OR($L108&gt;fam_esikKmBasi,$F108&gt;fam_esikBakimTl,$M108&lt;fam_esikSaglik),"ALARM","UYGUN"))</f>
        <v/>
      </c>
      <c r="O108" s="18">
        <f>IF($A108="","",1)</f>
        <v/>
      </c>
      <c r="P108" s="18">
        <f>IF($A108="","",IF(OR($B108="",COUNTIF(tblVarliklar[VarlikId],$B108)=0),"YETIM","TAMAM"))</f>
        <v/>
      </c>
    </row>
    <row r="109">
      <c r="A109" s="15" t="n"/>
      <c r="B109" s="15" t="n"/>
      <c r="C109" s="60" t="n"/>
      <c r="D109" s="20" t="n"/>
      <c r="E109" s="16" t="n"/>
      <c r="F109" s="17" t="n"/>
      <c r="G109" s="15" t="n"/>
      <c r="H109" s="18">
        <f>IF($A109="","",$E109*fam_yakitBirimFiyat)</f>
        <v/>
      </c>
      <c r="I109" s="18">
        <f>IF($A109="","",$D109*IFERROR(SUMIF(tblVarliklar[VarlikId],$B109,tblVarliklar[AmortismanTlKm]),fam_amortismanTlKm))</f>
        <v/>
      </c>
      <c r="J109" s="18">
        <f>IF($A109="","",IFERROR(SUMIF(tblVarliklar[VarlikId],$B109,tblVarliklar[SigortaYillikTl]),fam_sigortaYillik)/365*fam_sigortaGunPay)</f>
        <v/>
      </c>
      <c r="K109" s="18">
        <f>IF($A109="","",$H109+$F109+$I109+$J109)</f>
        <v/>
      </c>
      <c r="L109" s="18">
        <f>IF(OR($A109="",$D109=0),"",$K109/$D109)</f>
        <v/>
      </c>
      <c r="M109" s="18">
        <f>IF($A109="","",MAX(0,MIN(100,fam_kaliteTaban-IF($L109&gt;fam_esikKmBasi,fam_kaliteCeza,0)-IF($F109&gt;fam_esikBakimTl,fam_kaliteSapma,0)-IF($P109="YETIM",fam_kaliteCeza,0))))</f>
        <v/>
      </c>
      <c r="N109" s="18">
        <f>IF($A109="","",IF(OR($L109&gt;fam_esikKmBasi,$F109&gt;fam_esikBakimTl,$M109&lt;fam_esikSaglik),"ALARM","UYGUN"))</f>
        <v/>
      </c>
      <c r="O109" s="18">
        <f>IF($A109="","",1)</f>
        <v/>
      </c>
      <c r="P109" s="18">
        <f>IF($A109="","",IF(OR($B109="",COUNTIF(tblVarliklar[VarlikId],$B109)=0),"YETIM","TAMAM"))</f>
        <v/>
      </c>
    </row>
    <row r="110">
      <c r="A110" s="15" t="n"/>
      <c r="B110" s="15" t="n"/>
      <c r="C110" s="60" t="n"/>
      <c r="D110" s="20" t="n"/>
      <c r="E110" s="16" t="n"/>
      <c r="F110" s="17" t="n"/>
      <c r="G110" s="15" t="n"/>
      <c r="H110" s="18">
        <f>IF($A110="","",$E110*fam_yakitBirimFiyat)</f>
        <v/>
      </c>
      <c r="I110" s="18">
        <f>IF($A110="","",$D110*IFERROR(SUMIF(tblVarliklar[VarlikId],$B110,tblVarliklar[AmortismanTlKm]),fam_amortismanTlKm))</f>
        <v/>
      </c>
      <c r="J110" s="18">
        <f>IF($A110="","",IFERROR(SUMIF(tblVarliklar[VarlikId],$B110,tblVarliklar[SigortaYillikTl]),fam_sigortaYillik)/365*fam_sigortaGunPay)</f>
        <v/>
      </c>
      <c r="K110" s="18">
        <f>IF($A110="","",$H110+$F110+$I110+$J110)</f>
        <v/>
      </c>
      <c r="L110" s="18">
        <f>IF(OR($A110="",$D110=0),"",$K110/$D110)</f>
        <v/>
      </c>
      <c r="M110" s="18">
        <f>IF($A110="","",MAX(0,MIN(100,fam_kaliteTaban-IF($L110&gt;fam_esikKmBasi,fam_kaliteCeza,0)-IF($F110&gt;fam_esikBakimTl,fam_kaliteSapma,0)-IF($P110="YETIM",fam_kaliteCeza,0))))</f>
        <v/>
      </c>
      <c r="N110" s="18">
        <f>IF($A110="","",IF(OR($L110&gt;fam_esikKmBasi,$F110&gt;fam_esikBakimTl,$M110&lt;fam_esikSaglik),"ALARM","UYGUN"))</f>
        <v/>
      </c>
      <c r="O110" s="18">
        <f>IF($A110="","",1)</f>
        <v/>
      </c>
      <c r="P110" s="18">
        <f>IF($A110="","",IF(OR($B110="",COUNTIF(tblVarliklar[VarlikId],$B110)=0),"YETIM","TAMAM"))</f>
        <v/>
      </c>
    </row>
    <row r="111">
      <c r="A111" s="15" t="n"/>
      <c r="B111" s="15" t="n"/>
      <c r="C111" s="60" t="n"/>
      <c r="D111" s="20" t="n"/>
      <c r="E111" s="16" t="n"/>
      <c r="F111" s="17" t="n"/>
      <c r="G111" s="15" t="n"/>
      <c r="H111" s="18">
        <f>IF($A111="","",$E111*fam_yakitBirimFiyat)</f>
        <v/>
      </c>
      <c r="I111" s="18">
        <f>IF($A111="","",$D111*IFERROR(SUMIF(tblVarliklar[VarlikId],$B111,tblVarliklar[AmortismanTlKm]),fam_amortismanTlKm))</f>
        <v/>
      </c>
      <c r="J111" s="18">
        <f>IF($A111="","",IFERROR(SUMIF(tblVarliklar[VarlikId],$B111,tblVarliklar[SigortaYillikTl]),fam_sigortaYillik)/365*fam_sigortaGunPay)</f>
        <v/>
      </c>
      <c r="K111" s="18">
        <f>IF($A111="","",$H111+$F111+$I111+$J111)</f>
        <v/>
      </c>
      <c r="L111" s="18">
        <f>IF(OR($A111="",$D111=0),"",$K111/$D111)</f>
        <v/>
      </c>
      <c r="M111" s="18">
        <f>IF($A111="","",MAX(0,MIN(100,fam_kaliteTaban-IF($L111&gt;fam_esikKmBasi,fam_kaliteCeza,0)-IF($F111&gt;fam_esikBakimTl,fam_kaliteSapma,0)-IF($P111="YETIM",fam_kaliteCeza,0))))</f>
        <v/>
      </c>
      <c r="N111" s="18">
        <f>IF($A111="","",IF(OR($L111&gt;fam_esikKmBasi,$F111&gt;fam_esikBakimTl,$M111&lt;fam_esikSaglik),"ALARM","UYGUN"))</f>
        <v/>
      </c>
      <c r="O111" s="18">
        <f>IF($A111="","",1)</f>
        <v/>
      </c>
      <c r="P111" s="18">
        <f>IF($A111="","",IF(OR($B111="",COUNTIF(tblVarliklar[VarlikId],$B111)=0),"YETIM","TAMAM"))</f>
        <v/>
      </c>
    </row>
    <row r="112">
      <c r="A112" s="15" t="n"/>
      <c r="B112" s="15" t="n"/>
      <c r="C112" s="60" t="n"/>
      <c r="D112" s="20" t="n"/>
      <c r="E112" s="16" t="n"/>
      <c r="F112" s="17" t="n"/>
      <c r="G112" s="15" t="n"/>
      <c r="H112" s="18">
        <f>IF($A112="","",$E112*fam_yakitBirimFiyat)</f>
        <v/>
      </c>
      <c r="I112" s="18">
        <f>IF($A112="","",$D112*IFERROR(SUMIF(tblVarliklar[VarlikId],$B112,tblVarliklar[AmortismanTlKm]),fam_amortismanTlKm))</f>
        <v/>
      </c>
      <c r="J112" s="18">
        <f>IF($A112="","",IFERROR(SUMIF(tblVarliklar[VarlikId],$B112,tblVarliklar[SigortaYillikTl]),fam_sigortaYillik)/365*fam_sigortaGunPay)</f>
        <v/>
      </c>
      <c r="K112" s="18">
        <f>IF($A112="","",$H112+$F112+$I112+$J112)</f>
        <v/>
      </c>
      <c r="L112" s="18">
        <f>IF(OR($A112="",$D112=0),"",$K112/$D112)</f>
        <v/>
      </c>
      <c r="M112" s="18">
        <f>IF($A112="","",MAX(0,MIN(100,fam_kaliteTaban-IF($L112&gt;fam_esikKmBasi,fam_kaliteCeza,0)-IF($F112&gt;fam_esikBakimTl,fam_kaliteSapma,0)-IF($P112="YETIM",fam_kaliteCeza,0))))</f>
        <v/>
      </c>
      <c r="N112" s="18">
        <f>IF($A112="","",IF(OR($L112&gt;fam_esikKmBasi,$F112&gt;fam_esikBakimTl,$M112&lt;fam_esikSaglik),"ALARM","UYGUN"))</f>
        <v/>
      </c>
      <c r="O112" s="18">
        <f>IF($A112="","",1)</f>
        <v/>
      </c>
      <c r="P112" s="18">
        <f>IF($A112="","",IF(OR($B112="",COUNTIF(tblVarliklar[VarlikId],$B112)=0),"YETIM","TAMAM"))</f>
        <v/>
      </c>
    </row>
    <row r="113">
      <c r="A113" s="15" t="n"/>
      <c r="B113" s="15" t="n"/>
      <c r="C113" s="60" t="n"/>
      <c r="D113" s="20" t="n"/>
      <c r="E113" s="16" t="n"/>
      <c r="F113" s="17" t="n"/>
      <c r="G113" s="15" t="n"/>
      <c r="H113" s="18">
        <f>IF($A113="","",$E113*fam_yakitBirimFiyat)</f>
        <v/>
      </c>
      <c r="I113" s="18">
        <f>IF($A113="","",$D113*IFERROR(SUMIF(tblVarliklar[VarlikId],$B113,tblVarliklar[AmortismanTlKm]),fam_amortismanTlKm))</f>
        <v/>
      </c>
      <c r="J113" s="18">
        <f>IF($A113="","",IFERROR(SUMIF(tblVarliklar[VarlikId],$B113,tblVarliklar[SigortaYillikTl]),fam_sigortaYillik)/365*fam_sigortaGunPay)</f>
        <v/>
      </c>
      <c r="K113" s="18">
        <f>IF($A113="","",$H113+$F113+$I113+$J113)</f>
        <v/>
      </c>
      <c r="L113" s="18">
        <f>IF(OR($A113="",$D113=0),"",$K113/$D113)</f>
        <v/>
      </c>
      <c r="M113" s="18">
        <f>IF($A113="","",MAX(0,MIN(100,fam_kaliteTaban-IF($L113&gt;fam_esikKmBasi,fam_kaliteCeza,0)-IF($F113&gt;fam_esikBakimTl,fam_kaliteSapma,0)-IF($P113="YETIM",fam_kaliteCeza,0))))</f>
        <v/>
      </c>
      <c r="N113" s="18">
        <f>IF($A113="","",IF(OR($L113&gt;fam_esikKmBasi,$F113&gt;fam_esikBakimTl,$M113&lt;fam_esikSaglik),"ALARM","UYGUN"))</f>
        <v/>
      </c>
      <c r="O113" s="18">
        <f>IF($A113="","",1)</f>
        <v/>
      </c>
      <c r="P113" s="18">
        <f>IF($A113="","",IF(OR($B113="",COUNTIF(tblVarliklar[VarlikId],$B113)=0),"YETIM","TAMAM"))</f>
        <v/>
      </c>
    </row>
    <row r="114">
      <c r="A114" s="15" t="n"/>
      <c r="B114" s="15" t="n"/>
      <c r="C114" s="60" t="n"/>
      <c r="D114" s="20" t="n"/>
      <c r="E114" s="16" t="n"/>
      <c r="F114" s="17" t="n"/>
      <c r="G114" s="15" t="n"/>
      <c r="H114" s="18">
        <f>IF($A114="","",$E114*fam_yakitBirimFiyat)</f>
        <v/>
      </c>
      <c r="I114" s="18">
        <f>IF($A114="","",$D114*IFERROR(SUMIF(tblVarliklar[VarlikId],$B114,tblVarliklar[AmortismanTlKm]),fam_amortismanTlKm))</f>
        <v/>
      </c>
      <c r="J114" s="18">
        <f>IF($A114="","",IFERROR(SUMIF(tblVarliklar[VarlikId],$B114,tblVarliklar[SigortaYillikTl]),fam_sigortaYillik)/365*fam_sigortaGunPay)</f>
        <v/>
      </c>
      <c r="K114" s="18">
        <f>IF($A114="","",$H114+$F114+$I114+$J114)</f>
        <v/>
      </c>
      <c r="L114" s="18">
        <f>IF(OR($A114="",$D114=0),"",$K114/$D114)</f>
        <v/>
      </c>
      <c r="M114" s="18">
        <f>IF($A114="","",MAX(0,MIN(100,fam_kaliteTaban-IF($L114&gt;fam_esikKmBasi,fam_kaliteCeza,0)-IF($F114&gt;fam_esikBakimTl,fam_kaliteSapma,0)-IF($P114="YETIM",fam_kaliteCeza,0))))</f>
        <v/>
      </c>
      <c r="N114" s="18">
        <f>IF($A114="","",IF(OR($L114&gt;fam_esikKmBasi,$F114&gt;fam_esikBakimTl,$M114&lt;fam_esikSaglik),"ALARM","UYGUN"))</f>
        <v/>
      </c>
      <c r="O114" s="18">
        <f>IF($A114="","",1)</f>
        <v/>
      </c>
      <c r="P114" s="18">
        <f>IF($A114="","",IF(OR($B114="",COUNTIF(tblVarliklar[VarlikId],$B114)=0),"YETIM","TAMAM"))</f>
        <v/>
      </c>
    </row>
    <row r="115">
      <c r="A115" s="15" t="n"/>
      <c r="B115" s="15" t="n"/>
      <c r="C115" s="60" t="n"/>
      <c r="D115" s="20" t="n"/>
      <c r="E115" s="16" t="n"/>
      <c r="F115" s="17" t="n"/>
      <c r="G115" s="15" t="n"/>
      <c r="H115" s="18">
        <f>IF($A115="","",$E115*fam_yakitBirimFiyat)</f>
        <v/>
      </c>
      <c r="I115" s="18">
        <f>IF($A115="","",$D115*IFERROR(SUMIF(tblVarliklar[VarlikId],$B115,tblVarliklar[AmortismanTlKm]),fam_amortismanTlKm))</f>
        <v/>
      </c>
      <c r="J115" s="18">
        <f>IF($A115="","",IFERROR(SUMIF(tblVarliklar[VarlikId],$B115,tblVarliklar[SigortaYillikTl]),fam_sigortaYillik)/365*fam_sigortaGunPay)</f>
        <v/>
      </c>
      <c r="K115" s="18">
        <f>IF($A115="","",$H115+$F115+$I115+$J115)</f>
        <v/>
      </c>
      <c r="L115" s="18">
        <f>IF(OR($A115="",$D115=0),"",$K115/$D115)</f>
        <v/>
      </c>
      <c r="M115" s="18">
        <f>IF($A115="","",MAX(0,MIN(100,fam_kaliteTaban-IF($L115&gt;fam_esikKmBasi,fam_kaliteCeza,0)-IF($F115&gt;fam_esikBakimTl,fam_kaliteSapma,0)-IF($P115="YETIM",fam_kaliteCeza,0))))</f>
        <v/>
      </c>
      <c r="N115" s="18">
        <f>IF($A115="","",IF(OR($L115&gt;fam_esikKmBasi,$F115&gt;fam_esikBakimTl,$M115&lt;fam_esikSaglik),"ALARM","UYGUN"))</f>
        <v/>
      </c>
      <c r="O115" s="18">
        <f>IF($A115="","",1)</f>
        <v/>
      </c>
      <c r="P115" s="18">
        <f>IF($A115="","",IF(OR($B115="",COUNTIF(tblVarliklar[VarlikId],$B115)=0),"YETIM","TAMAM"))</f>
        <v/>
      </c>
    </row>
    <row r="116">
      <c r="A116" s="15" t="n"/>
      <c r="B116" s="15" t="n"/>
      <c r="C116" s="60" t="n"/>
      <c r="D116" s="20" t="n"/>
      <c r="E116" s="16" t="n"/>
      <c r="F116" s="17" t="n"/>
      <c r="G116" s="15" t="n"/>
      <c r="H116" s="18">
        <f>IF($A116="","",$E116*fam_yakitBirimFiyat)</f>
        <v/>
      </c>
      <c r="I116" s="18">
        <f>IF($A116="","",$D116*IFERROR(SUMIF(tblVarliklar[VarlikId],$B116,tblVarliklar[AmortismanTlKm]),fam_amortismanTlKm))</f>
        <v/>
      </c>
      <c r="J116" s="18">
        <f>IF($A116="","",IFERROR(SUMIF(tblVarliklar[VarlikId],$B116,tblVarliklar[SigortaYillikTl]),fam_sigortaYillik)/365*fam_sigortaGunPay)</f>
        <v/>
      </c>
      <c r="K116" s="18">
        <f>IF($A116="","",$H116+$F116+$I116+$J116)</f>
        <v/>
      </c>
      <c r="L116" s="18">
        <f>IF(OR($A116="",$D116=0),"",$K116/$D116)</f>
        <v/>
      </c>
      <c r="M116" s="18">
        <f>IF($A116="","",MAX(0,MIN(100,fam_kaliteTaban-IF($L116&gt;fam_esikKmBasi,fam_kaliteCeza,0)-IF($F116&gt;fam_esikBakimTl,fam_kaliteSapma,0)-IF($P116="YETIM",fam_kaliteCeza,0))))</f>
        <v/>
      </c>
      <c r="N116" s="18">
        <f>IF($A116="","",IF(OR($L116&gt;fam_esikKmBasi,$F116&gt;fam_esikBakimTl,$M116&lt;fam_esikSaglik),"ALARM","UYGUN"))</f>
        <v/>
      </c>
      <c r="O116" s="18">
        <f>IF($A116="","",1)</f>
        <v/>
      </c>
      <c r="P116" s="18">
        <f>IF($A116="","",IF(OR($B116="",COUNTIF(tblVarliklar[VarlikId],$B116)=0),"YETIM","TAMAM"))</f>
        <v/>
      </c>
    </row>
    <row r="117">
      <c r="A117" s="15" t="n"/>
      <c r="B117" s="15" t="n"/>
      <c r="C117" s="60" t="n"/>
      <c r="D117" s="20" t="n"/>
      <c r="E117" s="16" t="n"/>
      <c r="F117" s="17" t="n"/>
      <c r="G117" s="15" t="n"/>
      <c r="H117" s="18">
        <f>IF($A117="","",$E117*fam_yakitBirimFiyat)</f>
        <v/>
      </c>
      <c r="I117" s="18">
        <f>IF($A117="","",$D117*IFERROR(SUMIF(tblVarliklar[VarlikId],$B117,tblVarliklar[AmortismanTlKm]),fam_amortismanTlKm))</f>
        <v/>
      </c>
      <c r="J117" s="18">
        <f>IF($A117="","",IFERROR(SUMIF(tblVarliklar[VarlikId],$B117,tblVarliklar[SigortaYillikTl]),fam_sigortaYillik)/365*fam_sigortaGunPay)</f>
        <v/>
      </c>
      <c r="K117" s="18">
        <f>IF($A117="","",$H117+$F117+$I117+$J117)</f>
        <v/>
      </c>
      <c r="L117" s="18">
        <f>IF(OR($A117="",$D117=0),"",$K117/$D117)</f>
        <v/>
      </c>
      <c r="M117" s="18">
        <f>IF($A117="","",MAX(0,MIN(100,fam_kaliteTaban-IF($L117&gt;fam_esikKmBasi,fam_kaliteCeza,0)-IF($F117&gt;fam_esikBakimTl,fam_kaliteSapma,0)-IF($P117="YETIM",fam_kaliteCeza,0))))</f>
        <v/>
      </c>
      <c r="N117" s="18">
        <f>IF($A117="","",IF(OR($L117&gt;fam_esikKmBasi,$F117&gt;fam_esikBakimTl,$M117&lt;fam_esikSaglik),"ALARM","UYGUN"))</f>
        <v/>
      </c>
      <c r="O117" s="18">
        <f>IF($A117="","",1)</f>
        <v/>
      </c>
      <c r="P117" s="18">
        <f>IF($A117="","",IF(OR($B117="",COUNTIF(tblVarliklar[VarlikId],$B117)=0),"YETIM","TAMAM"))</f>
        <v/>
      </c>
    </row>
    <row r="118">
      <c r="A118" s="15" t="n"/>
      <c r="B118" s="15" t="n"/>
      <c r="C118" s="60" t="n"/>
      <c r="D118" s="20" t="n"/>
      <c r="E118" s="16" t="n"/>
      <c r="F118" s="17" t="n"/>
      <c r="G118" s="15" t="n"/>
      <c r="H118" s="18">
        <f>IF($A118="","",$E118*fam_yakitBirimFiyat)</f>
        <v/>
      </c>
      <c r="I118" s="18">
        <f>IF($A118="","",$D118*IFERROR(SUMIF(tblVarliklar[VarlikId],$B118,tblVarliklar[AmortismanTlKm]),fam_amortismanTlKm))</f>
        <v/>
      </c>
      <c r="J118" s="18">
        <f>IF($A118="","",IFERROR(SUMIF(tblVarliklar[VarlikId],$B118,tblVarliklar[SigortaYillikTl]),fam_sigortaYillik)/365*fam_sigortaGunPay)</f>
        <v/>
      </c>
      <c r="K118" s="18">
        <f>IF($A118="","",$H118+$F118+$I118+$J118)</f>
        <v/>
      </c>
      <c r="L118" s="18">
        <f>IF(OR($A118="",$D118=0),"",$K118/$D118)</f>
        <v/>
      </c>
      <c r="M118" s="18">
        <f>IF($A118="","",MAX(0,MIN(100,fam_kaliteTaban-IF($L118&gt;fam_esikKmBasi,fam_kaliteCeza,0)-IF($F118&gt;fam_esikBakimTl,fam_kaliteSapma,0)-IF($P118="YETIM",fam_kaliteCeza,0))))</f>
        <v/>
      </c>
      <c r="N118" s="18">
        <f>IF($A118="","",IF(OR($L118&gt;fam_esikKmBasi,$F118&gt;fam_esikBakimTl,$M118&lt;fam_esikSaglik),"ALARM","UYGUN"))</f>
        <v/>
      </c>
      <c r="O118" s="18">
        <f>IF($A118="","",1)</f>
        <v/>
      </c>
      <c r="P118" s="18">
        <f>IF($A118="","",IF(OR($B118="",COUNTIF(tblVarliklar[VarlikId],$B118)=0),"YETIM","TAMAM"))</f>
        <v/>
      </c>
    </row>
    <row r="119">
      <c r="A119" s="15" t="n"/>
      <c r="B119" s="15" t="n"/>
      <c r="C119" s="60" t="n"/>
      <c r="D119" s="20" t="n"/>
      <c r="E119" s="16" t="n"/>
      <c r="F119" s="17" t="n"/>
      <c r="G119" s="15" t="n"/>
      <c r="H119" s="18">
        <f>IF($A119="","",$E119*fam_yakitBirimFiyat)</f>
        <v/>
      </c>
      <c r="I119" s="18">
        <f>IF($A119="","",$D119*IFERROR(SUMIF(tblVarliklar[VarlikId],$B119,tblVarliklar[AmortismanTlKm]),fam_amortismanTlKm))</f>
        <v/>
      </c>
      <c r="J119" s="18">
        <f>IF($A119="","",IFERROR(SUMIF(tblVarliklar[VarlikId],$B119,tblVarliklar[SigortaYillikTl]),fam_sigortaYillik)/365*fam_sigortaGunPay)</f>
        <v/>
      </c>
      <c r="K119" s="18">
        <f>IF($A119="","",$H119+$F119+$I119+$J119)</f>
        <v/>
      </c>
      <c r="L119" s="18">
        <f>IF(OR($A119="",$D119=0),"",$K119/$D119)</f>
        <v/>
      </c>
      <c r="M119" s="18">
        <f>IF($A119="","",MAX(0,MIN(100,fam_kaliteTaban-IF($L119&gt;fam_esikKmBasi,fam_kaliteCeza,0)-IF($F119&gt;fam_esikBakimTl,fam_kaliteSapma,0)-IF($P119="YETIM",fam_kaliteCeza,0))))</f>
        <v/>
      </c>
      <c r="N119" s="18">
        <f>IF($A119="","",IF(OR($L119&gt;fam_esikKmBasi,$F119&gt;fam_esikBakimTl,$M119&lt;fam_esikSaglik),"ALARM","UYGUN"))</f>
        <v/>
      </c>
      <c r="O119" s="18">
        <f>IF($A119="","",1)</f>
        <v/>
      </c>
      <c r="P119" s="18">
        <f>IF($A119="","",IF(OR($B119="",COUNTIF(tblVarliklar[VarlikId],$B119)=0),"YETIM","TAMAM"))</f>
        <v/>
      </c>
    </row>
    <row r="120">
      <c r="A120" s="15" t="n"/>
      <c r="B120" s="15" t="n"/>
      <c r="C120" s="60" t="n"/>
      <c r="D120" s="20" t="n"/>
      <c r="E120" s="16" t="n"/>
      <c r="F120" s="17" t="n"/>
      <c r="G120" s="15" t="n"/>
      <c r="H120" s="18">
        <f>IF($A120="","",$E120*fam_yakitBirimFiyat)</f>
        <v/>
      </c>
      <c r="I120" s="18">
        <f>IF($A120="","",$D120*IFERROR(SUMIF(tblVarliklar[VarlikId],$B120,tblVarliklar[AmortismanTlKm]),fam_amortismanTlKm))</f>
        <v/>
      </c>
      <c r="J120" s="18">
        <f>IF($A120="","",IFERROR(SUMIF(tblVarliklar[VarlikId],$B120,tblVarliklar[SigortaYillikTl]),fam_sigortaYillik)/365*fam_sigortaGunPay)</f>
        <v/>
      </c>
      <c r="K120" s="18">
        <f>IF($A120="","",$H120+$F120+$I120+$J120)</f>
        <v/>
      </c>
      <c r="L120" s="18">
        <f>IF(OR($A120="",$D120=0),"",$K120/$D120)</f>
        <v/>
      </c>
      <c r="M120" s="18">
        <f>IF($A120="","",MAX(0,MIN(100,fam_kaliteTaban-IF($L120&gt;fam_esikKmBasi,fam_kaliteCeza,0)-IF($F120&gt;fam_esikBakimTl,fam_kaliteSapma,0)-IF($P120="YETIM",fam_kaliteCeza,0))))</f>
        <v/>
      </c>
      <c r="N120" s="18">
        <f>IF($A120="","",IF(OR($L120&gt;fam_esikKmBasi,$F120&gt;fam_esikBakimTl,$M120&lt;fam_esikSaglik),"ALARM","UYGUN"))</f>
        <v/>
      </c>
      <c r="O120" s="18">
        <f>IF($A120="","",1)</f>
        <v/>
      </c>
      <c r="P120" s="18">
        <f>IF($A120="","",IF(OR($B120="",COUNTIF(tblVarliklar[VarlikId],$B120)=0),"YETIM","TAMAM"))</f>
        <v/>
      </c>
    </row>
    <row r="121">
      <c r="A121" s="15" t="n"/>
      <c r="B121" s="15" t="n"/>
      <c r="C121" s="60" t="n"/>
      <c r="D121" s="20" t="n"/>
      <c r="E121" s="16" t="n"/>
      <c r="F121" s="17" t="n"/>
      <c r="G121" s="15" t="n"/>
      <c r="H121" s="18">
        <f>IF($A121="","",$E121*fam_yakitBirimFiyat)</f>
        <v/>
      </c>
      <c r="I121" s="18">
        <f>IF($A121="","",$D121*IFERROR(SUMIF(tblVarliklar[VarlikId],$B121,tblVarliklar[AmortismanTlKm]),fam_amortismanTlKm))</f>
        <v/>
      </c>
      <c r="J121" s="18">
        <f>IF($A121="","",IFERROR(SUMIF(tblVarliklar[VarlikId],$B121,tblVarliklar[SigortaYillikTl]),fam_sigortaYillik)/365*fam_sigortaGunPay)</f>
        <v/>
      </c>
      <c r="K121" s="18">
        <f>IF($A121="","",$H121+$F121+$I121+$J121)</f>
        <v/>
      </c>
      <c r="L121" s="18">
        <f>IF(OR($A121="",$D121=0),"",$K121/$D121)</f>
        <v/>
      </c>
      <c r="M121" s="18">
        <f>IF($A121="","",MAX(0,MIN(100,fam_kaliteTaban-IF($L121&gt;fam_esikKmBasi,fam_kaliteCeza,0)-IF($F121&gt;fam_esikBakimTl,fam_kaliteSapma,0)-IF($P121="YETIM",fam_kaliteCeza,0))))</f>
        <v/>
      </c>
      <c r="N121" s="18">
        <f>IF($A121="","",IF(OR($L121&gt;fam_esikKmBasi,$F121&gt;fam_esikBakimTl,$M121&lt;fam_esikSaglik),"ALARM","UYGUN"))</f>
        <v/>
      </c>
      <c r="O121" s="18">
        <f>IF($A121="","",1)</f>
        <v/>
      </c>
      <c r="P121" s="18">
        <f>IF($A121="","",IF(OR($B121="",COUNTIF(tblVarliklar[VarlikId],$B121)=0),"YETIM","TAMAM"))</f>
        <v/>
      </c>
    </row>
    <row r="122">
      <c r="A122" s="15" t="n"/>
      <c r="B122" s="15" t="n"/>
      <c r="C122" s="60" t="n"/>
      <c r="D122" s="20" t="n"/>
      <c r="E122" s="16" t="n"/>
      <c r="F122" s="17" t="n"/>
      <c r="G122" s="15" t="n"/>
      <c r="H122" s="18">
        <f>IF($A122="","",$E122*fam_yakitBirimFiyat)</f>
        <v/>
      </c>
      <c r="I122" s="18">
        <f>IF($A122="","",$D122*IFERROR(SUMIF(tblVarliklar[VarlikId],$B122,tblVarliklar[AmortismanTlKm]),fam_amortismanTlKm))</f>
        <v/>
      </c>
      <c r="J122" s="18">
        <f>IF($A122="","",IFERROR(SUMIF(tblVarliklar[VarlikId],$B122,tblVarliklar[SigortaYillikTl]),fam_sigortaYillik)/365*fam_sigortaGunPay)</f>
        <v/>
      </c>
      <c r="K122" s="18">
        <f>IF($A122="","",$H122+$F122+$I122+$J122)</f>
        <v/>
      </c>
      <c r="L122" s="18">
        <f>IF(OR($A122="",$D122=0),"",$K122/$D122)</f>
        <v/>
      </c>
      <c r="M122" s="18">
        <f>IF($A122="","",MAX(0,MIN(100,fam_kaliteTaban-IF($L122&gt;fam_esikKmBasi,fam_kaliteCeza,0)-IF($F122&gt;fam_esikBakimTl,fam_kaliteSapma,0)-IF($P122="YETIM",fam_kaliteCeza,0))))</f>
        <v/>
      </c>
      <c r="N122" s="18">
        <f>IF($A122="","",IF(OR($L122&gt;fam_esikKmBasi,$F122&gt;fam_esikBakimTl,$M122&lt;fam_esikSaglik),"ALARM","UYGUN"))</f>
        <v/>
      </c>
      <c r="O122" s="18">
        <f>IF($A122="","",1)</f>
        <v/>
      </c>
      <c r="P122" s="18">
        <f>IF($A122="","",IF(OR($B122="",COUNTIF(tblVarliklar[VarlikId],$B122)=0),"YETIM","TAMAM"))</f>
        <v/>
      </c>
    </row>
    <row r="123">
      <c r="A123" s="15" t="n"/>
      <c r="B123" s="15" t="n"/>
      <c r="C123" s="60" t="n"/>
      <c r="D123" s="20" t="n"/>
      <c r="E123" s="16" t="n"/>
      <c r="F123" s="17" t="n"/>
      <c r="G123" s="15" t="n"/>
      <c r="H123" s="18">
        <f>IF($A123="","",$E123*fam_yakitBirimFiyat)</f>
        <v/>
      </c>
      <c r="I123" s="18">
        <f>IF($A123="","",$D123*IFERROR(SUMIF(tblVarliklar[VarlikId],$B123,tblVarliklar[AmortismanTlKm]),fam_amortismanTlKm))</f>
        <v/>
      </c>
      <c r="J123" s="18">
        <f>IF($A123="","",IFERROR(SUMIF(tblVarliklar[VarlikId],$B123,tblVarliklar[SigortaYillikTl]),fam_sigortaYillik)/365*fam_sigortaGunPay)</f>
        <v/>
      </c>
      <c r="K123" s="18">
        <f>IF($A123="","",$H123+$F123+$I123+$J123)</f>
        <v/>
      </c>
      <c r="L123" s="18">
        <f>IF(OR($A123="",$D123=0),"",$K123/$D123)</f>
        <v/>
      </c>
      <c r="M123" s="18">
        <f>IF($A123="","",MAX(0,MIN(100,fam_kaliteTaban-IF($L123&gt;fam_esikKmBasi,fam_kaliteCeza,0)-IF($F123&gt;fam_esikBakimTl,fam_kaliteSapma,0)-IF($P123="YETIM",fam_kaliteCeza,0))))</f>
        <v/>
      </c>
      <c r="N123" s="18">
        <f>IF($A123="","",IF(OR($L123&gt;fam_esikKmBasi,$F123&gt;fam_esikBakimTl,$M123&lt;fam_esikSaglik),"ALARM","UYGUN"))</f>
        <v/>
      </c>
      <c r="O123" s="18">
        <f>IF($A123="","",1)</f>
        <v/>
      </c>
      <c r="P123" s="18">
        <f>IF($A123="","",IF(OR($B123="",COUNTIF(tblVarliklar[VarlikId],$B123)=0),"YETIM","TAMAM"))</f>
        <v/>
      </c>
    </row>
    <row r="124">
      <c r="A124" s="15" t="n"/>
      <c r="B124" s="15" t="n"/>
      <c r="C124" s="60" t="n"/>
      <c r="D124" s="20" t="n"/>
      <c r="E124" s="16" t="n"/>
      <c r="F124" s="17" t="n"/>
      <c r="G124" s="15" t="n"/>
      <c r="H124" s="18">
        <f>IF($A124="","",$E124*fam_yakitBirimFiyat)</f>
        <v/>
      </c>
      <c r="I124" s="18">
        <f>IF($A124="","",$D124*IFERROR(SUMIF(tblVarliklar[VarlikId],$B124,tblVarliklar[AmortismanTlKm]),fam_amortismanTlKm))</f>
        <v/>
      </c>
      <c r="J124" s="18">
        <f>IF($A124="","",IFERROR(SUMIF(tblVarliklar[VarlikId],$B124,tblVarliklar[SigortaYillikTl]),fam_sigortaYillik)/365*fam_sigortaGunPay)</f>
        <v/>
      </c>
      <c r="K124" s="18">
        <f>IF($A124="","",$H124+$F124+$I124+$J124)</f>
        <v/>
      </c>
      <c r="L124" s="18">
        <f>IF(OR($A124="",$D124=0),"",$K124/$D124)</f>
        <v/>
      </c>
      <c r="M124" s="18">
        <f>IF($A124="","",MAX(0,MIN(100,fam_kaliteTaban-IF($L124&gt;fam_esikKmBasi,fam_kaliteCeza,0)-IF($F124&gt;fam_esikBakimTl,fam_kaliteSapma,0)-IF($P124="YETIM",fam_kaliteCeza,0))))</f>
        <v/>
      </c>
      <c r="N124" s="18">
        <f>IF($A124="","",IF(OR($L124&gt;fam_esikKmBasi,$F124&gt;fam_esikBakimTl,$M124&lt;fam_esikSaglik),"ALARM","UYGUN"))</f>
        <v/>
      </c>
      <c r="O124" s="18">
        <f>IF($A124="","",1)</f>
        <v/>
      </c>
      <c r="P124" s="18">
        <f>IF($A124="","",IF(OR($B124="",COUNTIF(tblVarliklar[VarlikId],$B124)=0),"YETIM","TAMAM"))</f>
        <v/>
      </c>
    </row>
    <row r="125">
      <c r="A125" s="15" t="n"/>
      <c r="B125" s="15" t="n"/>
      <c r="C125" s="60" t="n"/>
      <c r="D125" s="20" t="n"/>
      <c r="E125" s="16" t="n"/>
      <c r="F125" s="17" t="n"/>
      <c r="G125" s="15" t="n"/>
      <c r="H125" s="18">
        <f>IF($A125="","",$E125*fam_yakitBirimFiyat)</f>
        <v/>
      </c>
      <c r="I125" s="18">
        <f>IF($A125="","",$D125*IFERROR(SUMIF(tblVarliklar[VarlikId],$B125,tblVarliklar[AmortismanTlKm]),fam_amortismanTlKm))</f>
        <v/>
      </c>
      <c r="J125" s="18">
        <f>IF($A125="","",IFERROR(SUMIF(tblVarliklar[VarlikId],$B125,tblVarliklar[SigortaYillikTl]),fam_sigortaYillik)/365*fam_sigortaGunPay)</f>
        <v/>
      </c>
      <c r="K125" s="18">
        <f>IF($A125="","",$H125+$F125+$I125+$J125)</f>
        <v/>
      </c>
      <c r="L125" s="18">
        <f>IF(OR($A125="",$D125=0),"",$K125/$D125)</f>
        <v/>
      </c>
      <c r="M125" s="18">
        <f>IF($A125="","",MAX(0,MIN(100,fam_kaliteTaban-IF($L125&gt;fam_esikKmBasi,fam_kaliteCeza,0)-IF($F125&gt;fam_esikBakimTl,fam_kaliteSapma,0)-IF($P125="YETIM",fam_kaliteCeza,0))))</f>
        <v/>
      </c>
      <c r="N125" s="18">
        <f>IF($A125="","",IF(OR($L125&gt;fam_esikKmBasi,$F125&gt;fam_esikBakimTl,$M125&lt;fam_esikSaglik),"ALARM","UYGUN"))</f>
        <v/>
      </c>
      <c r="O125" s="18">
        <f>IF($A125="","",1)</f>
        <v/>
      </c>
      <c r="P125" s="18">
        <f>IF($A125="","",IF(OR($B125="",COUNTIF(tblVarliklar[VarlikId],$B125)=0),"YETIM","TAMAM"))</f>
        <v/>
      </c>
    </row>
    <row r="126">
      <c r="A126" s="15" t="n"/>
      <c r="B126" s="15" t="n"/>
      <c r="C126" s="60" t="n"/>
      <c r="D126" s="20" t="n"/>
      <c r="E126" s="16" t="n"/>
      <c r="F126" s="17" t="n"/>
      <c r="G126" s="15" t="n"/>
      <c r="H126" s="18">
        <f>IF($A126="","",$E126*fam_yakitBirimFiyat)</f>
        <v/>
      </c>
      <c r="I126" s="18">
        <f>IF($A126="","",$D126*IFERROR(SUMIF(tblVarliklar[VarlikId],$B126,tblVarliklar[AmortismanTlKm]),fam_amortismanTlKm))</f>
        <v/>
      </c>
      <c r="J126" s="18">
        <f>IF($A126="","",IFERROR(SUMIF(tblVarliklar[VarlikId],$B126,tblVarliklar[SigortaYillikTl]),fam_sigortaYillik)/365*fam_sigortaGunPay)</f>
        <v/>
      </c>
      <c r="K126" s="18">
        <f>IF($A126="","",$H126+$F126+$I126+$J126)</f>
        <v/>
      </c>
      <c r="L126" s="18">
        <f>IF(OR($A126="",$D126=0),"",$K126/$D126)</f>
        <v/>
      </c>
      <c r="M126" s="18">
        <f>IF($A126="","",MAX(0,MIN(100,fam_kaliteTaban-IF($L126&gt;fam_esikKmBasi,fam_kaliteCeza,0)-IF($F126&gt;fam_esikBakimTl,fam_kaliteSapma,0)-IF($P126="YETIM",fam_kaliteCeza,0))))</f>
        <v/>
      </c>
      <c r="N126" s="18">
        <f>IF($A126="","",IF(OR($L126&gt;fam_esikKmBasi,$F126&gt;fam_esikBakimTl,$M126&lt;fam_esikSaglik),"ALARM","UYGUN"))</f>
        <v/>
      </c>
      <c r="O126" s="18">
        <f>IF($A126="","",1)</f>
        <v/>
      </c>
      <c r="P126" s="18">
        <f>IF($A126="","",IF(OR($B126="",COUNTIF(tblVarliklar[VarlikId],$B126)=0),"YETIM","TAMAM"))</f>
        <v/>
      </c>
    </row>
    <row r="127">
      <c r="A127" s="15" t="n"/>
      <c r="B127" s="15" t="n"/>
      <c r="C127" s="60" t="n"/>
      <c r="D127" s="20" t="n"/>
      <c r="E127" s="16" t="n"/>
      <c r="F127" s="17" t="n"/>
      <c r="G127" s="15" t="n"/>
      <c r="H127" s="18">
        <f>IF($A127="","",$E127*fam_yakitBirimFiyat)</f>
        <v/>
      </c>
      <c r="I127" s="18">
        <f>IF($A127="","",$D127*IFERROR(SUMIF(tblVarliklar[VarlikId],$B127,tblVarliklar[AmortismanTlKm]),fam_amortismanTlKm))</f>
        <v/>
      </c>
      <c r="J127" s="18">
        <f>IF($A127="","",IFERROR(SUMIF(tblVarliklar[VarlikId],$B127,tblVarliklar[SigortaYillikTl]),fam_sigortaYillik)/365*fam_sigortaGunPay)</f>
        <v/>
      </c>
      <c r="K127" s="18">
        <f>IF($A127="","",$H127+$F127+$I127+$J127)</f>
        <v/>
      </c>
      <c r="L127" s="18">
        <f>IF(OR($A127="",$D127=0),"",$K127/$D127)</f>
        <v/>
      </c>
      <c r="M127" s="18">
        <f>IF($A127="","",MAX(0,MIN(100,fam_kaliteTaban-IF($L127&gt;fam_esikKmBasi,fam_kaliteCeza,0)-IF($F127&gt;fam_esikBakimTl,fam_kaliteSapma,0)-IF($P127="YETIM",fam_kaliteCeza,0))))</f>
        <v/>
      </c>
      <c r="N127" s="18">
        <f>IF($A127="","",IF(OR($L127&gt;fam_esikKmBasi,$F127&gt;fam_esikBakimTl,$M127&lt;fam_esikSaglik),"ALARM","UYGUN"))</f>
        <v/>
      </c>
      <c r="O127" s="18">
        <f>IF($A127="","",1)</f>
        <v/>
      </c>
      <c r="P127" s="18">
        <f>IF($A127="","",IF(OR($B127="",COUNTIF(tblVarliklar[VarlikId],$B127)=0),"YETIM","TAMAM"))</f>
        <v/>
      </c>
    </row>
    <row r="128">
      <c r="A128" s="15" t="n"/>
      <c r="B128" s="15" t="n"/>
      <c r="C128" s="60" t="n"/>
      <c r="D128" s="20" t="n"/>
      <c r="E128" s="16" t="n"/>
      <c r="F128" s="17" t="n"/>
      <c r="G128" s="15" t="n"/>
      <c r="H128" s="18">
        <f>IF($A128="","",$E128*fam_yakitBirimFiyat)</f>
        <v/>
      </c>
      <c r="I128" s="18">
        <f>IF($A128="","",$D128*IFERROR(SUMIF(tblVarliklar[VarlikId],$B128,tblVarliklar[AmortismanTlKm]),fam_amortismanTlKm))</f>
        <v/>
      </c>
      <c r="J128" s="18">
        <f>IF($A128="","",IFERROR(SUMIF(tblVarliklar[VarlikId],$B128,tblVarliklar[SigortaYillikTl]),fam_sigortaYillik)/365*fam_sigortaGunPay)</f>
        <v/>
      </c>
      <c r="K128" s="18">
        <f>IF($A128="","",$H128+$F128+$I128+$J128)</f>
        <v/>
      </c>
      <c r="L128" s="18">
        <f>IF(OR($A128="",$D128=0),"",$K128/$D128)</f>
        <v/>
      </c>
      <c r="M128" s="18">
        <f>IF($A128="","",MAX(0,MIN(100,fam_kaliteTaban-IF($L128&gt;fam_esikKmBasi,fam_kaliteCeza,0)-IF($F128&gt;fam_esikBakimTl,fam_kaliteSapma,0)-IF($P128="YETIM",fam_kaliteCeza,0))))</f>
        <v/>
      </c>
      <c r="N128" s="18">
        <f>IF($A128="","",IF(OR($L128&gt;fam_esikKmBasi,$F128&gt;fam_esikBakimTl,$M128&lt;fam_esikSaglik),"ALARM","UYGUN"))</f>
        <v/>
      </c>
      <c r="O128" s="18">
        <f>IF($A128="","",1)</f>
        <v/>
      </c>
      <c r="P128" s="18">
        <f>IF($A128="","",IF(OR($B128="",COUNTIF(tblVarliklar[VarlikId],$B128)=0),"YETIM","TAMAM"))</f>
        <v/>
      </c>
    </row>
    <row r="129">
      <c r="A129" s="15" t="n"/>
      <c r="B129" s="15" t="n"/>
      <c r="C129" s="60" t="n"/>
      <c r="D129" s="20" t="n"/>
      <c r="E129" s="16" t="n"/>
      <c r="F129" s="17" t="n"/>
      <c r="G129" s="15" t="n"/>
      <c r="H129" s="18">
        <f>IF($A129="","",$E129*fam_yakitBirimFiyat)</f>
        <v/>
      </c>
      <c r="I129" s="18">
        <f>IF($A129="","",$D129*IFERROR(SUMIF(tblVarliklar[VarlikId],$B129,tblVarliklar[AmortismanTlKm]),fam_amortismanTlKm))</f>
        <v/>
      </c>
      <c r="J129" s="18">
        <f>IF($A129="","",IFERROR(SUMIF(tblVarliklar[VarlikId],$B129,tblVarliklar[SigortaYillikTl]),fam_sigortaYillik)/365*fam_sigortaGunPay)</f>
        <v/>
      </c>
      <c r="K129" s="18">
        <f>IF($A129="","",$H129+$F129+$I129+$J129)</f>
        <v/>
      </c>
      <c r="L129" s="18">
        <f>IF(OR($A129="",$D129=0),"",$K129/$D129)</f>
        <v/>
      </c>
      <c r="M129" s="18">
        <f>IF($A129="","",MAX(0,MIN(100,fam_kaliteTaban-IF($L129&gt;fam_esikKmBasi,fam_kaliteCeza,0)-IF($F129&gt;fam_esikBakimTl,fam_kaliteSapma,0)-IF($P129="YETIM",fam_kaliteCeza,0))))</f>
        <v/>
      </c>
      <c r="N129" s="18">
        <f>IF($A129="","",IF(OR($L129&gt;fam_esikKmBasi,$F129&gt;fam_esikBakimTl,$M129&lt;fam_esikSaglik),"ALARM","UYGUN"))</f>
        <v/>
      </c>
      <c r="O129" s="18">
        <f>IF($A129="","",1)</f>
        <v/>
      </c>
      <c r="P129" s="18">
        <f>IF($A129="","",IF(OR($B129="",COUNTIF(tblVarliklar[VarlikId],$B129)=0),"YETIM","TAMAM"))</f>
        <v/>
      </c>
    </row>
    <row r="130">
      <c r="A130" s="15" t="n"/>
      <c r="B130" s="15" t="n"/>
      <c r="C130" s="60" t="n"/>
      <c r="D130" s="20" t="n"/>
      <c r="E130" s="16" t="n"/>
      <c r="F130" s="17" t="n"/>
      <c r="G130" s="15" t="n"/>
      <c r="H130" s="18">
        <f>IF($A130="","",$E130*fam_yakitBirimFiyat)</f>
        <v/>
      </c>
      <c r="I130" s="18">
        <f>IF($A130="","",$D130*IFERROR(SUMIF(tblVarliklar[VarlikId],$B130,tblVarliklar[AmortismanTlKm]),fam_amortismanTlKm))</f>
        <v/>
      </c>
      <c r="J130" s="18">
        <f>IF($A130="","",IFERROR(SUMIF(tblVarliklar[VarlikId],$B130,tblVarliklar[SigortaYillikTl]),fam_sigortaYillik)/365*fam_sigortaGunPay)</f>
        <v/>
      </c>
      <c r="K130" s="18">
        <f>IF($A130="","",$H130+$F130+$I130+$J130)</f>
        <v/>
      </c>
      <c r="L130" s="18">
        <f>IF(OR($A130="",$D130=0),"",$K130/$D130)</f>
        <v/>
      </c>
      <c r="M130" s="18">
        <f>IF($A130="","",MAX(0,MIN(100,fam_kaliteTaban-IF($L130&gt;fam_esikKmBasi,fam_kaliteCeza,0)-IF($F130&gt;fam_esikBakimTl,fam_kaliteSapma,0)-IF($P130="YETIM",fam_kaliteCeza,0))))</f>
        <v/>
      </c>
      <c r="N130" s="18">
        <f>IF($A130="","",IF(OR($L130&gt;fam_esikKmBasi,$F130&gt;fam_esikBakimTl,$M130&lt;fam_esikSaglik),"ALARM","UYGUN"))</f>
        <v/>
      </c>
      <c r="O130" s="18">
        <f>IF($A130="","",1)</f>
        <v/>
      </c>
      <c r="P130" s="18">
        <f>IF($A130="","",IF(OR($B130="",COUNTIF(tblVarliklar[VarlikId],$B130)=0),"YETIM","TAMAM"))</f>
        <v/>
      </c>
    </row>
    <row r="131">
      <c r="A131" s="15" t="n"/>
      <c r="B131" s="15" t="n"/>
      <c r="C131" s="60" t="n"/>
      <c r="D131" s="20" t="n"/>
      <c r="E131" s="16" t="n"/>
      <c r="F131" s="17" t="n"/>
      <c r="G131" s="15" t="n"/>
      <c r="H131" s="18">
        <f>IF($A131="","",$E131*fam_yakitBirimFiyat)</f>
        <v/>
      </c>
      <c r="I131" s="18">
        <f>IF($A131="","",$D131*IFERROR(SUMIF(tblVarliklar[VarlikId],$B131,tblVarliklar[AmortismanTlKm]),fam_amortismanTlKm))</f>
        <v/>
      </c>
      <c r="J131" s="18">
        <f>IF($A131="","",IFERROR(SUMIF(tblVarliklar[VarlikId],$B131,tblVarliklar[SigortaYillikTl]),fam_sigortaYillik)/365*fam_sigortaGunPay)</f>
        <v/>
      </c>
      <c r="K131" s="18">
        <f>IF($A131="","",$H131+$F131+$I131+$J131)</f>
        <v/>
      </c>
      <c r="L131" s="18">
        <f>IF(OR($A131="",$D131=0),"",$K131/$D131)</f>
        <v/>
      </c>
      <c r="M131" s="18">
        <f>IF($A131="","",MAX(0,MIN(100,fam_kaliteTaban-IF($L131&gt;fam_esikKmBasi,fam_kaliteCeza,0)-IF($F131&gt;fam_esikBakimTl,fam_kaliteSapma,0)-IF($P131="YETIM",fam_kaliteCeza,0))))</f>
        <v/>
      </c>
      <c r="N131" s="18">
        <f>IF($A131="","",IF(OR($L131&gt;fam_esikKmBasi,$F131&gt;fam_esikBakimTl,$M131&lt;fam_esikSaglik),"ALARM","UYGUN"))</f>
        <v/>
      </c>
      <c r="O131" s="18">
        <f>IF($A131="","",1)</f>
        <v/>
      </c>
      <c r="P131" s="18">
        <f>IF($A131="","",IF(OR($B131="",COUNTIF(tblVarliklar[VarlikId],$B131)=0),"YETIM","TAMAM"))</f>
        <v/>
      </c>
    </row>
    <row r="132">
      <c r="A132" s="15" t="n"/>
      <c r="B132" s="15" t="n"/>
      <c r="C132" s="60" t="n"/>
      <c r="D132" s="20" t="n"/>
      <c r="E132" s="16" t="n"/>
      <c r="F132" s="17" t="n"/>
      <c r="G132" s="15" t="n"/>
      <c r="H132" s="18">
        <f>IF($A132="","",$E132*fam_yakitBirimFiyat)</f>
        <v/>
      </c>
      <c r="I132" s="18">
        <f>IF($A132="","",$D132*IFERROR(SUMIF(tblVarliklar[VarlikId],$B132,tblVarliklar[AmortismanTlKm]),fam_amortismanTlKm))</f>
        <v/>
      </c>
      <c r="J132" s="18">
        <f>IF($A132="","",IFERROR(SUMIF(tblVarliklar[VarlikId],$B132,tblVarliklar[SigortaYillikTl]),fam_sigortaYillik)/365*fam_sigortaGunPay)</f>
        <v/>
      </c>
      <c r="K132" s="18">
        <f>IF($A132="","",$H132+$F132+$I132+$J132)</f>
        <v/>
      </c>
      <c r="L132" s="18">
        <f>IF(OR($A132="",$D132=0),"",$K132/$D132)</f>
        <v/>
      </c>
      <c r="M132" s="18">
        <f>IF($A132="","",MAX(0,MIN(100,fam_kaliteTaban-IF($L132&gt;fam_esikKmBasi,fam_kaliteCeza,0)-IF($F132&gt;fam_esikBakimTl,fam_kaliteSapma,0)-IF($P132="YETIM",fam_kaliteCeza,0))))</f>
        <v/>
      </c>
      <c r="N132" s="18">
        <f>IF($A132="","",IF(OR($L132&gt;fam_esikKmBasi,$F132&gt;fam_esikBakimTl,$M132&lt;fam_esikSaglik),"ALARM","UYGUN"))</f>
        <v/>
      </c>
      <c r="O132" s="18">
        <f>IF($A132="","",1)</f>
        <v/>
      </c>
      <c r="P132" s="18">
        <f>IF($A132="","",IF(OR($B132="",COUNTIF(tblVarliklar[VarlikId],$B132)=0),"YETIM","TAMAM"))</f>
        <v/>
      </c>
    </row>
    <row r="133">
      <c r="A133" s="15" t="n"/>
      <c r="B133" s="15" t="n"/>
      <c r="C133" s="60" t="n"/>
      <c r="D133" s="20" t="n"/>
      <c r="E133" s="16" t="n"/>
      <c r="F133" s="17" t="n"/>
      <c r="G133" s="15" t="n"/>
      <c r="H133" s="18">
        <f>IF($A133="","",$E133*fam_yakitBirimFiyat)</f>
        <v/>
      </c>
      <c r="I133" s="18">
        <f>IF($A133="","",$D133*IFERROR(SUMIF(tblVarliklar[VarlikId],$B133,tblVarliklar[AmortismanTlKm]),fam_amortismanTlKm))</f>
        <v/>
      </c>
      <c r="J133" s="18">
        <f>IF($A133="","",IFERROR(SUMIF(tblVarliklar[VarlikId],$B133,tblVarliklar[SigortaYillikTl]),fam_sigortaYillik)/365*fam_sigortaGunPay)</f>
        <v/>
      </c>
      <c r="K133" s="18">
        <f>IF($A133="","",$H133+$F133+$I133+$J133)</f>
        <v/>
      </c>
      <c r="L133" s="18">
        <f>IF(OR($A133="",$D133=0),"",$K133/$D133)</f>
        <v/>
      </c>
      <c r="M133" s="18">
        <f>IF($A133="","",MAX(0,MIN(100,fam_kaliteTaban-IF($L133&gt;fam_esikKmBasi,fam_kaliteCeza,0)-IF($F133&gt;fam_esikBakimTl,fam_kaliteSapma,0)-IF($P133="YETIM",fam_kaliteCeza,0))))</f>
        <v/>
      </c>
      <c r="N133" s="18">
        <f>IF($A133="","",IF(OR($L133&gt;fam_esikKmBasi,$F133&gt;fam_esikBakimTl,$M133&lt;fam_esikSaglik),"ALARM","UYGUN"))</f>
        <v/>
      </c>
      <c r="O133" s="18">
        <f>IF($A133="","",1)</f>
        <v/>
      </c>
      <c r="P133" s="18">
        <f>IF($A133="","",IF(OR($B133="",COUNTIF(tblVarliklar[VarlikId],$B133)=0),"YETIM","TAMAM"))</f>
        <v/>
      </c>
    </row>
    <row r="134">
      <c r="A134" s="15" t="n"/>
      <c r="B134" s="15" t="n"/>
      <c r="C134" s="60" t="n"/>
      <c r="D134" s="20" t="n"/>
      <c r="E134" s="16" t="n"/>
      <c r="F134" s="17" t="n"/>
      <c r="G134" s="15" t="n"/>
      <c r="H134" s="18">
        <f>IF($A134="","",$E134*fam_yakitBirimFiyat)</f>
        <v/>
      </c>
      <c r="I134" s="18">
        <f>IF($A134="","",$D134*IFERROR(SUMIF(tblVarliklar[VarlikId],$B134,tblVarliklar[AmortismanTlKm]),fam_amortismanTlKm))</f>
        <v/>
      </c>
      <c r="J134" s="18">
        <f>IF($A134="","",IFERROR(SUMIF(tblVarliklar[VarlikId],$B134,tblVarliklar[SigortaYillikTl]),fam_sigortaYillik)/365*fam_sigortaGunPay)</f>
        <v/>
      </c>
      <c r="K134" s="18">
        <f>IF($A134="","",$H134+$F134+$I134+$J134)</f>
        <v/>
      </c>
      <c r="L134" s="18">
        <f>IF(OR($A134="",$D134=0),"",$K134/$D134)</f>
        <v/>
      </c>
      <c r="M134" s="18">
        <f>IF($A134="","",MAX(0,MIN(100,fam_kaliteTaban-IF($L134&gt;fam_esikKmBasi,fam_kaliteCeza,0)-IF($F134&gt;fam_esikBakimTl,fam_kaliteSapma,0)-IF($P134="YETIM",fam_kaliteCeza,0))))</f>
        <v/>
      </c>
      <c r="N134" s="18">
        <f>IF($A134="","",IF(OR($L134&gt;fam_esikKmBasi,$F134&gt;fam_esikBakimTl,$M134&lt;fam_esikSaglik),"ALARM","UYGUN"))</f>
        <v/>
      </c>
      <c r="O134" s="18">
        <f>IF($A134="","",1)</f>
        <v/>
      </c>
      <c r="P134" s="18">
        <f>IF($A134="","",IF(OR($B134="",COUNTIF(tblVarliklar[VarlikId],$B134)=0),"YETIM","TAMAM"))</f>
        <v/>
      </c>
    </row>
    <row r="135">
      <c r="A135" s="15" t="n"/>
      <c r="B135" s="15" t="n"/>
      <c r="C135" s="60" t="n"/>
      <c r="D135" s="20" t="n"/>
      <c r="E135" s="16" t="n"/>
      <c r="F135" s="17" t="n"/>
      <c r="G135" s="15" t="n"/>
      <c r="H135" s="18">
        <f>IF($A135="","",$E135*fam_yakitBirimFiyat)</f>
        <v/>
      </c>
      <c r="I135" s="18">
        <f>IF($A135="","",$D135*IFERROR(SUMIF(tblVarliklar[VarlikId],$B135,tblVarliklar[AmortismanTlKm]),fam_amortismanTlKm))</f>
        <v/>
      </c>
      <c r="J135" s="18">
        <f>IF($A135="","",IFERROR(SUMIF(tblVarliklar[VarlikId],$B135,tblVarliklar[SigortaYillikTl]),fam_sigortaYillik)/365*fam_sigortaGunPay)</f>
        <v/>
      </c>
      <c r="K135" s="18">
        <f>IF($A135="","",$H135+$F135+$I135+$J135)</f>
        <v/>
      </c>
      <c r="L135" s="18">
        <f>IF(OR($A135="",$D135=0),"",$K135/$D135)</f>
        <v/>
      </c>
      <c r="M135" s="18">
        <f>IF($A135="","",MAX(0,MIN(100,fam_kaliteTaban-IF($L135&gt;fam_esikKmBasi,fam_kaliteCeza,0)-IF($F135&gt;fam_esikBakimTl,fam_kaliteSapma,0)-IF($P135="YETIM",fam_kaliteCeza,0))))</f>
        <v/>
      </c>
      <c r="N135" s="18">
        <f>IF($A135="","",IF(OR($L135&gt;fam_esikKmBasi,$F135&gt;fam_esikBakimTl,$M135&lt;fam_esikSaglik),"ALARM","UYGUN"))</f>
        <v/>
      </c>
      <c r="O135" s="18">
        <f>IF($A135="","",1)</f>
        <v/>
      </c>
      <c r="P135" s="18">
        <f>IF($A135="","",IF(OR($B135="",COUNTIF(tblVarliklar[VarlikId],$B135)=0),"YETIM","TAMAM"))</f>
        <v/>
      </c>
    </row>
    <row r="136">
      <c r="A136" s="15" t="n"/>
      <c r="B136" s="15" t="n"/>
      <c r="C136" s="60" t="n"/>
      <c r="D136" s="20" t="n"/>
      <c r="E136" s="16" t="n"/>
      <c r="F136" s="17" t="n"/>
      <c r="G136" s="15" t="n"/>
      <c r="H136" s="18">
        <f>IF($A136="","",$E136*fam_yakitBirimFiyat)</f>
        <v/>
      </c>
      <c r="I136" s="18">
        <f>IF($A136="","",$D136*IFERROR(SUMIF(tblVarliklar[VarlikId],$B136,tblVarliklar[AmortismanTlKm]),fam_amortismanTlKm))</f>
        <v/>
      </c>
      <c r="J136" s="18">
        <f>IF($A136="","",IFERROR(SUMIF(tblVarliklar[VarlikId],$B136,tblVarliklar[SigortaYillikTl]),fam_sigortaYillik)/365*fam_sigortaGunPay)</f>
        <v/>
      </c>
      <c r="K136" s="18">
        <f>IF($A136="","",$H136+$F136+$I136+$J136)</f>
        <v/>
      </c>
      <c r="L136" s="18">
        <f>IF(OR($A136="",$D136=0),"",$K136/$D136)</f>
        <v/>
      </c>
      <c r="M136" s="18">
        <f>IF($A136="","",MAX(0,MIN(100,fam_kaliteTaban-IF($L136&gt;fam_esikKmBasi,fam_kaliteCeza,0)-IF($F136&gt;fam_esikBakimTl,fam_kaliteSapma,0)-IF($P136="YETIM",fam_kaliteCeza,0))))</f>
        <v/>
      </c>
      <c r="N136" s="18">
        <f>IF($A136="","",IF(OR($L136&gt;fam_esikKmBasi,$F136&gt;fam_esikBakimTl,$M136&lt;fam_esikSaglik),"ALARM","UYGUN"))</f>
        <v/>
      </c>
      <c r="O136" s="18">
        <f>IF($A136="","",1)</f>
        <v/>
      </c>
      <c r="P136" s="18">
        <f>IF($A136="","",IF(OR($B136="",COUNTIF(tblVarliklar[VarlikId],$B136)=0),"YETIM","TAMAM"))</f>
        <v/>
      </c>
    </row>
    <row r="137">
      <c r="A137" s="15" t="n"/>
      <c r="B137" s="15" t="n"/>
      <c r="C137" s="60" t="n"/>
      <c r="D137" s="20" t="n"/>
      <c r="E137" s="16" t="n"/>
      <c r="F137" s="17" t="n"/>
      <c r="G137" s="15" t="n"/>
      <c r="H137" s="18">
        <f>IF($A137="","",$E137*fam_yakitBirimFiyat)</f>
        <v/>
      </c>
      <c r="I137" s="18">
        <f>IF($A137="","",$D137*IFERROR(SUMIF(tblVarliklar[VarlikId],$B137,tblVarliklar[AmortismanTlKm]),fam_amortismanTlKm))</f>
        <v/>
      </c>
      <c r="J137" s="18">
        <f>IF($A137="","",IFERROR(SUMIF(tblVarliklar[VarlikId],$B137,tblVarliklar[SigortaYillikTl]),fam_sigortaYillik)/365*fam_sigortaGunPay)</f>
        <v/>
      </c>
      <c r="K137" s="18">
        <f>IF($A137="","",$H137+$F137+$I137+$J137)</f>
        <v/>
      </c>
      <c r="L137" s="18">
        <f>IF(OR($A137="",$D137=0),"",$K137/$D137)</f>
        <v/>
      </c>
      <c r="M137" s="18">
        <f>IF($A137="","",MAX(0,MIN(100,fam_kaliteTaban-IF($L137&gt;fam_esikKmBasi,fam_kaliteCeza,0)-IF($F137&gt;fam_esikBakimTl,fam_kaliteSapma,0)-IF($P137="YETIM",fam_kaliteCeza,0))))</f>
        <v/>
      </c>
      <c r="N137" s="18">
        <f>IF($A137="","",IF(OR($L137&gt;fam_esikKmBasi,$F137&gt;fam_esikBakimTl,$M137&lt;fam_esikSaglik),"ALARM","UYGUN"))</f>
        <v/>
      </c>
      <c r="O137" s="18">
        <f>IF($A137="","",1)</f>
        <v/>
      </c>
      <c r="P137" s="18">
        <f>IF($A137="","",IF(OR($B137="",COUNTIF(tblVarliklar[VarlikId],$B137)=0),"YETIM","TAMAM"))</f>
        <v/>
      </c>
    </row>
    <row r="138">
      <c r="A138" s="15" t="n"/>
      <c r="B138" s="15" t="n"/>
      <c r="C138" s="60" t="n"/>
      <c r="D138" s="20" t="n"/>
      <c r="E138" s="16" t="n"/>
      <c r="F138" s="17" t="n"/>
      <c r="G138" s="15" t="n"/>
      <c r="H138" s="18">
        <f>IF($A138="","",$E138*fam_yakitBirimFiyat)</f>
        <v/>
      </c>
      <c r="I138" s="18">
        <f>IF($A138="","",$D138*IFERROR(SUMIF(tblVarliklar[VarlikId],$B138,tblVarliklar[AmortismanTlKm]),fam_amortismanTlKm))</f>
        <v/>
      </c>
      <c r="J138" s="18">
        <f>IF($A138="","",IFERROR(SUMIF(tblVarliklar[VarlikId],$B138,tblVarliklar[SigortaYillikTl]),fam_sigortaYillik)/365*fam_sigortaGunPay)</f>
        <v/>
      </c>
      <c r="K138" s="18">
        <f>IF($A138="","",$H138+$F138+$I138+$J138)</f>
        <v/>
      </c>
      <c r="L138" s="18">
        <f>IF(OR($A138="",$D138=0),"",$K138/$D138)</f>
        <v/>
      </c>
      <c r="M138" s="18">
        <f>IF($A138="","",MAX(0,MIN(100,fam_kaliteTaban-IF($L138&gt;fam_esikKmBasi,fam_kaliteCeza,0)-IF($F138&gt;fam_esikBakimTl,fam_kaliteSapma,0)-IF($P138="YETIM",fam_kaliteCeza,0))))</f>
        <v/>
      </c>
      <c r="N138" s="18">
        <f>IF($A138="","",IF(OR($L138&gt;fam_esikKmBasi,$F138&gt;fam_esikBakimTl,$M138&lt;fam_esikSaglik),"ALARM","UYGUN"))</f>
        <v/>
      </c>
      <c r="O138" s="18">
        <f>IF($A138="","",1)</f>
        <v/>
      </c>
      <c r="P138" s="18">
        <f>IF($A138="","",IF(OR($B138="",COUNTIF(tblVarliklar[VarlikId],$B138)=0),"YETIM","TAMAM"))</f>
        <v/>
      </c>
    </row>
    <row r="139">
      <c r="A139" s="15" t="n"/>
      <c r="B139" s="15" t="n"/>
      <c r="C139" s="60" t="n"/>
      <c r="D139" s="20" t="n"/>
      <c r="E139" s="16" t="n"/>
      <c r="F139" s="17" t="n"/>
      <c r="G139" s="15" t="n"/>
      <c r="H139" s="18">
        <f>IF($A139="","",$E139*fam_yakitBirimFiyat)</f>
        <v/>
      </c>
      <c r="I139" s="18">
        <f>IF($A139="","",$D139*IFERROR(SUMIF(tblVarliklar[VarlikId],$B139,tblVarliklar[AmortismanTlKm]),fam_amortismanTlKm))</f>
        <v/>
      </c>
      <c r="J139" s="18">
        <f>IF($A139="","",IFERROR(SUMIF(tblVarliklar[VarlikId],$B139,tblVarliklar[SigortaYillikTl]),fam_sigortaYillik)/365*fam_sigortaGunPay)</f>
        <v/>
      </c>
      <c r="K139" s="18">
        <f>IF($A139="","",$H139+$F139+$I139+$J139)</f>
        <v/>
      </c>
      <c r="L139" s="18">
        <f>IF(OR($A139="",$D139=0),"",$K139/$D139)</f>
        <v/>
      </c>
      <c r="M139" s="18">
        <f>IF($A139="","",MAX(0,MIN(100,fam_kaliteTaban-IF($L139&gt;fam_esikKmBasi,fam_kaliteCeza,0)-IF($F139&gt;fam_esikBakimTl,fam_kaliteSapma,0)-IF($P139="YETIM",fam_kaliteCeza,0))))</f>
        <v/>
      </c>
      <c r="N139" s="18">
        <f>IF($A139="","",IF(OR($L139&gt;fam_esikKmBasi,$F139&gt;fam_esikBakimTl,$M139&lt;fam_esikSaglik),"ALARM","UYGUN"))</f>
        <v/>
      </c>
      <c r="O139" s="18">
        <f>IF($A139="","",1)</f>
        <v/>
      </c>
      <c r="P139" s="18">
        <f>IF($A139="","",IF(OR($B139="",COUNTIF(tblVarliklar[VarlikId],$B139)=0),"YETIM","TAMAM"))</f>
        <v/>
      </c>
    </row>
    <row r="140">
      <c r="A140" s="15" t="n"/>
      <c r="B140" s="15" t="n"/>
      <c r="C140" s="60" t="n"/>
      <c r="D140" s="20" t="n"/>
      <c r="E140" s="16" t="n"/>
      <c r="F140" s="17" t="n"/>
      <c r="G140" s="15" t="n"/>
      <c r="H140" s="18">
        <f>IF($A140="","",$E140*fam_yakitBirimFiyat)</f>
        <v/>
      </c>
      <c r="I140" s="18">
        <f>IF($A140="","",$D140*IFERROR(SUMIF(tblVarliklar[VarlikId],$B140,tblVarliklar[AmortismanTlKm]),fam_amortismanTlKm))</f>
        <v/>
      </c>
      <c r="J140" s="18">
        <f>IF($A140="","",IFERROR(SUMIF(tblVarliklar[VarlikId],$B140,tblVarliklar[SigortaYillikTl]),fam_sigortaYillik)/365*fam_sigortaGunPay)</f>
        <v/>
      </c>
      <c r="K140" s="18">
        <f>IF($A140="","",$H140+$F140+$I140+$J140)</f>
        <v/>
      </c>
      <c r="L140" s="18">
        <f>IF(OR($A140="",$D140=0),"",$K140/$D140)</f>
        <v/>
      </c>
      <c r="M140" s="18">
        <f>IF($A140="","",MAX(0,MIN(100,fam_kaliteTaban-IF($L140&gt;fam_esikKmBasi,fam_kaliteCeza,0)-IF($F140&gt;fam_esikBakimTl,fam_kaliteSapma,0)-IF($P140="YETIM",fam_kaliteCeza,0))))</f>
        <v/>
      </c>
      <c r="N140" s="18">
        <f>IF($A140="","",IF(OR($L140&gt;fam_esikKmBasi,$F140&gt;fam_esikBakimTl,$M140&lt;fam_esikSaglik),"ALARM","UYGUN"))</f>
        <v/>
      </c>
      <c r="O140" s="18">
        <f>IF($A140="","",1)</f>
        <v/>
      </c>
      <c r="P140" s="18">
        <f>IF($A140="","",IF(OR($B140="",COUNTIF(tblVarliklar[VarlikId],$B140)=0),"YETIM","TAMAM"))</f>
        <v/>
      </c>
    </row>
    <row r="141">
      <c r="A141" s="15" t="n"/>
      <c r="B141" s="15" t="n"/>
      <c r="C141" s="60" t="n"/>
      <c r="D141" s="20" t="n"/>
      <c r="E141" s="16" t="n"/>
      <c r="F141" s="17" t="n"/>
      <c r="G141" s="15" t="n"/>
      <c r="H141" s="18">
        <f>IF($A141="","",$E141*fam_yakitBirimFiyat)</f>
        <v/>
      </c>
      <c r="I141" s="18">
        <f>IF($A141="","",$D141*IFERROR(SUMIF(tblVarliklar[VarlikId],$B141,tblVarliklar[AmortismanTlKm]),fam_amortismanTlKm))</f>
        <v/>
      </c>
      <c r="J141" s="18">
        <f>IF($A141="","",IFERROR(SUMIF(tblVarliklar[VarlikId],$B141,tblVarliklar[SigortaYillikTl]),fam_sigortaYillik)/365*fam_sigortaGunPay)</f>
        <v/>
      </c>
      <c r="K141" s="18">
        <f>IF($A141="","",$H141+$F141+$I141+$J141)</f>
        <v/>
      </c>
      <c r="L141" s="18">
        <f>IF(OR($A141="",$D141=0),"",$K141/$D141)</f>
        <v/>
      </c>
      <c r="M141" s="18">
        <f>IF($A141="","",MAX(0,MIN(100,fam_kaliteTaban-IF($L141&gt;fam_esikKmBasi,fam_kaliteCeza,0)-IF($F141&gt;fam_esikBakimTl,fam_kaliteSapma,0)-IF($P141="YETIM",fam_kaliteCeza,0))))</f>
        <v/>
      </c>
      <c r="N141" s="18">
        <f>IF($A141="","",IF(OR($L141&gt;fam_esikKmBasi,$F141&gt;fam_esikBakimTl,$M141&lt;fam_esikSaglik),"ALARM","UYGUN"))</f>
        <v/>
      </c>
      <c r="O141" s="18">
        <f>IF($A141="","",1)</f>
        <v/>
      </c>
      <c r="P141" s="18">
        <f>IF($A141="","",IF(OR($B141="",COUNTIF(tblVarliklar[VarlikId],$B141)=0),"YETIM","TAMAM"))</f>
        <v/>
      </c>
    </row>
    <row r="142">
      <c r="A142" s="15" t="n"/>
      <c r="B142" s="15" t="n"/>
      <c r="C142" s="60" t="n"/>
      <c r="D142" s="20" t="n"/>
      <c r="E142" s="16" t="n"/>
      <c r="F142" s="17" t="n"/>
      <c r="G142" s="15" t="n"/>
      <c r="H142" s="18">
        <f>IF($A142="","",$E142*fam_yakitBirimFiyat)</f>
        <v/>
      </c>
      <c r="I142" s="18">
        <f>IF($A142="","",$D142*IFERROR(SUMIF(tblVarliklar[VarlikId],$B142,tblVarliklar[AmortismanTlKm]),fam_amortismanTlKm))</f>
        <v/>
      </c>
      <c r="J142" s="18">
        <f>IF($A142="","",IFERROR(SUMIF(tblVarliklar[VarlikId],$B142,tblVarliklar[SigortaYillikTl]),fam_sigortaYillik)/365*fam_sigortaGunPay)</f>
        <v/>
      </c>
      <c r="K142" s="18">
        <f>IF($A142="","",$H142+$F142+$I142+$J142)</f>
        <v/>
      </c>
      <c r="L142" s="18">
        <f>IF(OR($A142="",$D142=0),"",$K142/$D142)</f>
        <v/>
      </c>
      <c r="M142" s="18">
        <f>IF($A142="","",MAX(0,MIN(100,fam_kaliteTaban-IF($L142&gt;fam_esikKmBasi,fam_kaliteCeza,0)-IF($F142&gt;fam_esikBakimTl,fam_kaliteSapma,0)-IF($P142="YETIM",fam_kaliteCeza,0))))</f>
        <v/>
      </c>
      <c r="N142" s="18">
        <f>IF($A142="","",IF(OR($L142&gt;fam_esikKmBasi,$F142&gt;fam_esikBakimTl,$M142&lt;fam_esikSaglik),"ALARM","UYGUN"))</f>
        <v/>
      </c>
      <c r="O142" s="18">
        <f>IF($A142="","",1)</f>
        <v/>
      </c>
      <c r="P142" s="18">
        <f>IF($A142="","",IF(OR($B142="",COUNTIF(tblVarliklar[VarlikId],$B142)=0),"YETIM","TAMAM"))</f>
        <v/>
      </c>
    </row>
    <row r="143">
      <c r="A143" s="15" t="n"/>
      <c r="B143" s="15" t="n"/>
      <c r="C143" s="60" t="n"/>
      <c r="D143" s="20" t="n"/>
      <c r="E143" s="16" t="n"/>
      <c r="F143" s="17" t="n"/>
      <c r="G143" s="15" t="n"/>
      <c r="H143" s="18">
        <f>IF($A143="","",$E143*fam_yakitBirimFiyat)</f>
        <v/>
      </c>
      <c r="I143" s="18">
        <f>IF($A143="","",$D143*IFERROR(SUMIF(tblVarliklar[VarlikId],$B143,tblVarliklar[AmortismanTlKm]),fam_amortismanTlKm))</f>
        <v/>
      </c>
      <c r="J143" s="18">
        <f>IF($A143="","",IFERROR(SUMIF(tblVarliklar[VarlikId],$B143,tblVarliklar[SigortaYillikTl]),fam_sigortaYillik)/365*fam_sigortaGunPay)</f>
        <v/>
      </c>
      <c r="K143" s="18">
        <f>IF($A143="","",$H143+$F143+$I143+$J143)</f>
        <v/>
      </c>
      <c r="L143" s="18">
        <f>IF(OR($A143="",$D143=0),"",$K143/$D143)</f>
        <v/>
      </c>
      <c r="M143" s="18">
        <f>IF($A143="","",MAX(0,MIN(100,fam_kaliteTaban-IF($L143&gt;fam_esikKmBasi,fam_kaliteCeza,0)-IF($F143&gt;fam_esikBakimTl,fam_kaliteSapma,0)-IF($P143="YETIM",fam_kaliteCeza,0))))</f>
        <v/>
      </c>
      <c r="N143" s="18">
        <f>IF($A143="","",IF(OR($L143&gt;fam_esikKmBasi,$F143&gt;fam_esikBakimTl,$M143&lt;fam_esikSaglik),"ALARM","UYGUN"))</f>
        <v/>
      </c>
      <c r="O143" s="18">
        <f>IF($A143="","",1)</f>
        <v/>
      </c>
      <c r="P143" s="18">
        <f>IF($A143="","",IF(OR($B143="",COUNTIF(tblVarliklar[VarlikId],$B143)=0),"YETIM","TAMAM"))</f>
        <v/>
      </c>
    </row>
    <row r="144">
      <c r="A144" s="15" t="n"/>
      <c r="B144" s="15" t="n"/>
      <c r="C144" s="60" t="n"/>
      <c r="D144" s="20" t="n"/>
      <c r="E144" s="16" t="n"/>
      <c r="F144" s="17" t="n"/>
      <c r="G144" s="15" t="n"/>
      <c r="H144" s="18">
        <f>IF($A144="","",$E144*fam_yakitBirimFiyat)</f>
        <v/>
      </c>
      <c r="I144" s="18">
        <f>IF($A144="","",$D144*IFERROR(SUMIF(tblVarliklar[VarlikId],$B144,tblVarliklar[AmortismanTlKm]),fam_amortismanTlKm))</f>
        <v/>
      </c>
      <c r="J144" s="18">
        <f>IF($A144="","",IFERROR(SUMIF(tblVarliklar[VarlikId],$B144,tblVarliklar[SigortaYillikTl]),fam_sigortaYillik)/365*fam_sigortaGunPay)</f>
        <v/>
      </c>
      <c r="K144" s="18">
        <f>IF($A144="","",$H144+$F144+$I144+$J144)</f>
        <v/>
      </c>
      <c r="L144" s="18">
        <f>IF(OR($A144="",$D144=0),"",$K144/$D144)</f>
        <v/>
      </c>
      <c r="M144" s="18">
        <f>IF($A144="","",MAX(0,MIN(100,fam_kaliteTaban-IF($L144&gt;fam_esikKmBasi,fam_kaliteCeza,0)-IF($F144&gt;fam_esikBakimTl,fam_kaliteSapma,0)-IF($P144="YETIM",fam_kaliteCeza,0))))</f>
        <v/>
      </c>
      <c r="N144" s="18">
        <f>IF($A144="","",IF(OR($L144&gt;fam_esikKmBasi,$F144&gt;fam_esikBakimTl,$M144&lt;fam_esikSaglik),"ALARM","UYGUN"))</f>
        <v/>
      </c>
      <c r="O144" s="18">
        <f>IF($A144="","",1)</f>
        <v/>
      </c>
      <c r="P144" s="18">
        <f>IF($A144="","",IF(OR($B144="",COUNTIF(tblVarliklar[VarlikId],$B144)=0),"YETIM","TAMAM"))</f>
        <v/>
      </c>
    </row>
    <row r="145">
      <c r="A145" s="15" t="n"/>
      <c r="B145" s="15" t="n"/>
      <c r="C145" s="60" t="n"/>
      <c r="D145" s="20" t="n"/>
      <c r="E145" s="16" t="n"/>
      <c r="F145" s="17" t="n"/>
      <c r="G145" s="15" t="n"/>
      <c r="H145" s="18">
        <f>IF($A145="","",$E145*fam_yakitBirimFiyat)</f>
        <v/>
      </c>
      <c r="I145" s="18">
        <f>IF($A145="","",$D145*IFERROR(SUMIF(tblVarliklar[VarlikId],$B145,tblVarliklar[AmortismanTlKm]),fam_amortismanTlKm))</f>
        <v/>
      </c>
      <c r="J145" s="18">
        <f>IF($A145="","",IFERROR(SUMIF(tblVarliklar[VarlikId],$B145,tblVarliklar[SigortaYillikTl]),fam_sigortaYillik)/365*fam_sigortaGunPay)</f>
        <v/>
      </c>
      <c r="K145" s="18">
        <f>IF($A145="","",$H145+$F145+$I145+$J145)</f>
        <v/>
      </c>
      <c r="L145" s="18">
        <f>IF(OR($A145="",$D145=0),"",$K145/$D145)</f>
        <v/>
      </c>
      <c r="M145" s="18">
        <f>IF($A145="","",MAX(0,MIN(100,fam_kaliteTaban-IF($L145&gt;fam_esikKmBasi,fam_kaliteCeza,0)-IF($F145&gt;fam_esikBakimTl,fam_kaliteSapma,0)-IF($P145="YETIM",fam_kaliteCeza,0))))</f>
        <v/>
      </c>
      <c r="N145" s="18">
        <f>IF($A145="","",IF(OR($L145&gt;fam_esikKmBasi,$F145&gt;fam_esikBakimTl,$M145&lt;fam_esikSaglik),"ALARM","UYGUN"))</f>
        <v/>
      </c>
      <c r="O145" s="18">
        <f>IF($A145="","",1)</f>
        <v/>
      </c>
      <c r="P145" s="18">
        <f>IF($A145="","",IF(OR($B145="",COUNTIF(tblVarliklar[VarlikId],$B145)=0),"YETIM","TAMAM"))</f>
        <v/>
      </c>
    </row>
    <row r="146">
      <c r="A146" s="15" t="n"/>
      <c r="B146" s="15" t="n"/>
      <c r="C146" s="60" t="n"/>
      <c r="D146" s="20" t="n"/>
      <c r="E146" s="16" t="n"/>
      <c r="F146" s="17" t="n"/>
      <c r="G146" s="15" t="n"/>
      <c r="H146" s="18">
        <f>IF($A146="","",$E146*fam_yakitBirimFiyat)</f>
        <v/>
      </c>
      <c r="I146" s="18">
        <f>IF($A146="","",$D146*IFERROR(SUMIF(tblVarliklar[VarlikId],$B146,tblVarliklar[AmortismanTlKm]),fam_amortismanTlKm))</f>
        <v/>
      </c>
      <c r="J146" s="18">
        <f>IF($A146="","",IFERROR(SUMIF(tblVarliklar[VarlikId],$B146,tblVarliklar[SigortaYillikTl]),fam_sigortaYillik)/365*fam_sigortaGunPay)</f>
        <v/>
      </c>
      <c r="K146" s="18">
        <f>IF($A146="","",$H146+$F146+$I146+$J146)</f>
        <v/>
      </c>
      <c r="L146" s="18">
        <f>IF(OR($A146="",$D146=0),"",$K146/$D146)</f>
        <v/>
      </c>
      <c r="M146" s="18">
        <f>IF($A146="","",MAX(0,MIN(100,fam_kaliteTaban-IF($L146&gt;fam_esikKmBasi,fam_kaliteCeza,0)-IF($F146&gt;fam_esikBakimTl,fam_kaliteSapma,0)-IF($P146="YETIM",fam_kaliteCeza,0))))</f>
        <v/>
      </c>
      <c r="N146" s="18">
        <f>IF($A146="","",IF(OR($L146&gt;fam_esikKmBasi,$F146&gt;fam_esikBakimTl,$M146&lt;fam_esikSaglik),"ALARM","UYGUN"))</f>
        <v/>
      </c>
      <c r="O146" s="18">
        <f>IF($A146="","",1)</f>
        <v/>
      </c>
      <c r="P146" s="18">
        <f>IF($A146="","",IF(OR($B146="",COUNTIF(tblVarliklar[VarlikId],$B146)=0),"YETIM","TAMAM"))</f>
        <v/>
      </c>
    </row>
    <row r="147">
      <c r="A147" s="15" t="n"/>
      <c r="B147" s="15" t="n"/>
      <c r="C147" s="60" t="n"/>
      <c r="D147" s="20" t="n"/>
      <c r="E147" s="16" t="n"/>
      <c r="F147" s="17" t="n"/>
      <c r="G147" s="15" t="n"/>
      <c r="H147" s="18">
        <f>IF($A147="","",$E147*fam_yakitBirimFiyat)</f>
        <v/>
      </c>
      <c r="I147" s="18">
        <f>IF($A147="","",$D147*IFERROR(SUMIF(tblVarliklar[VarlikId],$B147,tblVarliklar[AmortismanTlKm]),fam_amortismanTlKm))</f>
        <v/>
      </c>
      <c r="J147" s="18">
        <f>IF($A147="","",IFERROR(SUMIF(tblVarliklar[VarlikId],$B147,tblVarliklar[SigortaYillikTl]),fam_sigortaYillik)/365*fam_sigortaGunPay)</f>
        <v/>
      </c>
      <c r="K147" s="18">
        <f>IF($A147="","",$H147+$F147+$I147+$J147)</f>
        <v/>
      </c>
      <c r="L147" s="18">
        <f>IF(OR($A147="",$D147=0),"",$K147/$D147)</f>
        <v/>
      </c>
      <c r="M147" s="18">
        <f>IF($A147="","",MAX(0,MIN(100,fam_kaliteTaban-IF($L147&gt;fam_esikKmBasi,fam_kaliteCeza,0)-IF($F147&gt;fam_esikBakimTl,fam_kaliteSapma,0)-IF($P147="YETIM",fam_kaliteCeza,0))))</f>
        <v/>
      </c>
      <c r="N147" s="18">
        <f>IF($A147="","",IF(OR($L147&gt;fam_esikKmBasi,$F147&gt;fam_esikBakimTl,$M147&lt;fam_esikSaglik),"ALARM","UYGUN"))</f>
        <v/>
      </c>
      <c r="O147" s="18">
        <f>IF($A147="","",1)</f>
        <v/>
      </c>
      <c r="P147" s="18">
        <f>IF($A147="","",IF(OR($B147="",COUNTIF(tblVarliklar[VarlikId],$B147)=0),"YETIM","TAMAM"))</f>
        <v/>
      </c>
    </row>
    <row r="148">
      <c r="A148" s="15" t="n"/>
      <c r="B148" s="15" t="n"/>
      <c r="C148" s="60" t="n"/>
      <c r="D148" s="20" t="n"/>
      <c r="E148" s="16" t="n"/>
      <c r="F148" s="17" t="n"/>
      <c r="G148" s="15" t="n"/>
      <c r="H148" s="18">
        <f>IF($A148="","",$E148*fam_yakitBirimFiyat)</f>
        <v/>
      </c>
      <c r="I148" s="18">
        <f>IF($A148="","",$D148*IFERROR(SUMIF(tblVarliklar[VarlikId],$B148,tblVarliklar[AmortismanTlKm]),fam_amortismanTlKm))</f>
        <v/>
      </c>
      <c r="J148" s="18">
        <f>IF($A148="","",IFERROR(SUMIF(tblVarliklar[VarlikId],$B148,tblVarliklar[SigortaYillikTl]),fam_sigortaYillik)/365*fam_sigortaGunPay)</f>
        <v/>
      </c>
      <c r="K148" s="18">
        <f>IF($A148="","",$H148+$F148+$I148+$J148)</f>
        <v/>
      </c>
      <c r="L148" s="18">
        <f>IF(OR($A148="",$D148=0),"",$K148/$D148)</f>
        <v/>
      </c>
      <c r="M148" s="18">
        <f>IF($A148="","",MAX(0,MIN(100,fam_kaliteTaban-IF($L148&gt;fam_esikKmBasi,fam_kaliteCeza,0)-IF($F148&gt;fam_esikBakimTl,fam_kaliteSapma,0)-IF($P148="YETIM",fam_kaliteCeza,0))))</f>
        <v/>
      </c>
      <c r="N148" s="18">
        <f>IF($A148="","",IF(OR($L148&gt;fam_esikKmBasi,$F148&gt;fam_esikBakimTl,$M148&lt;fam_esikSaglik),"ALARM","UYGUN"))</f>
        <v/>
      </c>
      <c r="O148" s="18">
        <f>IF($A148="","",1)</f>
        <v/>
      </c>
      <c r="P148" s="18">
        <f>IF($A148="","",IF(OR($B148="",COUNTIF(tblVarliklar[VarlikId],$B148)=0),"YETIM","TAMAM"))</f>
        <v/>
      </c>
    </row>
    <row r="149">
      <c r="A149" s="15" t="n"/>
      <c r="B149" s="15" t="n"/>
      <c r="C149" s="60" t="n"/>
      <c r="D149" s="20" t="n"/>
      <c r="E149" s="16" t="n"/>
      <c r="F149" s="17" t="n"/>
      <c r="G149" s="15" t="n"/>
      <c r="H149" s="18">
        <f>IF($A149="","",$E149*fam_yakitBirimFiyat)</f>
        <v/>
      </c>
      <c r="I149" s="18">
        <f>IF($A149="","",$D149*IFERROR(SUMIF(tblVarliklar[VarlikId],$B149,tblVarliklar[AmortismanTlKm]),fam_amortismanTlKm))</f>
        <v/>
      </c>
      <c r="J149" s="18">
        <f>IF($A149="","",IFERROR(SUMIF(tblVarliklar[VarlikId],$B149,tblVarliklar[SigortaYillikTl]),fam_sigortaYillik)/365*fam_sigortaGunPay)</f>
        <v/>
      </c>
      <c r="K149" s="18">
        <f>IF($A149="","",$H149+$F149+$I149+$J149)</f>
        <v/>
      </c>
      <c r="L149" s="18">
        <f>IF(OR($A149="",$D149=0),"",$K149/$D149)</f>
        <v/>
      </c>
      <c r="M149" s="18">
        <f>IF($A149="","",MAX(0,MIN(100,fam_kaliteTaban-IF($L149&gt;fam_esikKmBasi,fam_kaliteCeza,0)-IF($F149&gt;fam_esikBakimTl,fam_kaliteSapma,0)-IF($P149="YETIM",fam_kaliteCeza,0))))</f>
        <v/>
      </c>
      <c r="N149" s="18">
        <f>IF($A149="","",IF(OR($L149&gt;fam_esikKmBasi,$F149&gt;fam_esikBakimTl,$M149&lt;fam_esikSaglik),"ALARM","UYGUN"))</f>
        <v/>
      </c>
      <c r="O149" s="18">
        <f>IF($A149="","",1)</f>
        <v/>
      </c>
      <c r="P149" s="18">
        <f>IF($A149="","",IF(OR($B149="",COUNTIF(tblVarliklar[VarlikId],$B149)=0),"YETIM","TAMAM"))</f>
        <v/>
      </c>
    </row>
    <row r="150">
      <c r="A150" s="15" t="n"/>
      <c r="B150" s="15" t="n"/>
      <c r="C150" s="60" t="n"/>
      <c r="D150" s="20" t="n"/>
      <c r="E150" s="16" t="n"/>
      <c r="F150" s="17" t="n"/>
      <c r="G150" s="15" t="n"/>
      <c r="H150" s="18">
        <f>IF($A150="","",$E150*fam_yakitBirimFiyat)</f>
        <v/>
      </c>
      <c r="I150" s="18">
        <f>IF($A150="","",$D150*IFERROR(SUMIF(tblVarliklar[VarlikId],$B150,tblVarliklar[AmortismanTlKm]),fam_amortismanTlKm))</f>
        <v/>
      </c>
      <c r="J150" s="18">
        <f>IF($A150="","",IFERROR(SUMIF(tblVarliklar[VarlikId],$B150,tblVarliklar[SigortaYillikTl]),fam_sigortaYillik)/365*fam_sigortaGunPay)</f>
        <v/>
      </c>
      <c r="K150" s="18">
        <f>IF($A150="","",$H150+$F150+$I150+$J150)</f>
        <v/>
      </c>
      <c r="L150" s="18">
        <f>IF(OR($A150="",$D150=0),"",$K150/$D150)</f>
        <v/>
      </c>
      <c r="M150" s="18">
        <f>IF($A150="","",MAX(0,MIN(100,fam_kaliteTaban-IF($L150&gt;fam_esikKmBasi,fam_kaliteCeza,0)-IF($F150&gt;fam_esikBakimTl,fam_kaliteSapma,0)-IF($P150="YETIM",fam_kaliteCeza,0))))</f>
        <v/>
      </c>
      <c r="N150" s="18">
        <f>IF($A150="","",IF(OR($L150&gt;fam_esikKmBasi,$F150&gt;fam_esikBakimTl,$M150&lt;fam_esikSaglik),"ALARM","UYGUN"))</f>
        <v/>
      </c>
      <c r="O150" s="18">
        <f>IF($A150="","",1)</f>
        <v/>
      </c>
      <c r="P150" s="18">
        <f>IF($A150="","",IF(OR($B150="",COUNTIF(tblVarliklar[VarlikId],$B150)=0),"YETIM","TAMAM"))</f>
        <v/>
      </c>
    </row>
    <row r="151">
      <c r="A151" s="15" t="n"/>
      <c r="B151" s="15" t="n"/>
      <c r="C151" s="60" t="n"/>
      <c r="D151" s="20" t="n"/>
      <c r="E151" s="16" t="n"/>
      <c r="F151" s="17" t="n"/>
      <c r="G151" s="15" t="n"/>
      <c r="H151" s="18">
        <f>IF($A151="","",$E151*fam_yakitBirimFiyat)</f>
        <v/>
      </c>
      <c r="I151" s="18">
        <f>IF($A151="","",$D151*IFERROR(SUMIF(tblVarliklar[VarlikId],$B151,tblVarliklar[AmortismanTlKm]),fam_amortismanTlKm))</f>
        <v/>
      </c>
      <c r="J151" s="18">
        <f>IF($A151="","",IFERROR(SUMIF(tblVarliklar[VarlikId],$B151,tblVarliklar[SigortaYillikTl]),fam_sigortaYillik)/365*fam_sigortaGunPay)</f>
        <v/>
      </c>
      <c r="K151" s="18">
        <f>IF($A151="","",$H151+$F151+$I151+$J151)</f>
        <v/>
      </c>
      <c r="L151" s="18">
        <f>IF(OR($A151="",$D151=0),"",$K151/$D151)</f>
        <v/>
      </c>
      <c r="M151" s="18">
        <f>IF($A151="","",MAX(0,MIN(100,fam_kaliteTaban-IF($L151&gt;fam_esikKmBasi,fam_kaliteCeza,0)-IF($F151&gt;fam_esikBakimTl,fam_kaliteSapma,0)-IF($P151="YETIM",fam_kaliteCeza,0))))</f>
        <v/>
      </c>
      <c r="N151" s="18">
        <f>IF($A151="","",IF(OR($L151&gt;fam_esikKmBasi,$F151&gt;fam_esikBakimTl,$M151&lt;fam_esikSaglik),"ALARM","UYGUN"))</f>
        <v/>
      </c>
      <c r="O151" s="18">
        <f>IF($A151="","",1)</f>
        <v/>
      </c>
      <c r="P151" s="18">
        <f>IF($A151="","",IF(OR($B151="",COUNTIF(tblVarliklar[VarlikId],$B151)=0),"YETIM","TAMAM"))</f>
        <v/>
      </c>
    </row>
    <row r="152">
      <c r="A152" s="15" t="n"/>
      <c r="B152" s="15" t="n"/>
      <c r="C152" s="60" t="n"/>
      <c r="D152" s="20" t="n"/>
      <c r="E152" s="16" t="n"/>
      <c r="F152" s="17" t="n"/>
      <c r="G152" s="15" t="n"/>
      <c r="H152" s="18">
        <f>IF($A152="","",$E152*fam_yakitBirimFiyat)</f>
        <v/>
      </c>
      <c r="I152" s="18">
        <f>IF($A152="","",$D152*IFERROR(SUMIF(tblVarliklar[VarlikId],$B152,tblVarliklar[AmortismanTlKm]),fam_amortismanTlKm))</f>
        <v/>
      </c>
      <c r="J152" s="18">
        <f>IF($A152="","",IFERROR(SUMIF(tblVarliklar[VarlikId],$B152,tblVarliklar[SigortaYillikTl]),fam_sigortaYillik)/365*fam_sigortaGunPay)</f>
        <v/>
      </c>
      <c r="K152" s="18">
        <f>IF($A152="","",$H152+$F152+$I152+$J152)</f>
        <v/>
      </c>
      <c r="L152" s="18">
        <f>IF(OR($A152="",$D152=0),"",$K152/$D152)</f>
        <v/>
      </c>
      <c r="M152" s="18">
        <f>IF($A152="","",MAX(0,MIN(100,fam_kaliteTaban-IF($L152&gt;fam_esikKmBasi,fam_kaliteCeza,0)-IF($F152&gt;fam_esikBakimTl,fam_kaliteSapma,0)-IF($P152="YETIM",fam_kaliteCeza,0))))</f>
        <v/>
      </c>
      <c r="N152" s="18">
        <f>IF($A152="","",IF(OR($L152&gt;fam_esikKmBasi,$F152&gt;fam_esikBakimTl,$M152&lt;fam_esikSaglik),"ALARM","UYGUN"))</f>
        <v/>
      </c>
      <c r="O152" s="18">
        <f>IF($A152="","",1)</f>
        <v/>
      </c>
      <c r="P152" s="18">
        <f>IF($A152="","",IF(OR($B152="",COUNTIF(tblVarliklar[VarlikId],$B152)=0),"YETIM","TAMAM"))</f>
        <v/>
      </c>
    </row>
    <row r="153">
      <c r="A153" s="15" t="n"/>
      <c r="B153" s="15" t="n"/>
      <c r="C153" s="60" t="n"/>
      <c r="D153" s="20" t="n"/>
      <c r="E153" s="16" t="n"/>
      <c r="F153" s="17" t="n"/>
      <c r="G153" s="15" t="n"/>
      <c r="H153" s="18">
        <f>IF($A153="","",$E153*fam_yakitBirimFiyat)</f>
        <v/>
      </c>
      <c r="I153" s="18">
        <f>IF($A153="","",$D153*IFERROR(SUMIF(tblVarliklar[VarlikId],$B153,tblVarliklar[AmortismanTlKm]),fam_amortismanTlKm))</f>
        <v/>
      </c>
      <c r="J153" s="18">
        <f>IF($A153="","",IFERROR(SUMIF(tblVarliklar[VarlikId],$B153,tblVarliklar[SigortaYillikTl]),fam_sigortaYillik)/365*fam_sigortaGunPay)</f>
        <v/>
      </c>
      <c r="K153" s="18">
        <f>IF($A153="","",$H153+$F153+$I153+$J153)</f>
        <v/>
      </c>
      <c r="L153" s="18">
        <f>IF(OR($A153="",$D153=0),"",$K153/$D153)</f>
        <v/>
      </c>
      <c r="M153" s="18">
        <f>IF($A153="","",MAX(0,MIN(100,fam_kaliteTaban-IF($L153&gt;fam_esikKmBasi,fam_kaliteCeza,0)-IF($F153&gt;fam_esikBakimTl,fam_kaliteSapma,0)-IF($P153="YETIM",fam_kaliteCeza,0))))</f>
        <v/>
      </c>
      <c r="N153" s="18">
        <f>IF($A153="","",IF(OR($L153&gt;fam_esikKmBasi,$F153&gt;fam_esikBakimTl,$M153&lt;fam_esikSaglik),"ALARM","UYGUN"))</f>
        <v/>
      </c>
      <c r="O153" s="18">
        <f>IF($A153="","",1)</f>
        <v/>
      </c>
      <c r="P153" s="18">
        <f>IF($A153="","",IF(OR($B153="",COUNTIF(tblVarliklar[VarlikId],$B153)=0),"YETIM","TAMAM"))</f>
        <v/>
      </c>
    </row>
    <row r="154">
      <c r="A154" s="15" t="n"/>
      <c r="B154" s="15" t="n"/>
      <c r="C154" s="60" t="n"/>
      <c r="D154" s="20" t="n"/>
      <c r="E154" s="16" t="n"/>
      <c r="F154" s="17" t="n"/>
      <c r="G154" s="15" t="n"/>
      <c r="H154" s="18">
        <f>IF($A154="","",$E154*fam_yakitBirimFiyat)</f>
        <v/>
      </c>
      <c r="I154" s="18">
        <f>IF($A154="","",$D154*IFERROR(SUMIF(tblVarliklar[VarlikId],$B154,tblVarliklar[AmortismanTlKm]),fam_amortismanTlKm))</f>
        <v/>
      </c>
      <c r="J154" s="18">
        <f>IF($A154="","",IFERROR(SUMIF(tblVarliklar[VarlikId],$B154,tblVarliklar[SigortaYillikTl]),fam_sigortaYillik)/365*fam_sigortaGunPay)</f>
        <v/>
      </c>
      <c r="K154" s="18">
        <f>IF($A154="","",$H154+$F154+$I154+$J154)</f>
        <v/>
      </c>
      <c r="L154" s="18">
        <f>IF(OR($A154="",$D154=0),"",$K154/$D154)</f>
        <v/>
      </c>
      <c r="M154" s="18">
        <f>IF($A154="","",MAX(0,MIN(100,fam_kaliteTaban-IF($L154&gt;fam_esikKmBasi,fam_kaliteCeza,0)-IF($F154&gt;fam_esikBakimTl,fam_kaliteSapma,0)-IF($P154="YETIM",fam_kaliteCeza,0))))</f>
        <v/>
      </c>
      <c r="N154" s="18">
        <f>IF($A154="","",IF(OR($L154&gt;fam_esikKmBasi,$F154&gt;fam_esikBakimTl,$M154&lt;fam_esikSaglik),"ALARM","UYGUN"))</f>
        <v/>
      </c>
      <c r="O154" s="18">
        <f>IF($A154="","",1)</f>
        <v/>
      </c>
      <c r="P154" s="18">
        <f>IF($A154="","",IF(OR($B154="",COUNTIF(tblVarliklar[VarlikId],$B154)=0),"YETIM","TAMAM"))</f>
        <v/>
      </c>
    </row>
    <row r="155">
      <c r="A155" s="15" t="n"/>
      <c r="B155" s="15" t="n"/>
      <c r="C155" s="60" t="n"/>
      <c r="D155" s="20" t="n"/>
      <c r="E155" s="16" t="n"/>
      <c r="F155" s="17" t="n"/>
      <c r="G155" s="15" t="n"/>
      <c r="H155" s="18">
        <f>IF($A155="","",$E155*fam_yakitBirimFiyat)</f>
        <v/>
      </c>
      <c r="I155" s="18">
        <f>IF($A155="","",$D155*IFERROR(SUMIF(tblVarliklar[VarlikId],$B155,tblVarliklar[AmortismanTlKm]),fam_amortismanTlKm))</f>
        <v/>
      </c>
      <c r="J155" s="18">
        <f>IF($A155="","",IFERROR(SUMIF(tblVarliklar[VarlikId],$B155,tblVarliklar[SigortaYillikTl]),fam_sigortaYillik)/365*fam_sigortaGunPay)</f>
        <v/>
      </c>
      <c r="K155" s="18">
        <f>IF($A155="","",$H155+$F155+$I155+$J155)</f>
        <v/>
      </c>
      <c r="L155" s="18">
        <f>IF(OR($A155="",$D155=0),"",$K155/$D155)</f>
        <v/>
      </c>
      <c r="M155" s="18">
        <f>IF($A155="","",MAX(0,MIN(100,fam_kaliteTaban-IF($L155&gt;fam_esikKmBasi,fam_kaliteCeza,0)-IF($F155&gt;fam_esikBakimTl,fam_kaliteSapma,0)-IF($P155="YETIM",fam_kaliteCeza,0))))</f>
        <v/>
      </c>
      <c r="N155" s="18">
        <f>IF($A155="","",IF(OR($L155&gt;fam_esikKmBasi,$F155&gt;fam_esikBakimTl,$M155&lt;fam_esikSaglik),"ALARM","UYGUN"))</f>
        <v/>
      </c>
      <c r="O155" s="18">
        <f>IF($A155="","",1)</f>
        <v/>
      </c>
      <c r="P155" s="18">
        <f>IF($A155="","",IF(OR($B155="",COUNTIF(tblVarliklar[VarlikId],$B155)=0),"YETIM","TAMAM"))</f>
        <v/>
      </c>
    </row>
    <row r="156">
      <c r="A156" s="15" t="n"/>
      <c r="B156" s="15" t="n"/>
      <c r="C156" s="60" t="n"/>
      <c r="D156" s="20" t="n"/>
      <c r="E156" s="16" t="n"/>
      <c r="F156" s="17" t="n"/>
      <c r="G156" s="15" t="n"/>
      <c r="H156" s="18">
        <f>IF($A156="","",$E156*fam_yakitBirimFiyat)</f>
        <v/>
      </c>
      <c r="I156" s="18">
        <f>IF($A156="","",$D156*IFERROR(SUMIF(tblVarliklar[VarlikId],$B156,tblVarliklar[AmortismanTlKm]),fam_amortismanTlKm))</f>
        <v/>
      </c>
      <c r="J156" s="18">
        <f>IF($A156="","",IFERROR(SUMIF(tblVarliklar[VarlikId],$B156,tblVarliklar[SigortaYillikTl]),fam_sigortaYillik)/365*fam_sigortaGunPay)</f>
        <v/>
      </c>
      <c r="K156" s="18">
        <f>IF($A156="","",$H156+$F156+$I156+$J156)</f>
        <v/>
      </c>
      <c r="L156" s="18">
        <f>IF(OR($A156="",$D156=0),"",$K156/$D156)</f>
        <v/>
      </c>
      <c r="M156" s="18">
        <f>IF($A156="","",MAX(0,MIN(100,fam_kaliteTaban-IF($L156&gt;fam_esikKmBasi,fam_kaliteCeza,0)-IF($F156&gt;fam_esikBakimTl,fam_kaliteSapma,0)-IF($P156="YETIM",fam_kaliteCeza,0))))</f>
        <v/>
      </c>
      <c r="N156" s="18">
        <f>IF($A156="","",IF(OR($L156&gt;fam_esikKmBasi,$F156&gt;fam_esikBakimTl,$M156&lt;fam_esikSaglik),"ALARM","UYGUN"))</f>
        <v/>
      </c>
      <c r="O156" s="18">
        <f>IF($A156="","",1)</f>
        <v/>
      </c>
      <c r="P156" s="18">
        <f>IF($A156="","",IF(OR($B156="",COUNTIF(tblVarliklar[VarlikId],$B156)=0),"YETIM","TAMAM"))</f>
        <v/>
      </c>
    </row>
    <row r="157">
      <c r="A157" s="15" t="n"/>
      <c r="B157" s="15" t="n"/>
      <c r="C157" s="60" t="n"/>
      <c r="D157" s="20" t="n"/>
      <c r="E157" s="16" t="n"/>
      <c r="F157" s="17" t="n"/>
      <c r="G157" s="15" t="n"/>
      <c r="H157" s="18">
        <f>IF($A157="","",$E157*fam_yakitBirimFiyat)</f>
        <v/>
      </c>
      <c r="I157" s="18">
        <f>IF($A157="","",$D157*IFERROR(SUMIF(tblVarliklar[VarlikId],$B157,tblVarliklar[AmortismanTlKm]),fam_amortismanTlKm))</f>
        <v/>
      </c>
      <c r="J157" s="18">
        <f>IF($A157="","",IFERROR(SUMIF(tblVarliklar[VarlikId],$B157,tblVarliklar[SigortaYillikTl]),fam_sigortaYillik)/365*fam_sigortaGunPay)</f>
        <v/>
      </c>
      <c r="K157" s="18">
        <f>IF($A157="","",$H157+$F157+$I157+$J157)</f>
        <v/>
      </c>
      <c r="L157" s="18">
        <f>IF(OR($A157="",$D157=0),"",$K157/$D157)</f>
        <v/>
      </c>
      <c r="M157" s="18">
        <f>IF($A157="","",MAX(0,MIN(100,fam_kaliteTaban-IF($L157&gt;fam_esikKmBasi,fam_kaliteCeza,0)-IF($F157&gt;fam_esikBakimTl,fam_kaliteSapma,0)-IF($P157="YETIM",fam_kaliteCeza,0))))</f>
        <v/>
      </c>
      <c r="N157" s="18">
        <f>IF($A157="","",IF(OR($L157&gt;fam_esikKmBasi,$F157&gt;fam_esikBakimTl,$M157&lt;fam_esikSaglik),"ALARM","UYGUN"))</f>
        <v/>
      </c>
      <c r="O157" s="18">
        <f>IF($A157="","",1)</f>
        <v/>
      </c>
      <c r="P157" s="18">
        <f>IF($A157="","",IF(OR($B157="",COUNTIF(tblVarliklar[VarlikId],$B157)=0),"YETIM","TAMAM"))</f>
        <v/>
      </c>
    </row>
    <row r="158">
      <c r="A158" s="15" t="n"/>
      <c r="B158" s="15" t="n"/>
      <c r="C158" s="60" t="n"/>
      <c r="D158" s="20" t="n"/>
      <c r="E158" s="16" t="n"/>
      <c r="F158" s="17" t="n"/>
      <c r="G158" s="15" t="n"/>
      <c r="H158" s="18">
        <f>IF($A158="","",$E158*fam_yakitBirimFiyat)</f>
        <v/>
      </c>
      <c r="I158" s="18">
        <f>IF($A158="","",$D158*IFERROR(SUMIF(tblVarliklar[VarlikId],$B158,tblVarliklar[AmortismanTlKm]),fam_amortismanTlKm))</f>
        <v/>
      </c>
      <c r="J158" s="18">
        <f>IF($A158="","",IFERROR(SUMIF(tblVarliklar[VarlikId],$B158,tblVarliklar[SigortaYillikTl]),fam_sigortaYillik)/365*fam_sigortaGunPay)</f>
        <v/>
      </c>
      <c r="K158" s="18">
        <f>IF($A158="","",$H158+$F158+$I158+$J158)</f>
        <v/>
      </c>
      <c r="L158" s="18">
        <f>IF(OR($A158="",$D158=0),"",$K158/$D158)</f>
        <v/>
      </c>
      <c r="M158" s="18">
        <f>IF($A158="","",MAX(0,MIN(100,fam_kaliteTaban-IF($L158&gt;fam_esikKmBasi,fam_kaliteCeza,0)-IF($F158&gt;fam_esikBakimTl,fam_kaliteSapma,0)-IF($P158="YETIM",fam_kaliteCeza,0))))</f>
        <v/>
      </c>
      <c r="N158" s="18">
        <f>IF($A158="","",IF(OR($L158&gt;fam_esikKmBasi,$F158&gt;fam_esikBakimTl,$M158&lt;fam_esikSaglik),"ALARM","UYGUN"))</f>
        <v/>
      </c>
      <c r="O158" s="18">
        <f>IF($A158="","",1)</f>
        <v/>
      </c>
      <c r="P158" s="18">
        <f>IF($A158="","",IF(OR($B158="",COUNTIF(tblVarliklar[VarlikId],$B158)=0),"YETIM","TAMAM"))</f>
        <v/>
      </c>
    </row>
    <row r="159">
      <c r="A159" s="15" t="n"/>
      <c r="B159" s="15" t="n"/>
      <c r="C159" s="60" t="n"/>
      <c r="D159" s="20" t="n"/>
      <c r="E159" s="16" t="n"/>
      <c r="F159" s="17" t="n"/>
      <c r="G159" s="15" t="n"/>
      <c r="H159" s="18">
        <f>IF($A159="","",$E159*fam_yakitBirimFiyat)</f>
        <v/>
      </c>
      <c r="I159" s="18">
        <f>IF($A159="","",$D159*IFERROR(SUMIF(tblVarliklar[VarlikId],$B159,tblVarliklar[AmortismanTlKm]),fam_amortismanTlKm))</f>
        <v/>
      </c>
      <c r="J159" s="18">
        <f>IF($A159="","",IFERROR(SUMIF(tblVarliklar[VarlikId],$B159,tblVarliklar[SigortaYillikTl]),fam_sigortaYillik)/365*fam_sigortaGunPay)</f>
        <v/>
      </c>
      <c r="K159" s="18">
        <f>IF($A159="","",$H159+$F159+$I159+$J159)</f>
        <v/>
      </c>
      <c r="L159" s="18">
        <f>IF(OR($A159="",$D159=0),"",$K159/$D159)</f>
        <v/>
      </c>
      <c r="M159" s="18">
        <f>IF($A159="","",MAX(0,MIN(100,fam_kaliteTaban-IF($L159&gt;fam_esikKmBasi,fam_kaliteCeza,0)-IF($F159&gt;fam_esikBakimTl,fam_kaliteSapma,0)-IF($P159="YETIM",fam_kaliteCeza,0))))</f>
        <v/>
      </c>
      <c r="N159" s="18">
        <f>IF($A159="","",IF(OR($L159&gt;fam_esikKmBasi,$F159&gt;fam_esikBakimTl,$M159&lt;fam_esikSaglik),"ALARM","UYGUN"))</f>
        <v/>
      </c>
      <c r="O159" s="18">
        <f>IF($A159="","",1)</f>
        <v/>
      </c>
      <c r="P159" s="18">
        <f>IF($A159="","",IF(OR($B159="",COUNTIF(tblVarliklar[VarlikId],$B159)=0),"YETIM","TAMAM"))</f>
        <v/>
      </c>
    </row>
    <row r="160">
      <c r="A160" s="15" t="n"/>
      <c r="B160" s="15" t="n"/>
      <c r="C160" s="60" t="n"/>
      <c r="D160" s="20" t="n"/>
      <c r="E160" s="16" t="n"/>
      <c r="F160" s="17" t="n"/>
      <c r="G160" s="15" t="n"/>
      <c r="H160" s="18">
        <f>IF($A160="","",$E160*fam_yakitBirimFiyat)</f>
        <v/>
      </c>
      <c r="I160" s="18">
        <f>IF($A160="","",$D160*IFERROR(SUMIF(tblVarliklar[VarlikId],$B160,tblVarliklar[AmortismanTlKm]),fam_amortismanTlKm))</f>
        <v/>
      </c>
      <c r="J160" s="18">
        <f>IF($A160="","",IFERROR(SUMIF(tblVarliklar[VarlikId],$B160,tblVarliklar[SigortaYillikTl]),fam_sigortaYillik)/365*fam_sigortaGunPay)</f>
        <v/>
      </c>
      <c r="K160" s="18">
        <f>IF($A160="","",$H160+$F160+$I160+$J160)</f>
        <v/>
      </c>
      <c r="L160" s="18">
        <f>IF(OR($A160="",$D160=0),"",$K160/$D160)</f>
        <v/>
      </c>
      <c r="M160" s="18">
        <f>IF($A160="","",MAX(0,MIN(100,fam_kaliteTaban-IF($L160&gt;fam_esikKmBasi,fam_kaliteCeza,0)-IF($F160&gt;fam_esikBakimTl,fam_kaliteSapma,0)-IF($P160="YETIM",fam_kaliteCeza,0))))</f>
        <v/>
      </c>
      <c r="N160" s="18">
        <f>IF($A160="","",IF(OR($L160&gt;fam_esikKmBasi,$F160&gt;fam_esikBakimTl,$M160&lt;fam_esikSaglik),"ALARM","UYGUN"))</f>
        <v/>
      </c>
      <c r="O160" s="18">
        <f>IF($A160="","",1)</f>
        <v/>
      </c>
      <c r="P160" s="18">
        <f>IF($A160="","",IF(OR($B160="",COUNTIF(tblVarliklar[VarlikId],$B160)=0),"YETIM","TAMAM"))</f>
        <v/>
      </c>
    </row>
    <row r="161">
      <c r="A161" s="15" t="n"/>
      <c r="B161" s="15" t="n"/>
      <c r="C161" s="60" t="n"/>
      <c r="D161" s="20" t="n"/>
      <c r="E161" s="16" t="n"/>
      <c r="F161" s="17" t="n"/>
      <c r="G161" s="15" t="n"/>
      <c r="H161" s="18">
        <f>IF($A161="","",$E161*fam_yakitBirimFiyat)</f>
        <v/>
      </c>
      <c r="I161" s="18">
        <f>IF($A161="","",$D161*IFERROR(SUMIF(tblVarliklar[VarlikId],$B161,tblVarliklar[AmortismanTlKm]),fam_amortismanTlKm))</f>
        <v/>
      </c>
      <c r="J161" s="18">
        <f>IF($A161="","",IFERROR(SUMIF(tblVarliklar[VarlikId],$B161,tblVarliklar[SigortaYillikTl]),fam_sigortaYillik)/365*fam_sigortaGunPay)</f>
        <v/>
      </c>
      <c r="K161" s="18">
        <f>IF($A161="","",$H161+$F161+$I161+$J161)</f>
        <v/>
      </c>
      <c r="L161" s="18">
        <f>IF(OR($A161="",$D161=0),"",$K161/$D161)</f>
        <v/>
      </c>
      <c r="M161" s="18">
        <f>IF($A161="","",MAX(0,MIN(100,fam_kaliteTaban-IF($L161&gt;fam_esikKmBasi,fam_kaliteCeza,0)-IF($F161&gt;fam_esikBakimTl,fam_kaliteSapma,0)-IF($P161="YETIM",fam_kaliteCeza,0))))</f>
        <v/>
      </c>
      <c r="N161" s="18">
        <f>IF($A161="","",IF(OR($L161&gt;fam_esikKmBasi,$F161&gt;fam_esikBakimTl,$M161&lt;fam_esikSaglik),"ALARM","UYGUN"))</f>
        <v/>
      </c>
      <c r="O161" s="18">
        <f>IF($A161="","",1)</f>
        <v/>
      </c>
      <c r="P161" s="18">
        <f>IF($A161="","",IF(OR($B161="",COUNTIF(tblVarliklar[VarlikId],$B161)=0),"YETIM","TAMAM"))</f>
        <v/>
      </c>
    </row>
    <row r="162">
      <c r="A162" s="15" t="n"/>
      <c r="B162" s="15" t="n"/>
      <c r="C162" s="60" t="n"/>
      <c r="D162" s="20" t="n"/>
      <c r="E162" s="16" t="n"/>
      <c r="F162" s="17" t="n"/>
      <c r="G162" s="15" t="n"/>
      <c r="H162" s="18">
        <f>IF($A162="","",$E162*fam_yakitBirimFiyat)</f>
        <v/>
      </c>
      <c r="I162" s="18">
        <f>IF($A162="","",$D162*IFERROR(SUMIF(tblVarliklar[VarlikId],$B162,tblVarliklar[AmortismanTlKm]),fam_amortismanTlKm))</f>
        <v/>
      </c>
      <c r="J162" s="18">
        <f>IF($A162="","",IFERROR(SUMIF(tblVarliklar[VarlikId],$B162,tblVarliklar[SigortaYillikTl]),fam_sigortaYillik)/365*fam_sigortaGunPay)</f>
        <v/>
      </c>
      <c r="K162" s="18">
        <f>IF($A162="","",$H162+$F162+$I162+$J162)</f>
        <v/>
      </c>
      <c r="L162" s="18">
        <f>IF(OR($A162="",$D162=0),"",$K162/$D162)</f>
        <v/>
      </c>
      <c r="M162" s="18">
        <f>IF($A162="","",MAX(0,MIN(100,fam_kaliteTaban-IF($L162&gt;fam_esikKmBasi,fam_kaliteCeza,0)-IF($F162&gt;fam_esikBakimTl,fam_kaliteSapma,0)-IF($P162="YETIM",fam_kaliteCeza,0))))</f>
        <v/>
      </c>
      <c r="N162" s="18">
        <f>IF($A162="","",IF(OR($L162&gt;fam_esikKmBasi,$F162&gt;fam_esikBakimTl,$M162&lt;fam_esikSaglik),"ALARM","UYGUN"))</f>
        <v/>
      </c>
      <c r="O162" s="18">
        <f>IF($A162="","",1)</f>
        <v/>
      </c>
      <c r="P162" s="18">
        <f>IF($A162="","",IF(OR($B162="",COUNTIF(tblVarliklar[VarlikId],$B162)=0),"YETIM","TAMAM"))</f>
        <v/>
      </c>
    </row>
    <row r="163">
      <c r="A163" s="15" t="n"/>
      <c r="B163" s="15" t="n"/>
      <c r="C163" s="60" t="n"/>
      <c r="D163" s="20" t="n"/>
      <c r="E163" s="16" t="n"/>
      <c r="F163" s="17" t="n"/>
      <c r="G163" s="15" t="n"/>
      <c r="H163" s="18">
        <f>IF($A163="","",$E163*fam_yakitBirimFiyat)</f>
        <v/>
      </c>
      <c r="I163" s="18">
        <f>IF($A163="","",$D163*IFERROR(SUMIF(tblVarliklar[VarlikId],$B163,tblVarliklar[AmortismanTlKm]),fam_amortismanTlKm))</f>
        <v/>
      </c>
      <c r="J163" s="18">
        <f>IF($A163="","",IFERROR(SUMIF(tblVarliklar[VarlikId],$B163,tblVarliklar[SigortaYillikTl]),fam_sigortaYillik)/365*fam_sigortaGunPay)</f>
        <v/>
      </c>
      <c r="K163" s="18">
        <f>IF($A163="","",$H163+$F163+$I163+$J163)</f>
        <v/>
      </c>
      <c r="L163" s="18">
        <f>IF(OR($A163="",$D163=0),"",$K163/$D163)</f>
        <v/>
      </c>
      <c r="M163" s="18">
        <f>IF($A163="","",MAX(0,MIN(100,fam_kaliteTaban-IF($L163&gt;fam_esikKmBasi,fam_kaliteCeza,0)-IF($F163&gt;fam_esikBakimTl,fam_kaliteSapma,0)-IF($P163="YETIM",fam_kaliteCeza,0))))</f>
        <v/>
      </c>
      <c r="N163" s="18">
        <f>IF($A163="","",IF(OR($L163&gt;fam_esikKmBasi,$F163&gt;fam_esikBakimTl,$M163&lt;fam_esikSaglik),"ALARM","UYGUN"))</f>
        <v/>
      </c>
      <c r="O163" s="18">
        <f>IF($A163="","",1)</f>
        <v/>
      </c>
      <c r="P163" s="18">
        <f>IF($A163="","",IF(OR($B163="",COUNTIF(tblVarliklar[VarlikId],$B163)=0),"YETIM","TAMAM"))</f>
        <v/>
      </c>
    </row>
    <row r="164">
      <c r="A164" s="15" t="n"/>
      <c r="B164" s="15" t="n"/>
      <c r="C164" s="60" t="n"/>
      <c r="D164" s="20" t="n"/>
      <c r="E164" s="16" t="n"/>
      <c r="F164" s="17" t="n"/>
      <c r="G164" s="15" t="n"/>
      <c r="H164" s="18">
        <f>IF($A164="","",$E164*fam_yakitBirimFiyat)</f>
        <v/>
      </c>
      <c r="I164" s="18">
        <f>IF($A164="","",$D164*IFERROR(SUMIF(tblVarliklar[VarlikId],$B164,tblVarliklar[AmortismanTlKm]),fam_amortismanTlKm))</f>
        <v/>
      </c>
      <c r="J164" s="18">
        <f>IF($A164="","",IFERROR(SUMIF(tblVarliklar[VarlikId],$B164,tblVarliklar[SigortaYillikTl]),fam_sigortaYillik)/365*fam_sigortaGunPay)</f>
        <v/>
      </c>
      <c r="K164" s="18">
        <f>IF($A164="","",$H164+$F164+$I164+$J164)</f>
        <v/>
      </c>
      <c r="L164" s="18">
        <f>IF(OR($A164="",$D164=0),"",$K164/$D164)</f>
        <v/>
      </c>
      <c r="M164" s="18">
        <f>IF($A164="","",MAX(0,MIN(100,fam_kaliteTaban-IF($L164&gt;fam_esikKmBasi,fam_kaliteCeza,0)-IF($F164&gt;fam_esikBakimTl,fam_kaliteSapma,0)-IF($P164="YETIM",fam_kaliteCeza,0))))</f>
        <v/>
      </c>
      <c r="N164" s="18">
        <f>IF($A164="","",IF(OR($L164&gt;fam_esikKmBasi,$F164&gt;fam_esikBakimTl,$M164&lt;fam_esikSaglik),"ALARM","UYGUN"))</f>
        <v/>
      </c>
      <c r="O164" s="18">
        <f>IF($A164="","",1)</f>
        <v/>
      </c>
      <c r="P164" s="18">
        <f>IF($A164="","",IF(OR($B164="",COUNTIF(tblVarliklar[VarlikId],$B164)=0),"YETIM","TAMAM"))</f>
        <v/>
      </c>
    </row>
    <row r="165">
      <c r="A165" s="15" t="n"/>
      <c r="B165" s="15" t="n"/>
      <c r="C165" s="60" t="n"/>
      <c r="D165" s="20" t="n"/>
      <c r="E165" s="16" t="n"/>
      <c r="F165" s="17" t="n"/>
      <c r="G165" s="15" t="n"/>
      <c r="H165" s="18">
        <f>IF($A165="","",$E165*fam_yakitBirimFiyat)</f>
        <v/>
      </c>
      <c r="I165" s="18">
        <f>IF($A165="","",$D165*IFERROR(SUMIF(tblVarliklar[VarlikId],$B165,tblVarliklar[AmortismanTlKm]),fam_amortismanTlKm))</f>
        <v/>
      </c>
      <c r="J165" s="18">
        <f>IF($A165="","",IFERROR(SUMIF(tblVarliklar[VarlikId],$B165,tblVarliklar[SigortaYillikTl]),fam_sigortaYillik)/365*fam_sigortaGunPay)</f>
        <v/>
      </c>
      <c r="K165" s="18">
        <f>IF($A165="","",$H165+$F165+$I165+$J165)</f>
        <v/>
      </c>
      <c r="L165" s="18">
        <f>IF(OR($A165="",$D165=0),"",$K165/$D165)</f>
        <v/>
      </c>
      <c r="M165" s="18">
        <f>IF($A165="","",MAX(0,MIN(100,fam_kaliteTaban-IF($L165&gt;fam_esikKmBasi,fam_kaliteCeza,0)-IF($F165&gt;fam_esikBakimTl,fam_kaliteSapma,0)-IF($P165="YETIM",fam_kaliteCeza,0))))</f>
        <v/>
      </c>
      <c r="N165" s="18">
        <f>IF($A165="","",IF(OR($L165&gt;fam_esikKmBasi,$F165&gt;fam_esikBakimTl,$M165&lt;fam_esikSaglik),"ALARM","UYGUN"))</f>
        <v/>
      </c>
      <c r="O165" s="18">
        <f>IF($A165="","",1)</f>
        <v/>
      </c>
      <c r="P165" s="18">
        <f>IF($A165="","",IF(OR($B165="",COUNTIF(tblVarliklar[VarlikId],$B165)=0),"YETIM","TAMAM"))</f>
        <v/>
      </c>
    </row>
    <row r="166">
      <c r="A166" s="15" t="n"/>
      <c r="B166" s="15" t="n"/>
      <c r="C166" s="60" t="n"/>
      <c r="D166" s="20" t="n"/>
      <c r="E166" s="16" t="n"/>
      <c r="F166" s="17" t="n"/>
      <c r="G166" s="15" t="n"/>
      <c r="H166" s="18">
        <f>IF($A166="","",$E166*fam_yakitBirimFiyat)</f>
        <v/>
      </c>
      <c r="I166" s="18">
        <f>IF($A166="","",$D166*IFERROR(SUMIF(tblVarliklar[VarlikId],$B166,tblVarliklar[AmortismanTlKm]),fam_amortismanTlKm))</f>
        <v/>
      </c>
      <c r="J166" s="18">
        <f>IF($A166="","",IFERROR(SUMIF(tblVarliklar[VarlikId],$B166,tblVarliklar[SigortaYillikTl]),fam_sigortaYillik)/365*fam_sigortaGunPay)</f>
        <v/>
      </c>
      <c r="K166" s="18">
        <f>IF($A166="","",$H166+$F166+$I166+$J166)</f>
        <v/>
      </c>
      <c r="L166" s="18">
        <f>IF(OR($A166="",$D166=0),"",$K166/$D166)</f>
        <v/>
      </c>
      <c r="M166" s="18">
        <f>IF($A166="","",MAX(0,MIN(100,fam_kaliteTaban-IF($L166&gt;fam_esikKmBasi,fam_kaliteCeza,0)-IF($F166&gt;fam_esikBakimTl,fam_kaliteSapma,0)-IF($P166="YETIM",fam_kaliteCeza,0))))</f>
        <v/>
      </c>
      <c r="N166" s="18">
        <f>IF($A166="","",IF(OR($L166&gt;fam_esikKmBasi,$F166&gt;fam_esikBakimTl,$M166&lt;fam_esikSaglik),"ALARM","UYGUN"))</f>
        <v/>
      </c>
      <c r="O166" s="18">
        <f>IF($A166="","",1)</f>
        <v/>
      </c>
      <c r="P166" s="18">
        <f>IF($A166="","",IF(OR($B166="",COUNTIF(tblVarliklar[VarlikId],$B166)=0),"YETIM","TAMAM"))</f>
        <v/>
      </c>
    </row>
    <row r="167">
      <c r="A167" s="15" t="n"/>
      <c r="B167" s="15" t="n"/>
      <c r="C167" s="60" t="n"/>
      <c r="D167" s="20" t="n"/>
      <c r="E167" s="16" t="n"/>
      <c r="F167" s="17" t="n"/>
      <c r="G167" s="15" t="n"/>
      <c r="H167" s="18">
        <f>IF($A167="","",$E167*fam_yakitBirimFiyat)</f>
        <v/>
      </c>
      <c r="I167" s="18">
        <f>IF($A167="","",$D167*IFERROR(SUMIF(tblVarliklar[VarlikId],$B167,tblVarliklar[AmortismanTlKm]),fam_amortismanTlKm))</f>
        <v/>
      </c>
      <c r="J167" s="18">
        <f>IF($A167="","",IFERROR(SUMIF(tblVarliklar[VarlikId],$B167,tblVarliklar[SigortaYillikTl]),fam_sigortaYillik)/365*fam_sigortaGunPay)</f>
        <v/>
      </c>
      <c r="K167" s="18">
        <f>IF($A167="","",$H167+$F167+$I167+$J167)</f>
        <v/>
      </c>
      <c r="L167" s="18">
        <f>IF(OR($A167="",$D167=0),"",$K167/$D167)</f>
        <v/>
      </c>
      <c r="M167" s="18">
        <f>IF($A167="","",MAX(0,MIN(100,fam_kaliteTaban-IF($L167&gt;fam_esikKmBasi,fam_kaliteCeza,0)-IF($F167&gt;fam_esikBakimTl,fam_kaliteSapma,0)-IF($P167="YETIM",fam_kaliteCeza,0))))</f>
        <v/>
      </c>
      <c r="N167" s="18">
        <f>IF($A167="","",IF(OR($L167&gt;fam_esikKmBasi,$F167&gt;fam_esikBakimTl,$M167&lt;fam_esikSaglik),"ALARM","UYGUN"))</f>
        <v/>
      </c>
      <c r="O167" s="18">
        <f>IF($A167="","",1)</f>
        <v/>
      </c>
      <c r="P167" s="18">
        <f>IF($A167="","",IF(OR($B167="",COUNTIF(tblVarliklar[VarlikId],$B167)=0),"YETIM","TAMAM"))</f>
        <v/>
      </c>
    </row>
    <row r="168">
      <c r="A168" s="15" t="n"/>
      <c r="B168" s="15" t="n"/>
      <c r="C168" s="60" t="n"/>
      <c r="D168" s="20" t="n"/>
      <c r="E168" s="16" t="n"/>
      <c r="F168" s="17" t="n"/>
      <c r="G168" s="15" t="n"/>
      <c r="H168" s="18">
        <f>IF($A168="","",$E168*fam_yakitBirimFiyat)</f>
        <v/>
      </c>
      <c r="I168" s="18">
        <f>IF($A168="","",$D168*IFERROR(SUMIF(tblVarliklar[VarlikId],$B168,tblVarliklar[AmortismanTlKm]),fam_amortismanTlKm))</f>
        <v/>
      </c>
      <c r="J168" s="18">
        <f>IF($A168="","",IFERROR(SUMIF(tblVarliklar[VarlikId],$B168,tblVarliklar[SigortaYillikTl]),fam_sigortaYillik)/365*fam_sigortaGunPay)</f>
        <v/>
      </c>
      <c r="K168" s="18">
        <f>IF($A168="","",$H168+$F168+$I168+$J168)</f>
        <v/>
      </c>
      <c r="L168" s="18">
        <f>IF(OR($A168="",$D168=0),"",$K168/$D168)</f>
        <v/>
      </c>
      <c r="M168" s="18">
        <f>IF($A168="","",MAX(0,MIN(100,fam_kaliteTaban-IF($L168&gt;fam_esikKmBasi,fam_kaliteCeza,0)-IF($F168&gt;fam_esikBakimTl,fam_kaliteSapma,0)-IF($P168="YETIM",fam_kaliteCeza,0))))</f>
        <v/>
      </c>
      <c r="N168" s="18">
        <f>IF($A168="","",IF(OR($L168&gt;fam_esikKmBasi,$F168&gt;fam_esikBakimTl,$M168&lt;fam_esikSaglik),"ALARM","UYGUN"))</f>
        <v/>
      </c>
      <c r="O168" s="18">
        <f>IF($A168="","",1)</f>
        <v/>
      </c>
      <c r="P168" s="18">
        <f>IF($A168="","",IF(OR($B168="",COUNTIF(tblVarliklar[VarlikId],$B168)=0),"YETIM","TAMAM"))</f>
        <v/>
      </c>
    </row>
    <row r="169">
      <c r="A169" s="15" t="n"/>
      <c r="B169" s="15" t="n"/>
      <c r="C169" s="60" t="n"/>
      <c r="D169" s="20" t="n"/>
      <c r="E169" s="16" t="n"/>
      <c r="F169" s="17" t="n"/>
      <c r="G169" s="15" t="n"/>
      <c r="H169" s="18">
        <f>IF($A169="","",$E169*fam_yakitBirimFiyat)</f>
        <v/>
      </c>
      <c r="I169" s="18">
        <f>IF($A169="","",$D169*IFERROR(SUMIF(tblVarliklar[VarlikId],$B169,tblVarliklar[AmortismanTlKm]),fam_amortismanTlKm))</f>
        <v/>
      </c>
      <c r="J169" s="18">
        <f>IF($A169="","",IFERROR(SUMIF(tblVarliklar[VarlikId],$B169,tblVarliklar[SigortaYillikTl]),fam_sigortaYillik)/365*fam_sigortaGunPay)</f>
        <v/>
      </c>
      <c r="K169" s="18">
        <f>IF($A169="","",$H169+$F169+$I169+$J169)</f>
        <v/>
      </c>
      <c r="L169" s="18">
        <f>IF(OR($A169="",$D169=0),"",$K169/$D169)</f>
        <v/>
      </c>
      <c r="M169" s="18">
        <f>IF($A169="","",MAX(0,MIN(100,fam_kaliteTaban-IF($L169&gt;fam_esikKmBasi,fam_kaliteCeza,0)-IF($F169&gt;fam_esikBakimTl,fam_kaliteSapma,0)-IF($P169="YETIM",fam_kaliteCeza,0))))</f>
        <v/>
      </c>
      <c r="N169" s="18">
        <f>IF($A169="","",IF(OR($L169&gt;fam_esikKmBasi,$F169&gt;fam_esikBakimTl,$M169&lt;fam_esikSaglik),"ALARM","UYGUN"))</f>
        <v/>
      </c>
      <c r="O169" s="18">
        <f>IF($A169="","",1)</f>
        <v/>
      </c>
      <c r="P169" s="18">
        <f>IF($A169="","",IF(OR($B169="",COUNTIF(tblVarliklar[VarlikId],$B169)=0),"YETIM","TAMAM"))</f>
        <v/>
      </c>
    </row>
    <row r="170">
      <c r="A170" s="15" t="n"/>
      <c r="B170" s="15" t="n"/>
      <c r="C170" s="60" t="n"/>
      <c r="D170" s="20" t="n"/>
      <c r="E170" s="16" t="n"/>
      <c r="F170" s="17" t="n"/>
      <c r="G170" s="15" t="n"/>
      <c r="H170" s="18">
        <f>IF($A170="","",$E170*fam_yakitBirimFiyat)</f>
        <v/>
      </c>
      <c r="I170" s="18">
        <f>IF($A170="","",$D170*IFERROR(SUMIF(tblVarliklar[VarlikId],$B170,tblVarliklar[AmortismanTlKm]),fam_amortismanTlKm))</f>
        <v/>
      </c>
      <c r="J170" s="18">
        <f>IF($A170="","",IFERROR(SUMIF(tblVarliklar[VarlikId],$B170,tblVarliklar[SigortaYillikTl]),fam_sigortaYillik)/365*fam_sigortaGunPay)</f>
        <v/>
      </c>
      <c r="K170" s="18">
        <f>IF($A170="","",$H170+$F170+$I170+$J170)</f>
        <v/>
      </c>
      <c r="L170" s="18">
        <f>IF(OR($A170="",$D170=0),"",$K170/$D170)</f>
        <v/>
      </c>
      <c r="M170" s="18">
        <f>IF($A170="","",MAX(0,MIN(100,fam_kaliteTaban-IF($L170&gt;fam_esikKmBasi,fam_kaliteCeza,0)-IF($F170&gt;fam_esikBakimTl,fam_kaliteSapma,0)-IF($P170="YETIM",fam_kaliteCeza,0))))</f>
        <v/>
      </c>
      <c r="N170" s="18">
        <f>IF($A170="","",IF(OR($L170&gt;fam_esikKmBasi,$F170&gt;fam_esikBakimTl,$M170&lt;fam_esikSaglik),"ALARM","UYGUN"))</f>
        <v/>
      </c>
      <c r="O170" s="18">
        <f>IF($A170="","",1)</f>
        <v/>
      </c>
      <c r="P170" s="18">
        <f>IF($A170="","",IF(OR($B170="",COUNTIF(tblVarliklar[VarlikId],$B170)=0),"YETIM","TAMAM"))</f>
        <v/>
      </c>
    </row>
    <row r="171">
      <c r="A171" s="15" t="n"/>
      <c r="B171" s="15" t="n"/>
      <c r="C171" s="60" t="n"/>
      <c r="D171" s="20" t="n"/>
      <c r="E171" s="16" t="n"/>
      <c r="F171" s="17" t="n"/>
      <c r="G171" s="15" t="n"/>
      <c r="H171" s="18">
        <f>IF($A171="","",$E171*fam_yakitBirimFiyat)</f>
        <v/>
      </c>
      <c r="I171" s="18">
        <f>IF($A171="","",$D171*IFERROR(SUMIF(tblVarliklar[VarlikId],$B171,tblVarliklar[AmortismanTlKm]),fam_amortismanTlKm))</f>
        <v/>
      </c>
      <c r="J171" s="18">
        <f>IF($A171="","",IFERROR(SUMIF(tblVarliklar[VarlikId],$B171,tblVarliklar[SigortaYillikTl]),fam_sigortaYillik)/365*fam_sigortaGunPay)</f>
        <v/>
      </c>
      <c r="K171" s="18">
        <f>IF($A171="","",$H171+$F171+$I171+$J171)</f>
        <v/>
      </c>
      <c r="L171" s="18">
        <f>IF(OR($A171="",$D171=0),"",$K171/$D171)</f>
        <v/>
      </c>
      <c r="M171" s="18">
        <f>IF($A171="","",MAX(0,MIN(100,fam_kaliteTaban-IF($L171&gt;fam_esikKmBasi,fam_kaliteCeza,0)-IF($F171&gt;fam_esikBakimTl,fam_kaliteSapma,0)-IF($P171="YETIM",fam_kaliteCeza,0))))</f>
        <v/>
      </c>
      <c r="N171" s="18">
        <f>IF($A171="","",IF(OR($L171&gt;fam_esikKmBasi,$F171&gt;fam_esikBakimTl,$M171&lt;fam_esikSaglik),"ALARM","UYGUN"))</f>
        <v/>
      </c>
      <c r="O171" s="18">
        <f>IF($A171="","",1)</f>
        <v/>
      </c>
      <c r="P171" s="18">
        <f>IF($A171="","",IF(OR($B171="",COUNTIF(tblVarliklar[VarlikId],$B171)=0),"YETIM","TAMAM"))</f>
        <v/>
      </c>
    </row>
    <row r="172">
      <c r="A172" s="15" t="n"/>
      <c r="B172" s="15" t="n"/>
      <c r="C172" s="60" t="n"/>
      <c r="D172" s="20" t="n"/>
      <c r="E172" s="16" t="n"/>
      <c r="F172" s="17" t="n"/>
      <c r="G172" s="15" t="n"/>
      <c r="H172" s="18">
        <f>IF($A172="","",$E172*fam_yakitBirimFiyat)</f>
        <v/>
      </c>
      <c r="I172" s="18">
        <f>IF($A172="","",$D172*IFERROR(SUMIF(tblVarliklar[VarlikId],$B172,tblVarliklar[AmortismanTlKm]),fam_amortismanTlKm))</f>
        <v/>
      </c>
      <c r="J172" s="18">
        <f>IF($A172="","",IFERROR(SUMIF(tblVarliklar[VarlikId],$B172,tblVarliklar[SigortaYillikTl]),fam_sigortaYillik)/365*fam_sigortaGunPay)</f>
        <v/>
      </c>
      <c r="K172" s="18">
        <f>IF($A172="","",$H172+$F172+$I172+$J172)</f>
        <v/>
      </c>
      <c r="L172" s="18">
        <f>IF(OR($A172="",$D172=0),"",$K172/$D172)</f>
        <v/>
      </c>
      <c r="M172" s="18">
        <f>IF($A172="","",MAX(0,MIN(100,fam_kaliteTaban-IF($L172&gt;fam_esikKmBasi,fam_kaliteCeza,0)-IF($F172&gt;fam_esikBakimTl,fam_kaliteSapma,0)-IF($P172="YETIM",fam_kaliteCeza,0))))</f>
        <v/>
      </c>
      <c r="N172" s="18">
        <f>IF($A172="","",IF(OR($L172&gt;fam_esikKmBasi,$F172&gt;fam_esikBakimTl,$M172&lt;fam_esikSaglik),"ALARM","UYGUN"))</f>
        <v/>
      </c>
      <c r="O172" s="18">
        <f>IF($A172="","",1)</f>
        <v/>
      </c>
      <c r="P172" s="18">
        <f>IF($A172="","",IF(OR($B172="",COUNTIF(tblVarliklar[VarlikId],$B172)=0),"YETIM","TAMAM"))</f>
        <v/>
      </c>
    </row>
    <row r="173">
      <c r="A173" s="15" t="n"/>
      <c r="B173" s="15" t="n"/>
      <c r="C173" s="60" t="n"/>
      <c r="D173" s="20" t="n"/>
      <c r="E173" s="16" t="n"/>
      <c r="F173" s="17" t="n"/>
      <c r="G173" s="15" t="n"/>
      <c r="H173" s="18">
        <f>IF($A173="","",$E173*fam_yakitBirimFiyat)</f>
        <v/>
      </c>
      <c r="I173" s="18">
        <f>IF($A173="","",$D173*IFERROR(SUMIF(tblVarliklar[VarlikId],$B173,tblVarliklar[AmortismanTlKm]),fam_amortismanTlKm))</f>
        <v/>
      </c>
      <c r="J173" s="18">
        <f>IF($A173="","",IFERROR(SUMIF(tblVarliklar[VarlikId],$B173,tblVarliklar[SigortaYillikTl]),fam_sigortaYillik)/365*fam_sigortaGunPay)</f>
        <v/>
      </c>
      <c r="K173" s="18">
        <f>IF($A173="","",$H173+$F173+$I173+$J173)</f>
        <v/>
      </c>
      <c r="L173" s="18">
        <f>IF(OR($A173="",$D173=0),"",$K173/$D173)</f>
        <v/>
      </c>
      <c r="M173" s="18">
        <f>IF($A173="","",MAX(0,MIN(100,fam_kaliteTaban-IF($L173&gt;fam_esikKmBasi,fam_kaliteCeza,0)-IF($F173&gt;fam_esikBakimTl,fam_kaliteSapma,0)-IF($P173="YETIM",fam_kaliteCeza,0))))</f>
        <v/>
      </c>
      <c r="N173" s="18">
        <f>IF($A173="","",IF(OR($L173&gt;fam_esikKmBasi,$F173&gt;fam_esikBakimTl,$M173&lt;fam_esikSaglik),"ALARM","UYGUN"))</f>
        <v/>
      </c>
      <c r="O173" s="18">
        <f>IF($A173="","",1)</f>
        <v/>
      </c>
      <c r="P173" s="18">
        <f>IF($A173="","",IF(OR($B173="",COUNTIF(tblVarliklar[VarlikId],$B173)=0),"YETIM","TAMAM"))</f>
        <v/>
      </c>
    </row>
    <row r="174">
      <c r="A174" s="15" t="n"/>
      <c r="B174" s="15" t="n"/>
      <c r="C174" s="60" t="n"/>
      <c r="D174" s="20" t="n"/>
      <c r="E174" s="16" t="n"/>
      <c r="F174" s="17" t="n"/>
      <c r="G174" s="15" t="n"/>
      <c r="H174" s="18">
        <f>IF($A174="","",$E174*fam_yakitBirimFiyat)</f>
        <v/>
      </c>
      <c r="I174" s="18">
        <f>IF($A174="","",$D174*IFERROR(SUMIF(tblVarliklar[VarlikId],$B174,tblVarliklar[AmortismanTlKm]),fam_amortismanTlKm))</f>
        <v/>
      </c>
      <c r="J174" s="18">
        <f>IF($A174="","",IFERROR(SUMIF(tblVarliklar[VarlikId],$B174,tblVarliklar[SigortaYillikTl]),fam_sigortaYillik)/365*fam_sigortaGunPay)</f>
        <v/>
      </c>
      <c r="K174" s="18">
        <f>IF($A174="","",$H174+$F174+$I174+$J174)</f>
        <v/>
      </c>
      <c r="L174" s="18">
        <f>IF(OR($A174="",$D174=0),"",$K174/$D174)</f>
        <v/>
      </c>
      <c r="M174" s="18">
        <f>IF($A174="","",MAX(0,MIN(100,fam_kaliteTaban-IF($L174&gt;fam_esikKmBasi,fam_kaliteCeza,0)-IF($F174&gt;fam_esikBakimTl,fam_kaliteSapma,0)-IF($P174="YETIM",fam_kaliteCeza,0))))</f>
        <v/>
      </c>
      <c r="N174" s="18">
        <f>IF($A174="","",IF(OR($L174&gt;fam_esikKmBasi,$F174&gt;fam_esikBakimTl,$M174&lt;fam_esikSaglik),"ALARM","UYGUN"))</f>
        <v/>
      </c>
      <c r="O174" s="18">
        <f>IF($A174="","",1)</f>
        <v/>
      </c>
      <c r="P174" s="18">
        <f>IF($A174="","",IF(OR($B174="",COUNTIF(tblVarliklar[VarlikId],$B174)=0),"YETIM","TAMAM"))</f>
        <v/>
      </c>
    </row>
    <row r="175">
      <c r="A175" s="15" t="n"/>
      <c r="B175" s="15" t="n"/>
      <c r="C175" s="60" t="n"/>
      <c r="D175" s="20" t="n"/>
      <c r="E175" s="16" t="n"/>
      <c r="F175" s="17" t="n"/>
      <c r="G175" s="15" t="n"/>
      <c r="H175" s="18">
        <f>IF($A175="","",$E175*fam_yakitBirimFiyat)</f>
        <v/>
      </c>
      <c r="I175" s="18">
        <f>IF($A175="","",$D175*IFERROR(SUMIF(tblVarliklar[VarlikId],$B175,tblVarliklar[AmortismanTlKm]),fam_amortismanTlKm))</f>
        <v/>
      </c>
      <c r="J175" s="18">
        <f>IF($A175="","",IFERROR(SUMIF(tblVarliklar[VarlikId],$B175,tblVarliklar[SigortaYillikTl]),fam_sigortaYillik)/365*fam_sigortaGunPay)</f>
        <v/>
      </c>
      <c r="K175" s="18">
        <f>IF($A175="","",$H175+$F175+$I175+$J175)</f>
        <v/>
      </c>
      <c r="L175" s="18">
        <f>IF(OR($A175="",$D175=0),"",$K175/$D175)</f>
        <v/>
      </c>
      <c r="M175" s="18">
        <f>IF($A175="","",MAX(0,MIN(100,fam_kaliteTaban-IF($L175&gt;fam_esikKmBasi,fam_kaliteCeza,0)-IF($F175&gt;fam_esikBakimTl,fam_kaliteSapma,0)-IF($P175="YETIM",fam_kaliteCeza,0))))</f>
        <v/>
      </c>
      <c r="N175" s="18">
        <f>IF($A175="","",IF(OR($L175&gt;fam_esikKmBasi,$F175&gt;fam_esikBakimTl,$M175&lt;fam_esikSaglik),"ALARM","UYGUN"))</f>
        <v/>
      </c>
      <c r="O175" s="18">
        <f>IF($A175="","",1)</f>
        <v/>
      </c>
      <c r="P175" s="18">
        <f>IF($A175="","",IF(OR($B175="",COUNTIF(tblVarliklar[VarlikId],$B175)=0),"YETIM","TAMAM"))</f>
        <v/>
      </c>
    </row>
    <row r="176">
      <c r="A176" s="15" t="n"/>
      <c r="B176" s="15" t="n"/>
      <c r="C176" s="60" t="n"/>
      <c r="D176" s="20" t="n"/>
      <c r="E176" s="16" t="n"/>
      <c r="F176" s="17" t="n"/>
      <c r="G176" s="15" t="n"/>
      <c r="H176" s="18">
        <f>IF($A176="","",$E176*fam_yakitBirimFiyat)</f>
        <v/>
      </c>
      <c r="I176" s="18">
        <f>IF($A176="","",$D176*IFERROR(SUMIF(tblVarliklar[VarlikId],$B176,tblVarliklar[AmortismanTlKm]),fam_amortismanTlKm))</f>
        <v/>
      </c>
      <c r="J176" s="18">
        <f>IF($A176="","",IFERROR(SUMIF(tblVarliklar[VarlikId],$B176,tblVarliklar[SigortaYillikTl]),fam_sigortaYillik)/365*fam_sigortaGunPay)</f>
        <v/>
      </c>
      <c r="K176" s="18">
        <f>IF($A176="","",$H176+$F176+$I176+$J176)</f>
        <v/>
      </c>
      <c r="L176" s="18">
        <f>IF(OR($A176="",$D176=0),"",$K176/$D176)</f>
        <v/>
      </c>
      <c r="M176" s="18">
        <f>IF($A176="","",MAX(0,MIN(100,fam_kaliteTaban-IF($L176&gt;fam_esikKmBasi,fam_kaliteCeza,0)-IF($F176&gt;fam_esikBakimTl,fam_kaliteSapma,0)-IF($P176="YETIM",fam_kaliteCeza,0))))</f>
        <v/>
      </c>
      <c r="N176" s="18">
        <f>IF($A176="","",IF(OR($L176&gt;fam_esikKmBasi,$F176&gt;fam_esikBakimTl,$M176&lt;fam_esikSaglik),"ALARM","UYGUN"))</f>
        <v/>
      </c>
      <c r="O176" s="18">
        <f>IF($A176="","",1)</f>
        <v/>
      </c>
      <c r="P176" s="18">
        <f>IF($A176="","",IF(OR($B176="",COUNTIF(tblVarliklar[VarlikId],$B176)=0),"YETIM","TAMAM"))</f>
        <v/>
      </c>
    </row>
    <row r="177">
      <c r="A177" s="15" t="n"/>
      <c r="B177" s="15" t="n"/>
      <c r="C177" s="60" t="n"/>
      <c r="D177" s="20" t="n"/>
      <c r="E177" s="16" t="n"/>
      <c r="F177" s="17" t="n"/>
      <c r="G177" s="15" t="n"/>
      <c r="H177" s="18">
        <f>IF($A177="","",$E177*fam_yakitBirimFiyat)</f>
        <v/>
      </c>
      <c r="I177" s="18">
        <f>IF($A177="","",$D177*IFERROR(SUMIF(tblVarliklar[VarlikId],$B177,tblVarliklar[AmortismanTlKm]),fam_amortismanTlKm))</f>
        <v/>
      </c>
      <c r="J177" s="18">
        <f>IF($A177="","",IFERROR(SUMIF(tblVarliklar[VarlikId],$B177,tblVarliklar[SigortaYillikTl]),fam_sigortaYillik)/365*fam_sigortaGunPay)</f>
        <v/>
      </c>
      <c r="K177" s="18">
        <f>IF($A177="","",$H177+$F177+$I177+$J177)</f>
        <v/>
      </c>
      <c r="L177" s="18">
        <f>IF(OR($A177="",$D177=0),"",$K177/$D177)</f>
        <v/>
      </c>
      <c r="M177" s="18">
        <f>IF($A177="","",MAX(0,MIN(100,fam_kaliteTaban-IF($L177&gt;fam_esikKmBasi,fam_kaliteCeza,0)-IF($F177&gt;fam_esikBakimTl,fam_kaliteSapma,0)-IF($P177="YETIM",fam_kaliteCeza,0))))</f>
        <v/>
      </c>
      <c r="N177" s="18">
        <f>IF($A177="","",IF(OR($L177&gt;fam_esikKmBasi,$F177&gt;fam_esikBakimTl,$M177&lt;fam_esikSaglik),"ALARM","UYGUN"))</f>
        <v/>
      </c>
      <c r="O177" s="18">
        <f>IF($A177="","",1)</f>
        <v/>
      </c>
      <c r="P177" s="18">
        <f>IF($A177="","",IF(OR($B177="",COUNTIF(tblVarliklar[VarlikId],$B177)=0),"YETIM","TAMAM"))</f>
        <v/>
      </c>
    </row>
    <row r="178">
      <c r="A178" s="15" t="n"/>
      <c r="B178" s="15" t="n"/>
      <c r="C178" s="60" t="n"/>
      <c r="D178" s="20" t="n"/>
      <c r="E178" s="16" t="n"/>
      <c r="F178" s="17" t="n"/>
      <c r="G178" s="15" t="n"/>
      <c r="H178" s="18">
        <f>IF($A178="","",$E178*fam_yakitBirimFiyat)</f>
        <v/>
      </c>
      <c r="I178" s="18">
        <f>IF($A178="","",$D178*IFERROR(SUMIF(tblVarliklar[VarlikId],$B178,tblVarliklar[AmortismanTlKm]),fam_amortismanTlKm))</f>
        <v/>
      </c>
      <c r="J178" s="18">
        <f>IF($A178="","",IFERROR(SUMIF(tblVarliklar[VarlikId],$B178,tblVarliklar[SigortaYillikTl]),fam_sigortaYillik)/365*fam_sigortaGunPay)</f>
        <v/>
      </c>
      <c r="K178" s="18">
        <f>IF($A178="","",$H178+$F178+$I178+$J178)</f>
        <v/>
      </c>
      <c r="L178" s="18">
        <f>IF(OR($A178="",$D178=0),"",$K178/$D178)</f>
        <v/>
      </c>
      <c r="M178" s="18">
        <f>IF($A178="","",MAX(0,MIN(100,fam_kaliteTaban-IF($L178&gt;fam_esikKmBasi,fam_kaliteCeza,0)-IF($F178&gt;fam_esikBakimTl,fam_kaliteSapma,0)-IF($P178="YETIM",fam_kaliteCeza,0))))</f>
        <v/>
      </c>
      <c r="N178" s="18">
        <f>IF($A178="","",IF(OR($L178&gt;fam_esikKmBasi,$F178&gt;fam_esikBakimTl,$M178&lt;fam_esikSaglik),"ALARM","UYGUN"))</f>
        <v/>
      </c>
      <c r="O178" s="18">
        <f>IF($A178="","",1)</f>
        <v/>
      </c>
      <c r="P178" s="18">
        <f>IF($A178="","",IF(OR($B178="",COUNTIF(tblVarliklar[VarlikId],$B178)=0),"YETIM","TAMAM"))</f>
        <v/>
      </c>
    </row>
    <row r="179">
      <c r="A179" s="15" t="n"/>
      <c r="B179" s="15" t="n"/>
      <c r="C179" s="60" t="n"/>
      <c r="D179" s="20" t="n"/>
      <c r="E179" s="16" t="n"/>
      <c r="F179" s="17" t="n"/>
      <c r="G179" s="15" t="n"/>
      <c r="H179" s="18">
        <f>IF($A179="","",$E179*fam_yakitBirimFiyat)</f>
        <v/>
      </c>
      <c r="I179" s="18">
        <f>IF($A179="","",$D179*IFERROR(SUMIF(tblVarliklar[VarlikId],$B179,tblVarliklar[AmortismanTlKm]),fam_amortismanTlKm))</f>
        <v/>
      </c>
      <c r="J179" s="18">
        <f>IF($A179="","",IFERROR(SUMIF(tblVarliklar[VarlikId],$B179,tblVarliklar[SigortaYillikTl]),fam_sigortaYillik)/365*fam_sigortaGunPay)</f>
        <v/>
      </c>
      <c r="K179" s="18">
        <f>IF($A179="","",$H179+$F179+$I179+$J179)</f>
        <v/>
      </c>
      <c r="L179" s="18">
        <f>IF(OR($A179="",$D179=0),"",$K179/$D179)</f>
        <v/>
      </c>
      <c r="M179" s="18">
        <f>IF($A179="","",MAX(0,MIN(100,fam_kaliteTaban-IF($L179&gt;fam_esikKmBasi,fam_kaliteCeza,0)-IF($F179&gt;fam_esikBakimTl,fam_kaliteSapma,0)-IF($P179="YETIM",fam_kaliteCeza,0))))</f>
        <v/>
      </c>
      <c r="N179" s="18">
        <f>IF($A179="","",IF(OR($L179&gt;fam_esikKmBasi,$F179&gt;fam_esikBakimTl,$M179&lt;fam_esikSaglik),"ALARM","UYGUN"))</f>
        <v/>
      </c>
      <c r="O179" s="18">
        <f>IF($A179="","",1)</f>
        <v/>
      </c>
      <c r="P179" s="18">
        <f>IF($A179="","",IF(OR($B179="",COUNTIF(tblVarliklar[VarlikId],$B179)=0),"YETIM","TAMAM"))</f>
        <v/>
      </c>
    </row>
    <row r="180">
      <c r="A180" s="15" t="n"/>
      <c r="B180" s="15" t="n"/>
      <c r="C180" s="60" t="n"/>
      <c r="D180" s="20" t="n"/>
      <c r="E180" s="16" t="n"/>
      <c r="F180" s="17" t="n"/>
      <c r="G180" s="15" t="n"/>
      <c r="H180" s="18">
        <f>IF($A180="","",$E180*fam_yakitBirimFiyat)</f>
        <v/>
      </c>
      <c r="I180" s="18">
        <f>IF($A180="","",$D180*IFERROR(SUMIF(tblVarliklar[VarlikId],$B180,tblVarliklar[AmortismanTlKm]),fam_amortismanTlKm))</f>
        <v/>
      </c>
      <c r="J180" s="18">
        <f>IF($A180="","",IFERROR(SUMIF(tblVarliklar[VarlikId],$B180,tblVarliklar[SigortaYillikTl]),fam_sigortaYillik)/365*fam_sigortaGunPay)</f>
        <v/>
      </c>
      <c r="K180" s="18">
        <f>IF($A180="","",$H180+$F180+$I180+$J180)</f>
        <v/>
      </c>
      <c r="L180" s="18">
        <f>IF(OR($A180="",$D180=0),"",$K180/$D180)</f>
        <v/>
      </c>
      <c r="M180" s="18">
        <f>IF($A180="","",MAX(0,MIN(100,fam_kaliteTaban-IF($L180&gt;fam_esikKmBasi,fam_kaliteCeza,0)-IF($F180&gt;fam_esikBakimTl,fam_kaliteSapma,0)-IF($P180="YETIM",fam_kaliteCeza,0))))</f>
        <v/>
      </c>
      <c r="N180" s="18">
        <f>IF($A180="","",IF(OR($L180&gt;fam_esikKmBasi,$F180&gt;fam_esikBakimTl,$M180&lt;fam_esikSaglik),"ALARM","UYGUN"))</f>
        <v/>
      </c>
      <c r="O180" s="18">
        <f>IF($A180="","",1)</f>
        <v/>
      </c>
      <c r="P180" s="18">
        <f>IF($A180="","",IF(OR($B180="",COUNTIF(tblVarliklar[VarlikId],$B180)=0),"YETIM","TAMAM"))</f>
        <v/>
      </c>
    </row>
    <row r="181">
      <c r="A181" s="15" t="n"/>
      <c r="B181" s="15" t="n"/>
      <c r="C181" s="60" t="n"/>
      <c r="D181" s="20" t="n"/>
      <c r="E181" s="16" t="n"/>
      <c r="F181" s="17" t="n"/>
      <c r="G181" s="15" t="n"/>
      <c r="H181" s="18">
        <f>IF($A181="","",$E181*fam_yakitBirimFiyat)</f>
        <v/>
      </c>
      <c r="I181" s="18">
        <f>IF($A181="","",$D181*IFERROR(SUMIF(tblVarliklar[VarlikId],$B181,tblVarliklar[AmortismanTlKm]),fam_amortismanTlKm))</f>
        <v/>
      </c>
      <c r="J181" s="18">
        <f>IF($A181="","",IFERROR(SUMIF(tblVarliklar[VarlikId],$B181,tblVarliklar[SigortaYillikTl]),fam_sigortaYillik)/365*fam_sigortaGunPay)</f>
        <v/>
      </c>
      <c r="K181" s="18">
        <f>IF($A181="","",$H181+$F181+$I181+$J181)</f>
        <v/>
      </c>
      <c r="L181" s="18">
        <f>IF(OR($A181="",$D181=0),"",$K181/$D181)</f>
        <v/>
      </c>
      <c r="M181" s="18">
        <f>IF($A181="","",MAX(0,MIN(100,fam_kaliteTaban-IF($L181&gt;fam_esikKmBasi,fam_kaliteCeza,0)-IF($F181&gt;fam_esikBakimTl,fam_kaliteSapma,0)-IF($P181="YETIM",fam_kaliteCeza,0))))</f>
        <v/>
      </c>
      <c r="N181" s="18">
        <f>IF($A181="","",IF(OR($L181&gt;fam_esikKmBasi,$F181&gt;fam_esikBakimTl,$M181&lt;fam_esikSaglik),"ALARM","UYGUN"))</f>
        <v/>
      </c>
      <c r="O181" s="18">
        <f>IF($A181="","",1)</f>
        <v/>
      </c>
      <c r="P181" s="18">
        <f>IF($A181="","",IF(OR($B181="",COUNTIF(tblVarliklar[VarlikId],$B181)=0),"YETIM","TAMAM"))</f>
        <v/>
      </c>
    </row>
    <row r="182">
      <c r="A182" s="15" t="n"/>
      <c r="B182" s="15" t="n"/>
      <c r="C182" s="60" t="n"/>
      <c r="D182" s="20" t="n"/>
      <c r="E182" s="16" t="n"/>
      <c r="F182" s="17" t="n"/>
      <c r="G182" s="15" t="n"/>
      <c r="H182" s="18">
        <f>IF($A182="","",$E182*fam_yakitBirimFiyat)</f>
        <v/>
      </c>
      <c r="I182" s="18">
        <f>IF($A182="","",$D182*IFERROR(SUMIF(tblVarliklar[VarlikId],$B182,tblVarliklar[AmortismanTlKm]),fam_amortismanTlKm))</f>
        <v/>
      </c>
      <c r="J182" s="18">
        <f>IF($A182="","",IFERROR(SUMIF(tblVarliklar[VarlikId],$B182,tblVarliklar[SigortaYillikTl]),fam_sigortaYillik)/365*fam_sigortaGunPay)</f>
        <v/>
      </c>
      <c r="K182" s="18">
        <f>IF($A182="","",$H182+$F182+$I182+$J182)</f>
        <v/>
      </c>
      <c r="L182" s="18">
        <f>IF(OR($A182="",$D182=0),"",$K182/$D182)</f>
        <v/>
      </c>
      <c r="M182" s="18">
        <f>IF($A182="","",MAX(0,MIN(100,fam_kaliteTaban-IF($L182&gt;fam_esikKmBasi,fam_kaliteCeza,0)-IF($F182&gt;fam_esikBakimTl,fam_kaliteSapma,0)-IF($P182="YETIM",fam_kaliteCeza,0))))</f>
        <v/>
      </c>
      <c r="N182" s="18">
        <f>IF($A182="","",IF(OR($L182&gt;fam_esikKmBasi,$F182&gt;fam_esikBakimTl,$M182&lt;fam_esikSaglik),"ALARM","UYGUN"))</f>
        <v/>
      </c>
      <c r="O182" s="18">
        <f>IF($A182="","",1)</f>
        <v/>
      </c>
      <c r="P182" s="18">
        <f>IF($A182="","",IF(OR($B182="",COUNTIF(tblVarliklar[VarlikId],$B182)=0),"YETIM","TAMAM"))</f>
        <v/>
      </c>
    </row>
    <row r="183">
      <c r="A183" s="15" t="n"/>
      <c r="B183" s="15" t="n"/>
      <c r="C183" s="60" t="n"/>
      <c r="D183" s="20" t="n"/>
      <c r="E183" s="16" t="n"/>
      <c r="F183" s="17" t="n"/>
      <c r="G183" s="15" t="n"/>
      <c r="H183" s="18">
        <f>IF($A183="","",$E183*fam_yakitBirimFiyat)</f>
        <v/>
      </c>
      <c r="I183" s="18">
        <f>IF($A183="","",$D183*IFERROR(SUMIF(tblVarliklar[VarlikId],$B183,tblVarliklar[AmortismanTlKm]),fam_amortismanTlKm))</f>
        <v/>
      </c>
      <c r="J183" s="18">
        <f>IF($A183="","",IFERROR(SUMIF(tblVarliklar[VarlikId],$B183,tblVarliklar[SigortaYillikTl]),fam_sigortaYillik)/365*fam_sigortaGunPay)</f>
        <v/>
      </c>
      <c r="K183" s="18">
        <f>IF($A183="","",$H183+$F183+$I183+$J183)</f>
        <v/>
      </c>
      <c r="L183" s="18">
        <f>IF(OR($A183="",$D183=0),"",$K183/$D183)</f>
        <v/>
      </c>
      <c r="M183" s="18">
        <f>IF($A183="","",MAX(0,MIN(100,fam_kaliteTaban-IF($L183&gt;fam_esikKmBasi,fam_kaliteCeza,0)-IF($F183&gt;fam_esikBakimTl,fam_kaliteSapma,0)-IF($P183="YETIM",fam_kaliteCeza,0))))</f>
        <v/>
      </c>
      <c r="N183" s="18">
        <f>IF($A183="","",IF(OR($L183&gt;fam_esikKmBasi,$F183&gt;fam_esikBakimTl,$M183&lt;fam_esikSaglik),"ALARM","UYGUN"))</f>
        <v/>
      </c>
      <c r="O183" s="18">
        <f>IF($A183="","",1)</f>
        <v/>
      </c>
      <c r="P183" s="18">
        <f>IF($A183="","",IF(OR($B183="",COUNTIF(tblVarliklar[VarlikId],$B183)=0),"YETIM","TAMAM"))</f>
        <v/>
      </c>
    </row>
    <row r="184">
      <c r="A184" s="15" t="n"/>
      <c r="B184" s="15" t="n"/>
      <c r="C184" s="60" t="n"/>
      <c r="D184" s="20" t="n"/>
      <c r="E184" s="16" t="n"/>
      <c r="F184" s="17" t="n"/>
      <c r="G184" s="15" t="n"/>
      <c r="H184" s="18">
        <f>IF($A184="","",$E184*fam_yakitBirimFiyat)</f>
        <v/>
      </c>
      <c r="I184" s="18">
        <f>IF($A184="","",$D184*IFERROR(SUMIF(tblVarliklar[VarlikId],$B184,tblVarliklar[AmortismanTlKm]),fam_amortismanTlKm))</f>
        <v/>
      </c>
      <c r="J184" s="18">
        <f>IF($A184="","",IFERROR(SUMIF(tblVarliklar[VarlikId],$B184,tblVarliklar[SigortaYillikTl]),fam_sigortaYillik)/365*fam_sigortaGunPay)</f>
        <v/>
      </c>
      <c r="K184" s="18">
        <f>IF($A184="","",$H184+$F184+$I184+$J184)</f>
        <v/>
      </c>
      <c r="L184" s="18">
        <f>IF(OR($A184="",$D184=0),"",$K184/$D184)</f>
        <v/>
      </c>
      <c r="M184" s="18">
        <f>IF($A184="","",MAX(0,MIN(100,fam_kaliteTaban-IF($L184&gt;fam_esikKmBasi,fam_kaliteCeza,0)-IF($F184&gt;fam_esikBakimTl,fam_kaliteSapma,0)-IF($P184="YETIM",fam_kaliteCeza,0))))</f>
        <v/>
      </c>
      <c r="N184" s="18">
        <f>IF($A184="","",IF(OR($L184&gt;fam_esikKmBasi,$F184&gt;fam_esikBakimTl,$M184&lt;fam_esikSaglik),"ALARM","UYGUN"))</f>
        <v/>
      </c>
      <c r="O184" s="18">
        <f>IF($A184="","",1)</f>
        <v/>
      </c>
      <c r="P184" s="18">
        <f>IF($A184="","",IF(OR($B184="",COUNTIF(tblVarliklar[VarlikId],$B184)=0),"YETIM","TAMAM"))</f>
        <v/>
      </c>
    </row>
    <row r="185">
      <c r="A185" s="15" t="n"/>
      <c r="B185" s="15" t="n"/>
      <c r="C185" s="60" t="n"/>
      <c r="D185" s="20" t="n"/>
      <c r="E185" s="16" t="n"/>
      <c r="F185" s="17" t="n"/>
      <c r="G185" s="15" t="n"/>
      <c r="H185" s="18">
        <f>IF($A185="","",$E185*fam_yakitBirimFiyat)</f>
        <v/>
      </c>
      <c r="I185" s="18">
        <f>IF($A185="","",$D185*IFERROR(SUMIF(tblVarliklar[VarlikId],$B185,tblVarliklar[AmortismanTlKm]),fam_amortismanTlKm))</f>
        <v/>
      </c>
      <c r="J185" s="18">
        <f>IF($A185="","",IFERROR(SUMIF(tblVarliklar[VarlikId],$B185,tblVarliklar[SigortaYillikTl]),fam_sigortaYillik)/365*fam_sigortaGunPay)</f>
        <v/>
      </c>
      <c r="K185" s="18">
        <f>IF($A185="","",$H185+$F185+$I185+$J185)</f>
        <v/>
      </c>
      <c r="L185" s="18">
        <f>IF(OR($A185="",$D185=0),"",$K185/$D185)</f>
        <v/>
      </c>
      <c r="M185" s="18">
        <f>IF($A185="","",MAX(0,MIN(100,fam_kaliteTaban-IF($L185&gt;fam_esikKmBasi,fam_kaliteCeza,0)-IF($F185&gt;fam_esikBakimTl,fam_kaliteSapma,0)-IF($P185="YETIM",fam_kaliteCeza,0))))</f>
        <v/>
      </c>
      <c r="N185" s="18">
        <f>IF($A185="","",IF(OR($L185&gt;fam_esikKmBasi,$F185&gt;fam_esikBakimTl,$M185&lt;fam_esikSaglik),"ALARM","UYGUN"))</f>
        <v/>
      </c>
      <c r="O185" s="18">
        <f>IF($A185="","",1)</f>
        <v/>
      </c>
      <c r="P185" s="18">
        <f>IF($A185="","",IF(OR($B185="",COUNTIF(tblVarliklar[VarlikId],$B185)=0),"YETIM","TAMAM"))</f>
        <v/>
      </c>
    </row>
    <row r="186">
      <c r="A186" s="15" t="n"/>
      <c r="B186" s="15" t="n"/>
      <c r="C186" s="60" t="n"/>
      <c r="D186" s="20" t="n"/>
      <c r="E186" s="16" t="n"/>
      <c r="F186" s="17" t="n"/>
      <c r="G186" s="15" t="n"/>
      <c r="H186" s="18">
        <f>IF($A186="","",$E186*fam_yakitBirimFiyat)</f>
        <v/>
      </c>
      <c r="I186" s="18">
        <f>IF($A186="","",$D186*IFERROR(SUMIF(tblVarliklar[VarlikId],$B186,tblVarliklar[AmortismanTlKm]),fam_amortismanTlKm))</f>
        <v/>
      </c>
      <c r="J186" s="18">
        <f>IF($A186="","",IFERROR(SUMIF(tblVarliklar[VarlikId],$B186,tblVarliklar[SigortaYillikTl]),fam_sigortaYillik)/365*fam_sigortaGunPay)</f>
        <v/>
      </c>
      <c r="K186" s="18">
        <f>IF($A186="","",$H186+$F186+$I186+$J186)</f>
        <v/>
      </c>
      <c r="L186" s="18">
        <f>IF(OR($A186="",$D186=0),"",$K186/$D186)</f>
        <v/>
      </c>
      <c r="M186" s="18">
        <f>IF($A186="","",MAX(0,MIN(100,fam_kaliteTaban-IF($L186&gt;fam_esikKmBasi,fam_kaliteCeza,0)-IF($F186&gt;fam_esikBakimTl,fam_kaliteSapma,0)-IF($P186="YETIM",fam_kaliteCeza,0))))</f>
        <v/>
      </c>
      <c r="N186" s="18">
        <f>IF($A186="","",IF(OR($L186&gt;fam_esikKmBasi,$F186&gt;fam_esikBakimTl,$M186&lt;fam_esikSaglik),"ALARM","UYGUN"))</f>
        <v/>
      </c>
      <c r="O186" s="18">
        <f>IF($A186="","",1)</f>
        <v/>
      </c>
      <c r="P186" s="18">
        <f>IF($A186="","",IF(OR($B186="",COUNTIF(tblVarliklar[VarlikId],$B186)=0),"YETIM","TAMAM"))</f>
        <v/>
      </c>
    </row>
    <row r="187">
      <c r="A187" s="15" t="n"/>
      <c r="B187" s="15" t="n"/>
      <c r="C187" s="60" t="n"/>
      <c r="D187" s="20" t="n"/>
      <c r="E187" s="16" t="n"/>
      <c r="F187" s="17" t="n"/>
      <c r="G187" s="15" t="n"/>
      <c r="H187" s="18">
        <f>IF($A187="","",$E187*fam_yakitBirimFiyat)</f>
        <v/>
      </c>
      <c r="I187" s="18">
        <f>IF($A187="","",$D187*IFERROR(SUMIF(tblVarliklar[VarlikId],$B187,tblVarliklar[AmortismanTlKm]),fam_amortismanTlKm))</f>
        <v/>
      </c>
      <c r="J187" s="18">
        <f>IF($A187="","",IFERROR(SUMIF(tblVarliklar[VarlikId],$B187,tblVarliklar[SigortaYillikTl]),fam_sigortaYillik)/365*fam_sigortaGunPay)</f>
        <v/>
      </c>
      <c r="K187" s="18">
        <f>IF($A187="","",$H187+$F187+$I187+$J187)</f>
        <v/>
      </c>
      <c r="L187" s="18">
        <f>IF(OR($A187="",$D187=0),"",$K187/$D187)</f>
        <v/>
      </c>
      <c r="M187" s="18">
        <f>IF($A187="","",MAX(0,MIN(100,fam_kaliteTaban-IF($L187&gt;fam_esikKmBasi,fam_kaliteCeza,0)-IF($F187&gt;fam_esikBakimTl,fam_kaliteSapma,0)-IF($P187="YETIM",fam_kaliteCeza,0))))</f>
        <v/>
      </c>
      <c r="N187" s="18">
        <f>IF($A187="","",IF(OR($L187&gt;fam_esikKmBasi,$F187&gt;fam_esikBakimTl,$M187&lt;fam_esikSaglik),"ALARM","UYGUN"))</f>
        <v/>
      </c>
      <c r="O187" s="18">
        <f>IF($A187="","",1)</f>
        <v/>
      </c>
      <c r="P187" s="18">
        <f>IF($A187="","",IF(OR($B187="",COUNTIF(tblVarliklar[VarlikId],$B187)=0),"YETIM","TAMAM"))</f>
        <v/>
      </c>
    </row>
    <row r="188">
      <c r="A188" s="15" t="n"/>
      <c r="B188" s="15" t="n"/>
      <c r="C188" s="60" t="n"/>
      <c r="D188" s="20" t="n"/>
      <c r="E188" s="16" t="n"/>
      <c r="F188" s="17" t="n"/>
      <c r="G188" s="15" t="n"/>
      <c r="H188" s="18">
        <f>IF($A188="","",$E188*fam_yakitBirimFiyat)</f>
        <v/>
      </c>
      <c r="I188" s="18">
        <f>IF($A188="","",$D188*IFERROR(SUMIF(tblVarliklar[VarlikId],$B188,tblVarliklar[AmortismanTlKm]),fam_amortismanTlKm))</f>
        <v/>
      </c>
      <c r="J188" s="18">
        <f>IF($A188="","",IFERROR(SUMIF(tblVarliklar[VarlikId],$B188,tblVarliklar[SigortaYillikTl]),fam_sigortaYillik)/365*fam_sigortaGunPay)</f>
        <v/>
      </c>
      <c r="K188" s="18">
        <f>IF($A188="","",$H188+$F188+$I188+$J188)</f>
        <v/>
      </c>
      <c r="L188" s="18">
        <f>IF(OR($A188="",$D188=0),"",$K188/$D188)</f>
        <v/>
      </c>
      <c r="M188" s="18">
        <f>IF($A188="","",MAX(0,MIN(100,fam_kaliteTaban-IF($L188&gt;fam_esikKmBasi,fam_kaliteCeza,0)-IF($F188&gt;fam_esikBakimTl,fam_kaliteSapma,0)-IF($P188="YETIM",fam_kaliteCeza,0))))</f>
        <v/>
      </c>
      <c r="N188" s="18">
        <f>IF($A188="","",IF(OR($L188&gt;fam_esikKmBasi,$F188&gt;fam_esikBakimTl,$M188&lt;fam_esikSaglik),"ALARM","UYGUN"))</f>
        <v/>
      </c>
      <c r="O188" s="18">
        <f>IF($A188="","",1)</f>
        <v/>
      </c>
      <c r="P188" s="18">
        <f>IF($A188="","",IF(OR($B188="",COUNTIF(tblVarliklar[VarlikId],$B188)=0),"YETIM","TAMAM"))</f>
        <v/>
      </c>
    </row>
    <row r="189">
      <c r="A189" s="15" t="n"/>
      <c r="B189" s="15" t="n"/>
      <c r="C189" s="60" t="n"/>
      <c r="D189" s="20" t="n"/>
      <c r="E189" s="16" t="n"/>
      <c r="F189" s="17" t="n"/>
      <c r="G189" s="15" t="n"/>
      <c r="H189" s="18">
        <f>IF($A189="","",$E189*fam_yakitBirimFiyat)</f>
        <v/>
      </c>
      <c r="I189" s="18">
        <f>IF($A189="","",$D189*IFERROR(SUMIF(tblVarliklar[VarlikId],$B189,tblVarliklar[AmortismanTlKm]),fam_amortismanTlKm))</f>
        <v/>
      </c>
      <c r="J189" s="18">
        <f>IF($A189="","",IFERROR(SUMIF(tblVarliklar[VarlikId],$B189,tblVarliklar[SigortaYillikTl]),fam_sigortaYillik)/365*fam_sigortaGunPay)</f>
        <v/>
      </c>
      <c r="K189" s="18">
        <f>IF($A189="","",$H189+$F189+$I189+$J189)</f>
        <v/>
      </c>
      <c r="L189" s="18">
        <f>IF(OR($A189="",$D189=0),"",$K189/$D189)</f>
        <v/>
      </c>
      <c r="M189" s="18">
        <f>IF($A189="","",MAX(0,MIN(100,fam_kaliteTaban-IF($L189&gt;fam_esikKmBasi,fam_kaliteCeza,0)-IF($F189&gt;fam_esikBakimTl,fam_kaliteSapma,0)-IF($P189="YETIM",fam_kaliteCeza,0))))</f>
        <v/>
      </c>
      <c r="N189" s="18">
        <f>IF($A189="","",IF(OR($L189&gt;fam_esikKmBasi,$F189&gt;fam_esikBakimTl,$M189&lt;fam_esikSaglik),"ALARM","UYGUN"))</f>
        <v/>
      </c>
      <c r="O189" s="18">
        <f>IF($A189="","",1)</f>
        <v/>
      </c>
      <c r="P189" s="18">
        <f>IF($A189="","",IF(OR($B189="",COUNTIF(tblVarliklar[VarlikId],$B189)=0),"YETIM","TAMAM"))</f>
        <v/>
      </c>
    </row>
    <row r="190">
      <c r="A190" s="15" t="n"/>
      <c r="B190" s="15" t="n"/>
      <c r="C190" s="60" t="n"/>
      <c r="D190" s="20" t="n"/>
      <c r="E190" s="16" t="n"/>
      <c r="F190" s="17" t="n"/>
      <c r="G190" s="15" t="n"/>
      <c r="H190" s="18">
        <f>IF($A190="","",$E190*fam_yakitBirimFiyat)</f>
        <v/>
      </c>
      <c r="I190" s="18">
        <f>IF($A190="","",$D190*IFERROR(SUMIF(tblVarliklar[VarlikId],$B190,tblVarliklar[AmortismanTlKm]),fam_amortismanTlKm))</f>
        <v/>
      </c>
      <c r="J190" s="18">
        <f>IF($A190="","",IFERROR(SUMIF(tblVarliklar[VarlikId],$B190,tblVarliklar[SigortaYillikTl]),fam_sigortaYillik)/365*fam_sigortaGunPay)</f>
        <v/>
      </c>
      <c r="K190" s="18">
        <f>IF($A190="","",$H190+$F190+$I190+$J190)</f>
        <v/>
      </c>
      <c r="L190" s="18">
        <f>IF(OR($A190="",$D190=0),"",$K190/$D190)</f>
        <v/>
      </c>
      <c r="M190" s="18">
        <f>IF($A190="","",MAX(0,MIN(100,fam_kaliteTaban-IF($L190&gt;fam_esikKmBasi,fam_kaliteCeza,0)-IF($F190&gt;fam_esikBakimTl,fam_kaliteSapma,0)-IF($P190="YETIM",fam_kaliteCeza,0))))</f>
        <v/>
      </c>
      <c r="N190" s="18">
        <f>IF($A190="","",IF(OR($L190&gt;fam_esikKmBasi,$F190&gt;fam_esikBakimTl,$M190&lt;fam_esikSaglik),"ALARM","UYGUN"))</f>
        <v/>
      </c>
      <c r="O190" s="18">
        <f>IF($A190="","",1)</f>
        <v/>
      </c>
      <c r="P190" s="18">
        <f>IF($A190="","",IF(OR($B190="",COUNTIF(tblVarliklar[VarlikId],$B190)=0),"YETIM","TAMAM"))</f>
        <v/>
      </c>
    </row>
    <row r="191">
      <c r="A191" s="15" t="n"/>
      <c r="B191" s="15" t="n"/>
      <c r="C191" s="60" t="n"/>
      <c r="D191" s="20" t="n"/>
      <c r="E191" s="16" t="n"/>
      <c r="F191" s="17" t="n"/>
      <c r="G191" s="15" t="n"/>
      <c r="H191" s="18">
        <f>IF($A191="","",$E191*fam_yakitBirimFiyat)</f>
        <v/>
      </c>
      <c r="I191" s="18">
        <f>IF($A191="","",$D191*IFERROR(SUMIF(tblVarliklar[VarlikId],$B191,tblVarliklar[AmortismanTlKm]),fam_amortismanTlKm))</f>
        <v/>
      </c>
      <c r="J191" s="18">
        <f>IF($A191="","",IFERROR(SUMIF(tblVarliklar[VarlikId],$B191,tblVarliklar[SigortaYillikTl]),fam_sigortaYillik)/365*fam_sigortaGunPay)</f>
        <v/>
      </c>
      <c r="K191" s="18">
        <f>IF($A191="","",$H191+$F191+$I191+$J191)</f>
        <v/>
      </c>
      <c r="L191" s="18">
        <f>IF(OR($A191="",$D191=0),"",$K191/$D191)</f>
        <v/>
      </c>
      <c r="M191" s="18">
        <f>IF($A191="","",MAX(0,MIN(100,fam_kaliteTaban-IF($L191&gt;fam_esikKmBasi,fam_kaliteCeza,0)-IF($F191&gt;fam_esikBakimTl,fam_kaliteSapma,0)-IF($P191="YETIM",fam_kaliteCeza,0))))</f>
        <v/>
      </c>
      <c r="N191" s="18">
        <f>IF($A191="","",IF(OR($L191&gt;fam_esikKmBasi,$F191&gt;fam_esikBakimTl,$M191&lt;fam_esikSaglik),"ALARM","UYGUN"))</f>
        <v/>
      </c>
      <c r="O191" s="18">
        <f>IF($A191="","",1)</f>
        <v/>
      </c>
      <c r="P191" s="18">
        <f>IF($A191="","",IF(OR($B191="",COUNTIF(tblVarliklar[VarlikId],$B191)=0),"YETIM","TAMAM"))</f>
        <v/>
      </c>
    </row>
    <row r="192">
      <c r="A192" s="15" t="n"/>
      <c r="B192" s="15" t="n"/>
      <c r="C192" s="60" t="n"/>
      <c r="D192" s="20" t="n"/>
      <c r="E192" s="16" t="n"/>
      <c r="F192" s="17" t="n"/>
      <c r="G192" s="15" t="n"/>
      <c r="H192" s="18">
        <f>IF($A192="","",$E192*fam_yakitBirimFiyat)</f>
        <v/>
      </c>
      <c r="I192" s="18">
        <f>IF($A192="","",$D192*IFERROR(SUMIF(tblVarliklar[VarlikId],$B192,tblVarliklar[AmortismanTlKm]),fam_amortismanTlKm))</f>
        <v/>
      </c>
      <c r="J192" s="18">
        <f>IF($A192="","",IFERROR(SUMIF(tblVarliklar[VarlikId],$B192,tblVarliklar[SigortaYillikTl]),fam_sigortaYillik)/365*fam_sigortaGunPay)</f>
        <v/>
      </c>
      <c r="K192" s="18">
        <f>IF($A192="","",$H192+$F192+$I192+$J192)</f>
        <v/>
      </c>
      <c r="L192" s="18">
        <f>IF(OR($A192="",$D192=0),"",$K192/$D192)</f>
        <v/>
      </c>
      <c r="M192" s="18">
        <f>IF($A192="","",MAX(0,MIN(100,fam_kaliteTaban-IF($L192&gt;fam_esikKmBasi,fam_kaliteCeza,0)-IF($F192&gt;fam_esikBakimTl,fam_kaliteSapma,0)-IF($P192="YETIM",fam_kaliteCeza,0))))</f>
        <v/>
      </c>
      <c r="N192" s="18">
        <f>IF($A192="","",IF(OR($L192&gt;fam_esikKmBasi,$F192&gt;fam_esikBakimTl,$M192&lt;fam_esikSaglik),"ALARM","UYGUN"))</f>
        <v/>
      </c>
      <c r="O192" s="18">
        <f>IF($A192="","",1)</f>
        <v/>
      </c>
      <c r="P192" s="18">
        <f>IF($A192="","",IF(OR($B192="",COUNTIF(tblVarliklar[VarlikId],$B192)=0),"YETIM","TAMAM"))</f>
        <v/>
      </c>
    </row>
    <row r="193">
      <c r="A193" s="15" t="n"/>
      <c r="B193" s="15" t="n"/>
      <c r="C193" s="60" t="n"/>
      <c r="D193" s="20" t="n"/>
      <c r="E193" s="16" t="n"/>
      <c r="F193" s="17" t="n"/>
      <c r="G193" s="15" t="n"/>
      <c r="H193" s="18">
        <f>IF($A193="","",$E193*fam_yakitBirimFiyat)</f>
        <v/>
      </c>
      <c r="I193" s="18">
        <f>IF($A193="","",$D193*IFERROR(SUMIF(tblVarliklar[VarlikId],$B193,tblVarliklar[AmortismanTlKm]),fam_amortismanTlKm))</f>
        <v/>
      </c>
      <c r="J193" s="18">
        <f>IF($A193="","",IFERROR(SUMIF(tblVarliklar[VarlikId],$B193,tblVarliklar[SigortaYillikTl]),fam_sigortaYillik)/365*fam_sigortaGunPay)</f>
        <v/>
      </c>
      <c r="K193" s="18">
        <f>IF($A193="","",$H193+$F193+$I193+$J193)</f>
        <v/>
      </c>
      <c r="L193" s="18">
        <f>IF(OR($A193="",$D193=0),"",$K193/$D193)</f>
        <v/>
      </c>
      <c r="M193" s="18">
        <f>IF($A193="","",MAX(0,MIN(100,fam_kaliteTaban-IF($L193&gt;fam_esikKmBasi,fam_kaliteCeza,0)-IF($F193&gt;fam_esikBakimTl,fam_kaliteSapma,0)-IF($P193="YETIM",fam_kaliteCeza,0))))</f>
        <v/>
      </c>
      <c r="N193" s="18">
        <f>IF($A193="","",IF(OR($L193&gt;fam_esikKmBasi,$F193&gt;fam_esikBakimTl,$M193&lt;fam_esikSaglik),"ALARM","UYGUN"))</f>
        <v/>
      </c>
      <c r="O193" s="18">
        <f>IF($A193="","",1)</f>
        <v/>
      </c>
      <c r="P193" s="18">
        <f>IF($A193="","",IF(OR($B193="",COUNTIF(tblVarliklar[VarlikId],$B193)=0),"YETIM","TAMAM"))</f>
        <v/>
      </c>
    </row>
    <row r="194">
      <c r="A194" s="15" t="n"/>
      <c r="B194" s="15" t="n"/>
      <c r="C194" s="60" t="n"/>
      <c r="D194" s="20" t="n"/>
      <c r="E194" s="16" t="n"/>
      <c r="F194" s="17" t="n"/>
      <c r="G194" s="15" t="n"/>
      <c r="H194" s="18">
        <f>IF($A194="","",$E194*fam_yakitBirimFiyat)</f>
        <v/>
      </c>
      <c r="I194" s="18">
        <f>IF($A194="","",$D194*IFERROR(SUMIF(tblVarliklar[VarlikId],$B194,tblVarliklar[AmortismanTlKm]),fam_amortismanTlKm))</f>
        <v/>
      </c>
      <c r="J194" s="18">
        <f>IF($A194="","",IFERROR(SUMIF(tblVarliklar[VarlikId],$B194,tblVarliklar[SigortaYillikTl]),fam_sigortaYillik)/365*fam_sigortaGunPay)</f>
        <v/>
      </c>
      <c r="K194" s="18">
        <f>IF($A194="","",$H194+$F194+$I194+$J194)</f>
        <v/>
      </c>
      <c r="L194" s="18">
        <f>IF(OR($A194="",$D194=0),"",$K194/$D194)</f>
        <v/>
      </c>
      <c r="M194" s="18">
        <f>IF($A194="","",MAX(0,MIN(100,fam_kaliteTaban-IF($L194&gt;fam_esikKmBasi,fam_kaliteCeza,0)-IF($F194&gt;fam_esikBakimTl,fam_kaliteSapma,0)-IF($P194="YETIM",fam_kaliteCeza,0))))</f>
        <v/>
      </c>
      <c r="N194" s="18">
        <f>IF($A194="","",IF(OR($L194&gt;fam_esikKmBasi,$F194&gt;fam_esikBakimTl,$M194&lt;fam_esikSaglik),"ALARM","UYGUN"))</f>
        <v/>
      </c>
      <c r="O194" s="18">
        <f>IF($A194="","",1)</f>
        <v/>
      </c>
      <c r="P194" s="18">
        <f>IF($A194="","",IF(OR($B194="",COUNTIF(tblVarliklar[VarlikId],$B194)=0),"YETIM","TAMAM"))</f>
        <v/>
      </c>
    </row>
    <row r="195">
      <c r="A195" s="15" t="n"/>
      <c r="B195" s="15" t="n"/>
      <c r="C195" s="60" t="n"/>
      <c r="D195" s="20" t="n"/>
      <c r="E195" s="16" t="n"/>
      <c r="F195" s="17" t="n"/>
      <c r="G195" s="15" t="n"/>
      <c r="H195" s="18">
        <f>IF($A195="","",$E195*fam_yakitBirimFiyat)</f>
        <v/>
      </c>
      <c r="I195" s="18">
        <f>IF($A195="","",$D195*IFERROR(SUMIF(tblVarliklar[VarlikId],$B195,tblVarliklar[AmortismanTlKm]),fam_amortismanTlKm))</f>
        <v/>
      </c>
      <c r="J195" s="18">
        <f>IF($A195="","",IFERROR(SUMIF(tblVarliklar[VarlikId],$B195,tblVarliklar[SigortaYillikTl]),fam_sigortaYillik)/365*fam_sigortaGunPay)</f>
        <v/>
      </c>
      <c r="K195" s="18">
        <f>IF($A195="","",$H195+$F195+$I195+$J195)</f>
        <v/>
      </c>
      <c r="L195" s="18">
        <f>IF(OR($A195="",$D195=0),"",$K195/$D195)</f>
        <v/>
      </c>
      <c r="M195" s="18">
        <f>IF($A195="","",MAX(0,MIN(100,fam_kaliteTaban-IF($L195&gt;fam_esikKmBasi,fam_kaliteCeza,0)-IF($F195&gt;fam_esikBakimTl,fam_kaliteSapma,0)-IF($P195="YETIM",fam_kaliteCeza,0))))</f>
        <v/>
      </c>
      <c r="N195" s="18">
        <f>IF($A195="","",IF(OR($L195&gt;fam_esikKmBasi,$F195&gt;fam_esikBakimTl,$M195&lt;fam_esikSaglik),"ALARM","UYGUN"))</f>
        <v/>
      </c>
      <c r="O195" s="18">
        <f>IF($A195="","",1)</f>
        <v/>
      </c>
      <c r="P195" s="18">
        <f>IF($A195="","",IF(OR($B195="",COUNTIF(tblVarliklar[VarlikId],$B195)=0),"YETIM","TAMAM"))</f>
        <v/>
      </c>
    </row>
    <row r="196">
      <c r="A196" s="15" t="n"/>
      <c r="B196" s="15" t="n"/>
      <c r="C196" s="60" t="n"/>
      <c r="D196" s="20" t="n"/>
      <c r="E196" s="16" t="n"/>
      <c r="F196" s="17" t="n"/>
      <c r="G196" s="15" t="n"/>
      <c r="H196" s="18">
        <f>IF($A196="","",$E196*fam_yakitBirimFiyat)</f>
        <v/>
      </c>
      <c r="I196" s="18">
        <f>IF($A196="","",$D196*IFERROR(SUMIF(tblVarliklar[VarlikId],$B196,tblVarliklar[AmortismanTlKm]),fam_amortismanTlKm))</f>
        <v/>
      </c>
      <c r="J196" s="18">
        <f>IF($A196="","",IFERROR(SUMIF(tblVarliklar[VarlikId],$B196,tblVarliklar[SigortaYillikTl]),fam_sigortaYillik)/365*fam_sigortaGunPay)</f>
        <v/>
      </c>
      <c r="K196" s="18">
        <f>IF($A196="","",$H196+$F196+$I196+$J196)</f>
        <v/>
      </c>
      <c r="L196" s="18">
        <f>IF(OR($A196="",$D196=0),"",$K196/$D196)</f>
        <v/>
      </c>
      <c r="M196" s="18">
        <f>IF($A196="","",MAX(0,MIN(100,fam_kaliteTaban-IF($L196&gt;fam_esikKmBasi,fam_kaliteCeza,0)-IF($F196&gt;fam_esikBakimTl,fam_kaliteSapma,0)-IF($P196="YETIM",fam_kaliteCeza,0))))</f>
        <v/>
      </c>
      <c r="N196" s="18">
        <f>IF($A196="","",IF(OR($L196&gt;fam_esikKmBasi,$F196&gt;fam_esikBakimTl,$M196&lt;fam_esikSaglik),"ALARM","UYGUN"))</f>
        <v/>
      </c>
      <c r="O196" s="18">
        <f>IF($A196="","",1)</f>
        <v/>
      </c>
      <c r="P196" s="18">
        <f>IF($A196="","",IF(OR($B196="",COUNTIF(tblVarliklar[VarlikId],$B196)=0),"YETIM","TAMAM"))</f>
        <v/>
      </c>
    </row>
    <row r="197">
      <c r="A197" s="15" t="n"/>
      <c r="B197" s="15" t="n"/>
      <c r="C197" s="60" t="n"/>
      <c r="D197" s="20" t="n"/>
      <c r="E197" s="16" t="n"/>
      <c r="F197" s="17" t="n"/>
      <c r="G197" s="15" t="n"/>
      <c r="H197" s="18">
        <f>IF($A197="","",$E197*fam_yakitBirimFiyat)</f>
        <v/>
      </c>
      <c r="I197" s="18">
        <f>IF($A197="","",$D197*IFERROR(SUMIF(tblVarliklar[VarlikId],$B197,tblVarliklar[AmortismanTlKm]),fam_amortismanTlKm))</f>
        <v/>
      </c>
      <c r="J197" s="18">
        <f>IF($A197="","",IFERROR(SUMIF(tblVarliklar[VarlikId],$B197,tblVarliklar[SigortaYillikTl]),fam_sigortaYillik)/365*fam_sigortaGunPay)</f>
        <v/>
      </c>
      <c r="K197" s="18">
        <f>IF($A197="","",$H197+$F197+$I197+$J197)</f>
        <v/>
      </c>
      <c r="L197" s="18">
        <f>IF(OR($A197="",$D197=0),"",$K197/$D197)</f>
        <v/>
      </c>
      <c r="M197" s="18">
        <f>IF($A197="","",MAX(0,MIN(100,fam_kaliteTaban-IF($L197&gt;fam_esikKmBasi,fam_kaliteCeza,0)-IF($F197&gt;fam_esikBakimTl,fam_kaliteSapma,0)-IF($P197="YETIM",fam_kaliteCeza,0))))</f>
        <v/>
      </c>
      <c r="N197" s="18">
        <f>IF($A197="","",IF(OR($L197&gt;fam_esikKmBasi,$F197&gt;fam_esikBakimTl,$M197&lt;fam_esikSaglik),"ALARM","UYGUN"))</f>
        <v/>
      </c>
      <c r="O197" s="18">
        <f>IF($A197="","",1)</f>
        <v/>
      </c>
      <c r="P197" s="18">
        <f>IF($A197="","",IF(OR($B197="",COUNTIF(tblVarliklar[VarlikId],$B197)=0),"YETIM","TAMAM"))</f>
        <v/>
      </c>
    </row>
    <row r="198">
      <c r="A198" s="15" t="n"/>
      <c r="B198" s="15" t="n"/>
      <c r="C198" s="60" t="n"/>
      <c r="D198" s="20" t="n"/>
      <c r="E198" s="16" t="n"/>
      <c r="F198" s="17" t="n"/>
      <c r="G198" s="15" t="n"/>
      <c r="H198" s="18">
        <f>IF($A198="","",$E198*fam_yakitBirimFiyat)</f>
        <v/>
      </c>
      <c r="I198" s="18">
        <f>IF($A198="","",$D198*IFERROR(SUMIF(tblVarliklar[VarlikId],$B198,tblVarliklar[AmortismanTlKm]),fam_amortismanTlKm))</f>
        <v/>
      </c>
      <c r="J198" s="18">
        <f>IF($A198="","",IFERROR(SUMIF(tblVarliklar[VarlikId],$B198,tblVarliklar[SigortaYillikTl]),fam_sigortaYillik)/365*fam_sigortaGunPay)</f>
        <v/>
      </c>
      <c r="K198" s="18">
        <f>IF($A198="","",$H198+$F198+$I198+$J198)</f>
        <v/>
      </c>
      <c r="L198" s="18">
        <f>IF(OR($A198="",$D198=0),"",$K198/$D198)</f>
        <v/>
      </c>
      <c r="M198" s="18">
        <f>IF($A198="","",MAX(0,MIN(100,fam_kaliteTaban-IF($L198&gt;fam_esikKmBasi,fam_kaliteCeza,0)-IF($F198&gt;fam_esikBakimTl,fam_kaliteSapma,0)-IF($P198="YETIM",fam_kaliteCeza,0))))</f>
        <v/>
      </c>
      <c r="N198" s="18">
        <f>IF($A198="","",IF(OR($L198&gt;fam_esikKmBasi,$F198&gt;fam_esikBakimTl,$M198&lt;fam_esikSaglik),"ALARM","UYGUN"))</f>
        <v/>
      </c>
      <c r="O198" s="18">
        <f>IF($A198="","",1)</f>
        <v/>
      </c>
      <c r="P198" s="18">
        <f>IF($A198="","",IF(OR($B198="",COUNTIF(tblVarliklar[VarlikId],$B198)=0),"YETIM","TAMAM"))</f>
        <v/>
      </c>
    </row>
    <row r="199">
      <c r="A199" s="15" t="n"/>
      <c r="B199" s="15" t="n"/>
      <c r="C199" s="60" t="n"/>
      <c r="D199" s="20" t="n"/>
      <c r="E199" s="16" t="n"/>
      <c r="F199" s="17" t="n"/>
      <c r="G199" s="15" t="n"/>
      <c r="H199" s="18">
        <f>IF($A199="","",$E199*fam_yakitBirimFiyat)</f>
        <v/>
      </c>
      <c r="I199" s="18">
        <f>IF($A199="","",$D199*IFERROR(SUMIF(tblVarliklar[VarlikId],$B199,tblVarliklar[AmortismanTlKm]),fam_amortismanTlKm))</f>
        <v/>
      </c>
      <c r="J199" s="18">
        <f>IF($A199="","",IFERROR(SUMIF(tblVarliklar[VarlikId],$B199,tblVarliklar[SigortaYillikTl]),fam_sigortaYillik)/365*fam_sigortaGunPay)</f>
        <v/>
      </c>
      <c r="K199" s="18">
        <f>IF($A199="","",$H199+$F199+$I199+$J199)</f>
        <v/>
      </c>
      <c r="L199" s="18">
        <f>IF(OR($A199="",$D199=0),"",$K199/$D199)</f>
        <v/>
      </c>
      <c r="M199" s="18">
        <f>IF($A199="","",MAX(0,MIN(100,fam_kaliteTaban-IF($L199&gt;fam_esikKmBasi,fam_kaliteCeza,0)-IF($F199&gt;fam_esikBakimTl,fam_kaliteSapma,0)-IF($P199="YETIM",fam_kaliteCeza,0))))</f>
        <v/>
      </c>
      <c r="N199" s="18">
        <f>IF($A199="","",IF(OR($L199&gt;fam_esikKmBasi,$F199&gt;fam_esikBakimTl,$M199&lt;fam_esikSaglik),"ALARM","UYGUN"))</f>
        <v/>
      </c>
      <c r="O199" s="18">
        <f>IF($A199="","",1)</f>
        <v/>
      </c>
      <c r="P199" s="18">
        <f>IF($A199="","",IF(OR($B199="",COUNTIF(tblVarliklar[VarlikId],$B199)=0),"YETIM","TAMAM"))</f>
        <v/>
      </c>
    </row>
    <row r="200">
      <c r="A200" s="15" t="n"/>
      <c r="B200" s="15" t="n"/>
      <c r="C200" s="60" t="n"/>
      <c r="D200" s="20" t="n"/>
      <c r="E200" s="16" t="n"/>
      <c r="F200" s="17" t="n"/>
      <c r="G200" s="15" t="n"/>
      <c r="H200" s="18">
        <f>IF($A200="","",$E200*fam_yakitBirimFiyat)</f>
        <v/>
      </c>
      <c r="I200" s="18">
        <f>IF($A200="","",$D200*IFERROR(SUMIF(tblVarliklar[VarlikId],$B200,tblVarliklar[AmortismanTlKm]),fam_amortismanTlKm))</f>
        <v/>
      </c>
      <c r="J200" s="18">
        <f>IF($A200="","",IFERROR(SUMIF(tblVarliklar[VarlikId],$B200,tblVarliklar[SigortaYillikTl]),fam_sigortaYillik)/365*fam_sigortaGunPay)</f>
        <v/>
      </c>
      <c r="K200" s="18">
        <f>IF($A200="","",$H200+$F200+$I200+$J200)</f>
        <v/>
      </c>
      <c r="L200" s="18">
        <f>IF(OR($A200="",$D200=0),"",$K200/$D200)</f>
        <v/>
      </c>
      <c r="M200" s="18">
        <f>IF($A200="","",MAX(0,MIN(100,fam_kaliteTaban-IF($L200&gt;fam_esikKmBasi,fam_kaliteCeza,0)-IF($F200&gt;fam_esikBakimTl,fam_kaliteSapma,0)-IF($P200="YETIM",fam_kaliteCeza,0))))</f>
        <v/>
      </c>
      <c r="N200" s="18">
        <f>IF($A200="","",IF(OR($L200&gt;fam_esikKmBasi,$F200&gt;fam_esikBakimTl,$M200&lt;fam_esikSaglik),"ALARM","UYGUN"))</f>
        <v/>
      </c>
      <c r="O200" s="18">
        <f>IF($A200="","",1)</f>
        <v/>
      </c>
      <c r="P200" s="18">
        <f>IF($A200="","",IF(OR($B200="",COUNTIF(tblVarliklar[VarlikId],$B200)=0),"YETIM","TAMAM"))</f>
        <v/>
      </c>
    </row>
    <row r="201">
      <c r="A201" s="15" t="n"/>
      <c r="B201" s="15" t="n"/>
      <c r="C201" s="60" t="n"/>
      <c r="D201" s="20" t="n"/>
      <c r="E201" s="16" t="n"/>
      <c r="F201" s="17" t="n"/>
      <c r="G201" s="15" t="n"/>
      <c r="H201" s="18">
        <f>IF($A201="","",$E201*fam_yakitBirimFiyat)</f>
        <v/>
      </c>
      <c r="I201" s="18">
        <f>IF($A201="","",$D201*IFERROR(SUMIF(tblVarliklar[VarlikId],$B201,tblVarliklar[AmortismanTlKm]),fam_amortismanTlKm))</f>
        <v/>
      </c>
      <c r="J201" s="18">
        <f>IF($A201="","",IFERROR(SUMIF(tblVarliklar[VarlikId],$B201,tblVarliklar[SigortaYillikTl]),fam_sigortaYillik)/365*fam_sigortaGunPay)</f>
        <v/>
      </c>
      <c r="K201" s="18">
        <f>IF($A201="","",$H201+$F201+$I201+$J201)</f>
        <v/>
      </c>
      <c r="L201" s="18">
        <f>IF(OR($A201="",$D201=0),"",$K201/$D201)</f>
        <v/>
      </c>
      <c r="M201" s="18">
        <f>IF($A201="","",MAX(0,MIN(100,fam_kaliteTaban-IF($L201&gt;fam_esikKmBasi,fam_kaliteCeza,0)-IF($F201&gt;fam_esikBakimTl,fam_kaliteSapma,0)-IF($P201="YETIM",fam_kaliteCeza,0))))</f>
        <v/>
      </c>
      <c r="N201" s="18">
        <f>IF($A201="","",IF(OR($L201&gt;fam_esikKmBasi,$F201&gt;fam_esikBakimTl,$M201&lt;fam_esikSaglik),"ALARM","UYGUN"))</f>
        <v/>
      </c>
      <c r="O201" s="18">
        <f>IF($A201="","",1)</f>
        <v/>
      </c>
      <c r="P201" s="18">
        <f>IF($A201="","",IF(OR($B201="",COUNTIF(tblVarliklar[VarlikId],$B201)=0),"YETIM","TAMAM"))</f>
        <v/>
      </c>
    </row>
    <row r="202">
      <c r="A202" s="15" t="n"/>
      <c r="B202" s="15" t="n"/>
      <c r="C202" s="60" t="n"/>
      <c r="D202" s="20" t="n"/>
      <c r="E202" s="16" t="n"/>
      <c r="F202" s="17" t="n"/>
      <c r="G202" s="15" t="n"/>
      <c r="H202" s="18">
        <f>IF($A202="","",$E202*fam_yakitBirimFiyat)</f>
        <v/>
      </c>
      <c r="I202" s="18">
        <f>IF($A202="","",$D202*IFERROR(SUMIF(tblVarliklar[VarlikId],$B202,tblVarliklar[AmortismanTlKm]),fam_amortismanTlKm))</f>
        <v/>
      </c>
      <c r="J202" s="18">
        <f>IF($A202="","",IFERROR(SUMIF(tblVarliklar[VarlikId],$B202,tblVarliklar[SigortaYillikTl]),fam_sigortaYillik)/365*fam_sigortaGunPay)</f>
        <v/>
      </c>
      <c r="K202" s="18">
        <f>IF($A202="","",$H202+$F202+$I202+$J202)</f>
        <v/>
      </c>
      <c r="L202" s="18">
        <f>IF(OR($A202="",$D202=0),"",$K202/$D202)</f>
        <v/>
      </c>
      <c r="M202" s="18">
        <f>IF($A202="","",MAX(0,MIN(100,fam_kaliteTaban-IF($L202&gt;fam_esikKmBasi,fam_kaliteCeza,0)-IF($F202&gt;fam_esikBakimTl,fam_kaliteSapma,0)-IF($P202="YETIM",fam_kaliteCeza,0))))</f>
        <v/>
      </c>
      <c r="N202" s="18">
        <f>IF($A202="","",IF(OR($L202&gt;fam_esikKmBasi,$F202&gt;fam_esikBakimTl,$M202&lt;fam_esikSaglik),"ALARM","UYGUN"))</f>
        <v/>
      </c>
      <c r="O202" s="18">
        <f>IF($A202="","",1)</f>
        <v/>
      </c>
      <c r="P202" s="18">
        <f>IF($A202="","",IF(OR($B202="",COUNTIF(tblVarliklar[VarlikId],$B202)=0),"YETIM","TAMAM"))</f>
        <v/>
      </c>
    </row>
    <row r="203">
      <c r="A203" s="15" t="n"/>
      <c r="B203" s="15" t="n"/>
      <c r="C203" s="60" t="n"/>
      <c r="D203" s="20" t="n"/>
      <c r="E203" s="16" t="n"/>
      <c r="F203" s="17" t="n"/>
      <c r="G203" s="15" t="n"/>
      <c r="H203" s="18">
        <f>IF($A203="","",$E203*fam_yakitBirimFiyat)</f>
        <v/>
      </c>
      <c r="I203" s="18">
        <f>IF($A203="","",$D203*IFERROR(SUMIF(tblVarliklar[VarlikId],$B203,tblVarliklar[AmortismanTlKm]),fam_amortismanTlKm))</f>
        <v/>
      </c>
      <c r="J203" s="18">
        <f>IF($A203="","",IFERROR(SUMIF(tblVarliklar[VarlikId],$B203,tblVarliklar[SigortaYillikTl]),fam_sigortaYillik)/365*fam_sigortaGunPay)</f>
        <v/>
      </c>
      <c r="K203" s="18">
        <f>IF($A203="","",$H203+$F203+$I203+$J203)</f>
        <v/>
      </c>
      <c r="L203" s="18">
        <f>IF(OR($A203="",$D203=0),"",$K203/$D203)</f>
        <v/>
      </c>
      <c r="M203" s="18">
        <f>IF($A203="","",MAX(0,MIN(100,fam_kaliteTaban-IF($L203&gt;fam_esikKmBasi,fam_kaliteCeza,0)-IF($F203&gt;fam_esikBakimTl,fam_kaliteSapma,0)-IF($P203="YETIM",fam_kaliteCeza,0))))</f>
        <v/>
      </c>
      <c r="N203" s="18">
        <f>IF($A203="","",IF(OR($L203&gt;fam_esikKmBasi,$F203&gt;fam_esikBakimTl,$M203&lt;fam_esikSaglik),"ALARM","UYGUN"))</f>
        <v/>
      </c>
      <c r="O203" s="18">
        <f>IF($A203="","",1)</f>
        <v/>
      </c>
      <c r="P203" s="18">
        <f>IF($A203="","",IF(OR($B203="",COUNTIF(tblVarliklar[VarlikId],$B203)=0),"YETIM","TAMAM"))</f>
        <v/>
      </c>
    </row>
    <row r="204">
      <c r="A204" s="15" t="n"/>
      <c r="B204" s="15" t="n"/>
      <c r="C204" s="60" t="n"/>
      <c r="D204" s="20" t="n"/>
      <c r="E204" s="16" t="n"/>
      <c r="F204" s="17" t="n"/>
      <c r="G204" s="15" t="n"/>
      <c r="H204" s="18">
        <f>IF($A204="","",$E204*fam_yakitBirimFiyat)</f>
        <v/>
      </c>
      <c r="I204" s="18">
        <f>IF($A204="","",$D204*IFERROR(SUMIF(tblVarliklar[VarlikId],$B204,tblVarliklar[AmortismanTlKm]),fam_amortismanTlKm))</f>
        <v/>
      </c>
      <c r="J204" s="18">
        <f>IF($A204="","",IFERROR(SUMIF(tblVarliklar[VarlikId],$B204,tblVarliklar[SigortaYillikTl]),fam_sigortaYillik)/365*fam_sigortaGunPay)</f>
        <v/>
      </c>
      <c r="K204" s="18">
        <f>IF($A204="","",$H204+$F204+$I204+$J204)</f>
        <v/>
      </c>
      <c r="L204" s="18">
        <f>IF(OR($A204="",$D204=0),"",$K204/$D204)</f>
        <v/>
      </c>
      <c r="M204" s="18">
        <f>IF($A204="","",MAX(0,MIN(100,fam_kaliteTaban-IF($L204&gt;fam_esikKmBasi,fam_kaliteCeza,0)-IF($F204&gt;fam_esikBakimTl,fam_kaliteSapma,0)-IF($P204="YETIM",fam_kaliteCeza,0))))</f>
        <v/>
      </c>
      <c r="N204" s="18">
        <f>IF($A204="","",IF(OR($L204&gt;fam_esikKmBasi,$F204&gt;fam_esikBakimTl,$M204&lt;fam_esikSaglik),"ALARM","UYGUN"))</f>
        <v/>
      </c>
      <c r="O204" s="18">
        <f>IF($A204="","",1)</f>
        <v/>
      </c>
      <c r="P204" s="18">
        <f>IF($A204="","",IF(OR($B204="",COUNTIF(tblVarliklar[VarlikId],$B204)=0),"YETIM","TAMAM"))</f>
        <v/>
      </c>
    </row>
    <row r="205">
      <c r="A205" s="15" t="n"/>
      <c r="B205" s="15" t="n"/>
      <c r="C205" s="60" t="n"/>
      <c r="D205" s="20" t="n"/>
      <c r="E205" s="16" t="n"/>
      <c r="F205" s="17" t="n"/>
      <c r="G205" s="15" t="n"/>
      <c r="H205" s="18">
        <f>IF($A205="","",$E205*fam_yakitBirimFiyat)</f>
        <v/>
      </c>
      <c r="I205" s="18">
        <f>IF($A205="","",$D205*IFERROR(SUMIF(tblVarliklar[VarlikId],$B205,tblVarliklar[AmortismanTlKm]),fam_amortismanTlKm))</f>
        <v/>
      </c>
      <c r="J205" s="18">
        <f>IF($A205="","",IFERROR(SUMIF(tblVarliklar[VarlikId],$B205,tblVarliklar[SigortaYillikTl]),fam_sigortaYillik)/365*fam_sigortaGunPay)</f>
        <v/>
      </c>
      <c r="K205" s="18">
        <f>IF($A205="","",$H205+$F205+$I205+$J205)</f>
        <v/>
      </c>
      <c r="L205" s="18">
        <f>IF(OR($A205="",$D205=0),"",$K205/$D205)</f>
        <v/>
      </c>
      <c r="M205" s="18">
        <f>IF($A205="","",MAX(0,MIN(100,fam_kaliteTaban-IF($L205&gt;fam_esikKmBasi,fam_kaliteCeza,0)-IF($F205&gt;fam_esikBakimTl,fam_kaliteSapma,0)-IF($P205="YETIM",fam_kaliteCeza,0))))</f>
        <v/>
      </c>
      <c r="N205" s="18">
        <f>IF($A205="","",IF(OR($L205&gt;fam_esikKmBasi,$F205&gt;fam_esikBakimTl,$M205&lt;fam_esikSaglik),"ALARM","UYGUN"))</f>
        <v/>
      </c>
      <c r="O205" s="18">
        <f>IF($A205="","",1)</f>
        <v/>
      </c>
      <c r="P205" s="18">
        <f>IF($A205="","",IF(OR($B205="",COUNTIF(tblVarliklar[VarlikId],$B205)=0),"YETIM","TAMAM"))</f>
        <v/>
      </c>
    </row>
    <row r="206">
      <c r="A206" s="15" t="n"/>
      <c r="B206" s="15" t="n"/>
      <c r="C206" s="60" t="n"/>
      <c r="D206" s="20" t="n"/>
      <c r="E206" s="16" t="n"/>
      <c r="F206" s="17" t="n"/>
      <c r="G206" s="15" t="n"/>
      <c r="H206" s="18">
        <f>IF($A206="","",$E206*fam_yakitBirimFiyat)</f>
        <v/>
      </c>
      <c r="I206" s="18">
        <f>IF($A206="","",$D206*IFERROR(SUMIF(tblVarliklar[VarlikId],$B206,tblVarliklar[AmortismanTlKm]),fam_amortismanTlKm))</f>
        <v/>
      </c>
      <c r="J206" s="18">
        <f>IF($A206="","",IFERROR(SUMIF(tblVarliklar[VarlikId],$B206,tblVarliklar[SigortaYillikTl]),fam_sigortaYillik)/365*fam_sigortaGunPay)</f>
        <v/>
      </c>
      <c r="K206" s="18">
        <f>IF($A206="","",$H206+$F206+$I206+$J206)</f>
        <v/>
      </c>
      <c r="L206" s="18">
        <f>IF(OR($A206="",$D206=0),"",$K206/$D206)</f>
        <v/>
      </c>
      <c r="M206" s="18">
        <f>IF($A206="","",MAX(0,MIN(100,fam_kaliteTaban-IF($L206&gt;fam_esikKmBasi,fam_kaliteCeza,0)-IF($F206&gt;fam_esikBakimTl,fam_kaliteSapma,0)-IF($P206="YETIM",fam_kaliteCeza,0))))</f>
        <v/>
      </c>
      <c r="N206" s="18">
        <f>IF($A206="","",IF(OR($L206&gt;fam_esikKmBasi,$F206&gt;fam_esikBakimTl,$M206&lt;fam_esikSaglik),"ALARM","UYGUN"))</f>
        <v/>
      </c>
      <c r="O206" s="18">
        <f>IF($A206="","",1)</f>
        <v/>
      </c>
      <c r="P206" s="18">
        <f>IF($A206="","",IF(OR($B206="",COUNTIF(tblVarliklar[VarlikId],$B206)=0),"YETIM","TAMAM"))</f>
        <v/>
      </c>
    </row>
    <row r="207">
      <c r="A207" s="15" t="n"/>
      <c r="B207" s="15" t="n"/>
      <c r="C207" s="60" t="n"/>
      <c r="D207" s="20" t="n"/>
      <c r="E207" s="16" t="n"/>
      <c r="F207" s="17" t="n"/>
      <c r="G207" s="15" t="n"/>
      <c r="H207" s="18">
        <f>IF($A207="","",$E207*fam_yakitBirimFiyat)</f>
        <v/>
      </c>
      <c r="I207" s="18">
        <f>IF($A207="","",$D207*IFERROR(SUMIF(tblVarliklar[VarlikId],$B207,tblVarliklar[AmortismanTlKm]),fam_amortismanTlKm))</f>
        <v/>
      </c>
      <c r="J207" s="18">
        <f>IF($A207="","",IFERROR(SUMIF(tblVarliklar[VarlikId],$B207,tblVarliklar[SigortaYillikTl]),fam_sigortaYillik)/365*fam_sigortaGunPay)</f>
        <v/>
      </c>
      <c r="K207" s="18">
        <f>IF($A207="","",$H207+$F207+$I207+$J207)</f>
        <v/>
      </c>
      <c r="L207" s="18">
        <f>IF(OR($A207="",$D207=0),"",$K207/$D207)</f>
        <v/>
      </c>
      <c r="M207" s="18">
        <f>IF($A207="","",MAX(0,MIN(100,fam_kaliteTaban-IF($L207&gt;fam_esikKmBasi,fam_kaliteCeza,0)-IF($F207&gt;fam_esikBakimTl,fam_kaliteSapma,0)-IF($P207="YETIM",fam_kaliteCeza,0))))</f>
        <v/>
      </c>
      <c r="N207" s="18">
        <f>IF($A207="","",IF(OR($L207&gt;fam_esikKmBasi,$F207&gt;fam_esikBakimTl,$M207&lt;fam_esikSaglik),"ALARM","UYGUN"))</f>
        <v/>
      </c>
      <c r="O207" s="18">
        <f>IF($A207="","",1)</f>
        <v/>
      </c>
      <c r="P207" s="18">
        <f>IF($A207="","",IF(OR($B207="",COUNTIF(tblVarliklar[VarlikId],$B207)=0),"YETIM","TAMAM"))</f>
        <v/>
      </c>
    </row>
    <row r="208">
      <c r="A208" s="15" t="n"/>
      <c r="B208" s="15" t="n"/>
      <c r="C208" s="60" t="n"/>
      <c r="D208" s="20" t="n"/>
      <c r="E208" s="16" t="n"/>
      <c r="F208" s="17" t="n"/>
      <c r="G208" s="15" t="n"/>
      <c r="H208" s="18">
        <f>IF($A208="","",$E208*fam_yakitBirimFiyat)</f>
        <v/>
      </c>
      <c r="I208" s="18">
        <f>IF($A208="","",$D208*IFERROR(SUMIF(tblVarliklar[VarlikId],$B208,tblVarliklar[AmortismanTlKm]),fam_amortismanTlKm))</f>
        <v/>
      </c>
      <c r="J208" s="18">
        <f>IF($A208="","",IFERROR(SUMIF(tblVarliklar[VarlikId],$B208,tblVarliklar[SigortaYillikTl]),fam_sigortaYillik)/365*fam_sigortaGunPay)</f>
        <v/>
      </c>
      <c r="K208" s="18">
        <f>IF($A208="","",$H208+$F208+$I208+$J208)</f>
        <v/>
      </c>
      <c r="L208" s="18">
        <f>IF(OR($A208="",$D208=0),"",$K208/$D208)</f>
        <v/>
      </c>
      <c r="M208" s="18">
        <f>IF($A208="","",MAX(0,MIN(100,fam_kaliteTaban-IF($L208&gt;fam_esikKmBasi,fam_kaliteCeza,0)-IF($F208&gt;fam_esikBakimTl,fam_kaliteSapma,0)-IF($P208="YETIM",fam_kaliteCeza,0))))</f>
        <v/>
      </c>
      <c r="N208" s="18">
        <f>IF($A208="","",IF(OR($L208&gt;fam_esikKmBasi,$F208&gt;fam_esikBakimTl,$M208&lt;fam_esikSaglik),"ALARM","UYGUN"))</f>
        <v/>
      </c>
      <c r="O208" s="18">
        <f>IF($A208="","",1)</f>
        <v/>
      </c>
      <c r="P208" s="18">
        <f>IF($A208="","",IF(OR($B208="",COUNTIF(tblVarliklar[VarlikId],$B208)=0),"YETIM","TAMAM"))</f>
        <v/>
      </c>
    </row>
    <row r="209">
      <c r="A209" s="15" t="n"/>
      <c r="B209" s="15" t="n"/>
      <c r="C209" s="60" t="n"/>
      <c r="D209" s="20" t="n"/>
      <c r="E209" s="16" t="n"/>
      <c r="F209" s="17" t="n"/>
      <c r="G209" s="15" t="n"/>
      <c r="H209" s="18">
        <f>IF($A209="","",$E209*fam_yakitBirimFiyat)</f>
        <v/>
      </c>
      <c r="I209" s="18">
        <f>IF($A209="","",$D209*IFERROR(SUMIF(tblVarliklar[VarlikId],$B209,tblVarliklar[AmortismanTlKm]),fam_amortismanTlKm))</f>
        <v/>
      </c>
      <c r="J209" s="18">
        <f>IF($A209="","",IFERROR(SUMIF(tblVarliklar[VarlikId],$B209,tblVarliklar[SigortaYillikTl]),fam_sigortaYillik)/365*fam_sigortaGunPay)</f>
        <v/>
      </c>
      <c r="K209" s="18">
        <f>IF($A209="","",$H209+$F209+$I209+$J209)</f>
        <v/>
      </c>
      <c r="L209" s="18">
        <f>IF(OR($A209="",$D209=0),"",$K209/$D209)</f>
        <v/>
      </c>
      <c r="M209" s="18">
        <f>IF($A209="","",MAX(0,MIN(100,fam_kaliteTaban-IF($L209&gt;fam_esikKmBasi,fam_kaliteCeza,0)-IF($F209&gt;fam_esikBakimTl,fam_kaliteSapma,0)-IF($P209="YETIM",fam_kaliteCeza,0))))</f>
        <v/>
      </c>
      <c r="N209" s="18">
        <f>IF($A209="","",IF(OR($L209&gt;fam_esikKmBasi,$F209&gt;fam_esikBakimTl,$M209&lt;fam_esikSaglik),"ALARM","UYGUN"))</f>
        <v/>
      </c>
      <c r="O209" s="18">
        <f>IF($A209="","",1)</f>
        <v/>
      </c>
      <c r="P209" s="18">
        <f>IF($A209="","",IF(OR($B209="",COUNTIF(tblVarliklar[VarlikId],$B209)=0),"YETIM","TAMAM"))</f>
        <v/>
      </c>
    </row>
    <row r="210">
      <c r="A210" s="15" t="n"/>
      <c r="B210" s="15" t="n"/>
      <c r="C210" s="60" t="n"/>
      <c r="D210" s="20" t="n"/>
      <c r="E210" s="16" t="n"/>
      <c r="F210" s="17" t="n"/>
      <c r="G210" s="15" t="n"/>
      <c r="H210" s="18">
        <f>IF($A210="","",$E210*fam_yakitBirimFiyat)</f>
        <v/>
      </c>
      <c r="I210" s="18">
        <f>IF($A210="","",$D210*IFERROR(SUMIF(tblVarliklar[VarlikId],$B210,tblVarliklar[AmortismanTlKm]),fam_amortismanTlKm))</f>
        <v/>
      </c>
      <c r="J210" s="18">
        <f>IF($A210="","",IFERROR(SUMIF(tblVarliklar[VarlikId],$B210,tblVarliklar[SigortaYillikTl]),fam_sigortaYillik)/365*fam_sigortaGunPay)</f>
        <v/>
      </c>
      <c r="K210" s="18">
        <f>IF($A210="","",$H210+$F210+$I210+$J210)</f>
        <v/>
      </c>
      <c r="L210" s="18">
        <f>IF(OR($A210="",$D210=0),"",$K210/$D210)</f>
        <v/>
      </c>
      <c r="M210" s="18">
        <f>IF($A210="","",MAX(0,MIN(100,fam_kaliteTaban-IF($L210&gt;fam_esikKmBasi,fam_kaliteCeza,0)-IF($F210&gt;fam_esikBakimTl,fam_kaliteSapma,0)-IF($P210="YETIM",fam_kaliteCeza,0))))</f>
        <v/>
      </c>
      <c r="N210" s="18">
        <f>IF($A210="","",IF(OR($L210&gt;fam_esikKmBasi,$F210&gt;fam_esikBakimTl,$M210&lt;fam_esikSaglik),"ALARM","UYGUN"))</f>
        <v/>
      </c>
      <c r="O210" s="18">
        <f>IF($A210="","",1)</f>
        <v/>
      </c>
      <c r="P210" s="18">
        <f>IF($A210="","",IF(OR($B210="",COUNTIF(tblVarliklar[VarlikId],$B210)=0),"YETIM","TAMAM"))</f>
        <v/>
      </c>
    </row>
    <row r="211">
      <c r="A211" s="15" t="n"/>
      <c r="B211" s="15" t="n"/>
      <c r="C211" s="60" t="n"/>
      <c r="D211" s="20" t="n"/>
      <c r="E211" s="16" t="n"/>
      <c r="F211" s="17" t="n"/>
      <c r="G211" s="15" t="n"/>
      <c r="H211" s="18">
        <f>IF($A211="","",$E211*fam_yakitBirimFiyat)</f>
        <v/>
      </c>
      <c r="I211" s="18">
        <f>IF($A211="","",$D211*IFERROR(SUMIF(tblVarliklar[VarlikId],$B211,tblVarliklar[AmortismanTlKm]),fam_amortismanTlKm))</f>
        <v/>
      </c>
      <c r="J211" s="18">
        <f>IF($A211="","",IFERROR(SUMIF(tblVarliklar[VarlikId],$B211,tblVarliklar[SigortaYillikTl]),fam_sigortaYillik)/365*fam_sigortaGunPay)</f>
        <v/>
      </c>
      <c r="K211" s="18">
        <f>IF($A211="","",$H211+$F211+$I211+$J211)</f>
        <v/>
      </c>
      <c r="L211" s="18">
        <f>IF(OR($A211="",$D211=0),"",$K211/$D211)</f>
        <v/>
      </c>
      <c r="M211" s="18">
        <f>IF($A211="","",MAX(0,MIN(100,fam_kaliteTaban-IF($L211&gt;fam_esikKmBasi,fam_kaliteCeza,0)-IF($F211&gt;fam_esikBakimTl,fam_kaliteSapma,0)-IF($P211="YETIM",fam_kaliteCeza,0))))</f>
        <v/>
      </c>
      <c r="N211" s="18">
        <f>IF($A211="","",IF(OR($L211&gt;fam_esikKmBasi,$F211&gt;fam_esikBakimTl,$M211&lt;fam_esikSaglik),"ALARM","UYGUN"))</f>
        <v/>
      </c>
      <c r="O211" s="18">
        <f>IF($A211="","",1)</f>
        <v/>
      </c>
      <c r="P211" s="18">
        <f>IF($A211="","",IF(OR($B211="",COUNTIF(tblVarliklar[VarlikId],$B211)=0),"YETIM","TAMAM"))</f>
        <v/>
      </c>
    </row>
    <row r="212">
      <c r="A212" s="15" t="n"/>
      <c r="B212" s="15" t="n"/>
      <c r="C212" s="60" t="n"/>
      <c r="D212" s="20" t="n"/>
      <c r="E212" s="16" t="n"/>
      <c r="F212" s="17" t="n"/>
      <c r="G212" s="15" t="n"/>
      <c r="H212" s="18">
        <f>IF($A212="","",$E212*fam_yakitBirimFiyat)</f>
        <v/>
      </c>
      <c r="I212" s="18">
        <f>IF($A212="","",$D212*IFERROR(SUMIF(tblVarliklar[VarlikId],$B212,tblVarliklar[AmortismanTlKm]),fam_amortismanTlKm))</f>
        <v/>
      </c>
      <c r="J212" s="18">
        <f>IF($A212="","",IFERROR(SUMIF(tblVarliklar[VarlikId],$B212,tblVarliklar[SigortaYillikTl]),fam_sigortaYillik)/365*fam_sigortaGunPay)</f>
        <v/>
      </c>
      <c r="K212" s="18">
        <f>IF($A212="","",$H212+$F212+$I212+$J212)</f>
        <v/>
      </c>
      <c r="L212" s="18">
        <f>IF(OR($A212="",$D212=0),"",$K212/$D212)</f>
        <v/>
      </c>
      <c r="M212" s="18">
        <f>IF($A212="","",MAX(0,MIN(100,fam_kaliteTaban-IF($L212&gt;fam_esikKmBasi,fam_kaliteCeza,0)-IF($F212&gt;fam_esikBakimTl,fam_kaliteSapma,0)-IF($P212="YETIM",fam_kaliteCeza,0))))</f>
        <v/>
      </c>
      <c r="N212" s="18">
        <f>IF($A212="","",IF(OR($L212&gt;fam_esikKmBasi,$F212&gt;fam_esikBakimTl,$M212&lt;fam_esikSaglik),"ALARM","UYGUN"))</f>
        <v/>
      </c>
      <c r="O212" s="18">
        <f>IF($A212="","",1)</f>
        <v/>
      </c>
      <c r="P212" s="18">
        <f>IF($A212="","",IF(OR($B212="",COUNTIF(tblVarliklar[VarlikId],$B212)=0),"YETIM","TAMAM"))</f>
        <v/>
      </c>
    </row>
    <row r="213">
      <c r="A213" s="15" t="n"/>
      <c r="B213" s="15" t="n"/>
      <c r="C213" s="60" t="n"/>
      <c r="D213" s="20" t="n"/>
      <c r="E213" s="16" t="n"/>
      <c r="F213" s="17" t="n"/>
      <c r="G213" s="15" t="n"/>
      <c r="H213" s="18">
        <f>IF($A213="","",$E213*fam_yakitBirimFiyat)</f>
        <v/>
      </c>
      <c r="I213" s="18">
        <f>IF($A213="","",$D213*IFERROR(SUMIF(tblVarliklar[VarlikId],$B213,tblVarliklar[AmortismanTlKm]),fam_amortismanTlKm))</f>
        <v/>
      </c>
      <c r="J213" s="18">
        <f>IF($A213="","",IFERROR(SUMIF(tblVarliklar[VarlikId],$B213,tblVarliklar[SigortaYillikTl]),fam_sigortaYillik)/365*fam_sigortaGunPay)</f>
        <v/>
      </c>
      <c r="K213" s="18">
        <f>IF($A213="","",$H213+$F213+$I213+$J213)</f>
        <v/>
      </c>
      <c r="L213" s="18">
        <f>IF(OR($A213="",$D213=0),"",$K213/$D213)</f>
        <v/>
      </c>
      <c r="M213" s="18">
        <f>IF($A213="","",MAX(0,MIN(100,fam_kaliteTaban-IF($L213&gt;fam_esikKmBasi,fam_kaliteCeza,0)-IF($F213&gt;fam_esikBakimTl,fam_kaliteSapma,0)-IF($P213="YETIM",fam_kaliteCeza,0))))</f>
        <v/>
      </c>
      <c r="N213" s="18">
        <f>IF($A213="","",IF(OR($L213&gt;fam_esikKmBasi,$F213&gt;fam_esikBakimTl,$M213&lt;fam_esikSaglik),"ALARM","UYGUN"))</f>
        <v/>
      </c>
      <c r="O213" s="18">
        <f>IF($A213="","",1)</f>
        <v/>
      </c>
      <c r="P213" s="18">
        <f>IF($A213="","",IF(OR($B213="",COUNTIF(tblVarliklar[VarlikId],$B213)=0),"YETIM","TAMAM"))</f>
        <v/>
      </c>
    </row>
    <row r="214">
      <c r="A214" s="15" t="n"/>
      <c r="B214" s="15" t="n"/>
      <c r="C214" s="60" t="n"/>
      <c r="D214" s="20" t="n"/>
      <c r="E214" s="16" t="n"/>
      <c r="F214" s="17" t="n"/>
      <c r="G214" s="15" t="n"/>
      <c r="H214" s="18">
        <f>IF($A214="","",$E214*fam_yakitBirimFiyat)</f>
        <v/>
      </c>
      <c r="I214" s="18">
        <f>IF($A214="","",$D214*IFERROR(SUMIF(tblVarliklar[VarlikId],$B214,tblVarliklar[AmortismanTlKm]),fam_amortismanTlKm))</f>
        <v/>
      </c>
      <c r="J214" s="18">
        <f>IF($A214="","",IFERROR(SUMIF(tblVarliklar[VarlikId],$B214,tblVarliklar[SigortaYillikTl]),fam_sigortaYillik)/365*fam_sigortaGunPay)</f>
        <v/>
      </c>
      <c r="K214" s="18">
        <f>IF($A214="","",$H214+$F214+$I214+$J214)</f>
        <v/>
      </c>
      <c r="L214" s="18">
        <f>IF(OR($A214="",$D214=0),"",$K214/$D214)</f>
        <v/>
      </c>
      <c r="M214" s="18">
        <f>IF($A214="","",MAX(0,MIN(100,fam_kaliteTaban-IF($L214&gt;fam_esikKmBasi,fam_kaliteCeza,0)-IF($F214&gt;fam_esikBakimTl,fam_kaliteSapma,0)-IF($P214="YETIM",fam_kaliteCeza,0))))</f>
        <v/>
      </c>
      <c r="N214" s="18">
        <f>IF($A214="","",IF(OR($L214&gt;fam_esikKmBasi,$F214&gt;fam_esikBakimTl,$M214&lt;fam_esikSaglik),"ALARM","UYGUN"))</f>
        <v/>
      </c>
      <c r="O214" s="18">
        <f>IF($A214="","",1)</f>
        <v/>
      </c>
      <c r="P214" s="18">
        <f>IF($A214="","",IF(OR($B214="",COUNTIF(tblVarliklar[VarlikId],$B214)=0),"YETIM","TAMAM"))</f>
        <v/>
      </c>
    </row>
    <row r="215">
      <c r="A215" s="15" t="n"/>
      <c r="B215" s="15" t="n"/>
      <c r="C215" s="60" t="n"/>
      <c r="D215" s="20" t="n"/>
      <c r="E215" s="16" t="n"/>
      <c r="F215" s="17" t="n"/>
      <c r="G215" s="15" t="n"/>
      <c r="H215" s="18">
        <f>IF($A215="","",$E215*fam_yakitBirimFiyat)</f>
        <v/>
      </c>
      <c r="I215" s="18">
        <f>IF($A215="","",$D215*IFERROR(SUMIF(tblVarliklar[VarlikId],$B215,tblVarliklar[AmortismanTlKm]),fam_amortismanTlKm))</f>
        <v/>
      </c>
      <c r="J215" s="18">
        <f>IF($A215="","",IFERROR(SUMIF(tblVarliklar[VarlikId],$B215,tblVarliklar[SigortaYillikTl]),fam_sigortaYillik)/365*fam_sigortaGunPay)</f>
        <v/>
      </c>
      <c r="K215" s="18">
        <f>IF($A215="","",$H215+$F215+$I215+$J215)</f>
        <v/>
      </c>
      <c r="L215" s="18">
        <f>IF(OR($A215="",$D215=0),"",$K215/$D215)</f>
        <v/>
      </c>
      <c r="M215" s="18">
        <f>IF($A215="","",MAX(0,MIN(100,fam_kaliteTaban-IF($L215&gt;fam_esikKmBasi,fam_kaliteCeza,0)-IF($F215&gt;fam_esikBakimTl,fam_kaliteSapma,0)-IF($P215="YETIM",fam_kaliteCeza,0))))</f>
        <v/>
      </c>
      <c r="N215" s="18">
        <f>IF($A215="","",IF(OR($L215&gt;fam_esikKmBasi,$F215&gt;fam_esikBakimTl,$M215&lt;fam_esikSaglik),"ALARM","UYGUN"))</f>
        <v/>
      </c>
      <c r="O215" s="18">
        <f>IF($A215="","",1)</f>
        <v/>
      </c>
      <c r="P215" s="18">
        <f>IF($A215="","",IF(OR($B215="",COUNTIF(tblVarliklar[VarlikId],$B215)=0),"YETIM","TAMAM"))</f>
        <v/>
      </c>
    </row>
    <row r="216">
      <c r="A216" s="15" t="n"/>
      <c r="B216" s="15" t="n"/>
      <c r="C216" s="60" t="n"/>
      <c r="D216" s="20" t="n"/>
      <c r="E216" s="16" t="n"/>
      <c r="F216" s="17" t="n"/>
      <c r="G216" s="15" t="n"/>
      <c r="H216" s="18">
        <f>IF($A216="","",$E216*fam_yakitBirimFiyat)</f>
        <v/>
      </c>
      <c r="I216" s="18">
        <f>IF($A216="","",$D216*IFERROR(SUMIF(tblVarliklar[VarlikId],$B216,tblVarliklar[AmortismanTlKm]),fam_amortismanTlKm))</f>
        <v/>
      </c>
      <c r="J216" s="18">
        <f>IF($A216="","",IFERROR(SUMIF(tblVarliklar[VarlikId],$B216,tblVarliklar[SigortaYillikTl]),fam_sigortaYillik)/365*fam_sigortaGunPay)</f>
        <v/>
      </c>
      <c r="K216" s="18">
        <f>IF($A216="","",$H216+$F216+$I216+$J216)</f>
        <v/>
      </c>
      <c r="L216" s="18">
        <f>IF(OR($A216="",$D216=0),"",$K216/$D216)</f>
        <v/>
      </c>
      <c r="M216" s="18">
        <f>IF($A216="","",MAX(0,MIN(100,fam_kaliteTaban-IF($L216&gt;fam_esikKmBasi,fam_kaliteCeza,0)-IF($F216&gt;fam_esikBakimTl,fam_kaliteSapma,0)-IF($P216="YETIM",fam_kaliteCeza,0))))</f>
        <v/>
      </c>
      <c r="N216" s="18">
        <f>IF($A216="","",IF(OR($L216&gt;fam_esikKmBasi,$F216&gt;fam_esikBakimTl,$M216&lt;fam_esikSaglik),"ALARM","UYGUN"))</f>
        <v/>
      </c>
      <c r="O216" s="18">
        <f>IF($A216="","",1)</f>
        <v/>
      </c>
      <c r="P216" s="18">
        <f>IF($A216="","",IF(OR($B216="",COUNTIF(tblVarliklar[VarlikId],$B216)=0),"YETIM","TAMAM"))</f>
        <v/>
      </c>
    </row>
    <row r="217">
      <c r="A217" s="15" t="n"/>
      <c r="B217" s="15" t="n"/>
      <c r="C217" s="60" t="n"/>
      <c r="D217" s="20" t="n"/>
      <c r="E217" s="16" t="n"/>
      <c r="F217" s="17" t="n"/>
      <c r="G217" s="15" t="n"/>
      <c r="H217" s="18">
        <f>IF($A217="","",$E217*fam_yakitBirimFiyat)</f>
        <v/>
      </c>
      <c r="I217" s="18">
        <f>IF($A217="","",$D217*IFERROR(SUMIF(tblVarliklar[VarlikId],$B217,tblVarliklar[AmortismanTlKm]),fam_amortismanTlKm))</f>
        <v/>
      </c>
      <c r="J217" s="18">
        <f>IF($A217="","",IFERROR(SUMIF(tblVarliklar[VarlikId],$B217,tblVarliklar[SigortaYillikTl]),fam_sigortaYillik)/365*fam_sigortaGunPay)</f>
        <v/>
      </c>
      <c r="K217" s="18">
        <f>IF($A217="","",$H217+$F217+$I217+$J217)</f>
        <v/>
      </c>
      <c r="L217" s="18">
        <f>IF(OR($A217="",$D217=0),"",$K217/$D217)</f>
        <v/>
      </c>
      <c r="M217" s="18">
        <f>IF($A217="","",MAX(0,MIN(100,fam_kaliteTaban-IF($L217&gt;fam_esikKmBasi,fam_kaliteCeza,0)-IF($F217&gt;fam_esikBakimTl,fam_kaliteSapma,0)-IF($P217="YETIM",fam_kaliteCeza,0))))</f>
        <v/>
      </c>
      <c r="N217" s="18">
        <f>IF($A217="","",IF(OR($L217&gt;fam_esikKmBasi,$F217&gt;fam_esikBakimTl,$M217&lt;fam_esikSaglik),"ALARM","UYGUN"))</f>
        <v/>
      </c>
      <c r="O217" s="18">
        <f>IF($A217="","",1)</f>
        <v/>
      </c>
      <c r="P217" s="18">
        <f>IF($A217="","",IF(OR($B217="",COUNTIF(tblVarliklar[VarlikId],$B217)=0),"YETIM","TAMAM"))</f>
        <v/>
      </c>
    </row>
    <row r="218">
      <c r="A218" s="15" t="n"/>
      <c r="B218" s="15" t="n"/>
      <c r="C218" s="60" t="n"/>
      <c r="D218" s="20" t="n"/>
      <c r="E218" s="16" t="n"/>
      <c r="F218" s="17" t="n"/>
      <c r="G218" s="15" t="n"/>
      <c r="H218" s="18">
        <f>IF($A218="","",$E218*fam_yakitBirimFiyat)</f>
        <v/>
      </c>
      <c r="I218" s="18">
        <f>IF($A218="","",$D218*IFERROR(SUMIF(tblVarliklar[VarlikId],$B218,tblVarliklar[AmortismanTlKm]),fam_amortismanTlKm))</f>
        <v/>
      </c>
      <c r="J218" s="18">
        <f>IF($A218="","",IFERROR(SUMIF(tblVarliklar[VarlikId],$B218,tblVarliklar[SigortaYillikTl]),fam_sigortaYillik)/365*fam_sigortaGunPay)</f>
        <v/>
      </c>
      <c r="K218" s="18">
        <f>IF($A218="","",$H218+$F218+$I218+$J218)</f>
        <v/>
      </c>
      <c r="L218" s="18">
        <f>IF(OR($A218="",$D218=0),"",$K218/$D218)</f>
        <v/>
      </c>
      <c r="M218" s="18">
        <f>IF($A218="","",MAX(0,MIN(100,fam_kaliteTaban-IF($L218&gt;fam_esikKmBasi,fam_kaliteCeza,0)-IF($F218&gt;fam_esikBakimTl,fam_kaliteSapma,0)-IF($P218="YETIM",fam_kaliteCeza,0))))</f>
        <v/>
      </c>
      <c r="N218" s="18">
        <f>IF($A218="","",IF(OR($L218&gt;fam_esikKmBasi,$F218&gt;fam_esikBakimTl,$M218&lt;fam_esikSaglik),"ALARM","UYGUN"))</f>
        <v/>
      </c>
      <c r="O218" s="18">
        <f>IF($A218="","",1)</f>
        <v/>
      </c>
      <c r="P218" s="18">
        <f>IF($A218="","",IF(OR($B218="",COUNTIF(tblVarliklar[VarlikId],$B218)=0),"YETIM","TAMAM"))</f>
        <v/>
      </c>
    </row>
    <row r="219">
      <c r="A219" s="15" t="n"/>
      <c r="B219" s="15" t="n"/>
      <c r="C219" s="60" t="n"/>
      <c r="D219" s="20" t="n"/>
      <c r="E219" s="16" t="n"/>
      <c r="F219" s="17" t="n"/>
      <c r="G219" s="15" t="n"/>
      <c r="H219" s="18">
        <f>IF($A219="","",$E219*fam_yakitBirimFiyat)</f>
        <v/>
      </c>
      <c r="I219" s="18">
        <f>IF($A219="","",$D219*IFERROR(SUMIF(tblVarliklar[VarlikId],$B219,tblVarliklar[AmortismanTlKm]),fam_amortismanTlKm))</f>
        <v/>
      </c>
      <c r="J219" s="18">
        <f>IF($A219="","",IFERROR(SUMIF(tblVarliklar[VarlikId],$B219,tblVarliklar[SigortaYillikTl]),fam_sigortaYillik)/365*fam_sigortaGunPay)</f>
        <v/>
      </c>
      <c r="K219" s="18">
        <f>IF($A219="","",$H219+$F219+$I219+$J219)</f>
        <v/>
      </c>
      <c r="L219" s="18">
        <f>IF(OR($A219="",$D219=0),"",$K219/$D219)</f>
        <v/>
      </c>
      <c r="M219" s="18">
        <f>IF($A219="","",MAX(0,MIN(100,fam_kaliteTaban-IF($L219&gt;fam_esikKmBasi,fam_kaliteCeza,0)-IF($F219&gt;fam_esikBakimTl,fam_kaliteSapma,0)-IF($P219="YETIM",fam_kaliteCeza,0))))</f>
        <v/>
      </c>
      <c r="N219" s="18">
        <f>IF($A219="","",IF(OR($L219&gt;fam_esikKmBasi,$F219&gt;fam_esikBakimTl,$M219&lt;fam_esikSaglik),"ALARM","UYGUN"))</f>
        <v/>
      </c>
      <c r="O219" s="18">
        <f>IF($A219="","",1)</f>
        <v/>
      </c>
      <c r="P219" s="18">
        <f>IF($A219="","",IF(OR($B219="",COUNTIF(tblVarliklar[VarlikId],$B219)=0),"YETIM","TAMAM"))</f>
        <v/>
      </c>
    </row>
    <row r="220">
      <c r="A220" s="15" t="n"/>
      <c r="B220" s="15" t="n"/>
      <c r="C220" s="60" t="n"/>
      <c r="D220" s="20" t="n"/>
      <c r="E220" s="16" t="n"/>
      <c r="F220" s="17" t="n"/>
      <c r="G220" s="15" t="n"/>
      <c r="H220" s="18">
        <f>IF($A220="","",$E220*fam_yakitBirimFiyat)</f>
        <v/>
      </c>
      <c r="I220" s="18">
        <f>IF($A220="","",$D220*IFERROR(SUMIF(tblVarliklar[VarlikId],$B220,tblVarliklar[AmortismanTlKm]),fam_amortismanTlKm))</f>
        <v/>
      </c>
      <c r="J220" s="18">
        <f>IF($A220="","",IFERROR(SUMIF(tblVarliklar[VarlikId],$B220,tblVarliklar[SigortaYillikTl]),fam_sigortaYillik)/365*fam_sigortaGunPay)</f>
        <v/>
      </c>
      <c r="K220" s="18">
        <f>IF($A220="","",$H220+$F220+$I220+$J220)</f>
        <v/>
      </c>
      <c r="L220" s="18">
        <f>IF(OR($A220="",$D220=0),"",$K220/$D220)</f>
        <v/>
      </c>
      <c r="M220" s="18">
        <f>IF($A220="","",MAX(0,MIN(100,fam_kaliteTaban-IF($L220&gt;fam_esikKmBasi,fam_kaliteCeza,0)-IF($F220&gt;fam_esikBakimTl,fam_kaliteSapma,0)-IF($P220="YETIM",fam_kaliteCeza,0))))</f>
        <v/>
      </c>
      <c r="N220" s="18">
        <f>IF($A220="","",IF(OR($L220&gt;fam_esikKmBasi,$F220&gt;fam_esikBakimTl,$M220&lt;fam_esikSaglik),"ALARM","UYGUN"))</f>
        <v/>
      </c>
      <c r="O220" s="18">
        <f>IF($A220="","",1)</f>
        <v/>
      </c>
      <c r="P220" s="18">
        <f>IF($A220="","",IF(OR($B220="",COUNTIF(tblVarliklar[VarlikId],$B220)=0),"YETIM","TAMAM"))</f>
        <v/>
      </c>
    </row>
    <row r="221">
      <c r="A221" s="15" t="n"/>
      <c r="B221" s="15" t="n"/>
      <c r="C221" s="60" t="n"/>
      <c r="D221" s="20" t="n"/>
      <c r="E221" s="16" t="n"/>
      <c r="F221" s="17" t="n"/>
      <c r="G221" s="15" t="n"/>
      <c r="H221" s="18">
        <f>IF($A221="","",$E221*fam_yakitBirimFiyat)</f>
        <v/>
      </c>
      <c r="I221" s="18">
        <f>IF($A221="","",$D221*IFERROR(SUMIF(tblVarliklar[VarlikId],$B221,tblVarliklar[AmortismanTlKm]),fam_amortismanTlKm))</f>
        <v/>
      </c>
      <c r="J221" s="18">
        <f>IF($A221="","",IFERROR(SUMIF(tblVarliklar[VarlikId],$B221,tblVarliklar[SigortaYillikTl]),fam_sigortaYillik)/365*fam_sigortaGunPay)</f>
        <v/>
      </c>
      <c r="K221" s="18">
        <f>IF($A221="","",$H221+$F221+$I221+$J221)</f>
        <v/>
      </c>
      <c r="L221" s="18">
        <f>IF(OR($A221="",$D221=0),"",$K221/$D221)</f>
        <v/>
      </c>
      <c r="M221" s="18">
        <f>IF($A221="","",MAX(0,MIN(100,fam_kaliteTaban-IF($L221&gt;fam_esikKmBasi,fam_kaliteCeza,0)-IF($F221&gt;fam_esikBakimTl,fam_kaliteSapma,0)-IF($P221="YETIM",fam_kaliteCeza,0))))</f>
        <v/>
      </c>
      <c r="N221" s="18">
        <f>IF($A221="","",IF(OR($L221&gt;fam_esikKmBasi,$F221&gt;fam_esikBakimTl,$M221&lt;fam_esikSaglik),"ALARM","UYGUN"))</f>
        <v/>
      </c>
      <c r="O221" s="18">
        <f>IF($A221="","",1)</f>
        <v/>
      </c>
      <c r="P221" s="18">
        <f>IF($A221="","",IF(OR($B221="",COUNTIF(tblVarliklar[VarlikId],$B221)=0),"YETIM","TAMAM"))</f>
        <v/>
      </c>
    </row>
    <row r="222">
      <c r="A222" s="15" t="n"/>
      <c r="B222" s="15" t="n"/>
      <c r="C222" s="60" t="n"/>
      <c r="D222" s="20" t="n"/>
      <c r="E222" s="16" t="n"/>
      <c r="F222" s="17" t="n"/>
      <c r="G222" s="15" t="n"/>
      <c r="H222" s="18">
        <f>IF($A222="","",$E222*fam_yakitBirimFiyat)</f>
        <v/>
      </c>
      <c r="I222" s="18">
        <f>IF($A222="","",$D222*IFERROR(SUMIF(tblVarliklar[VarlikId],$B222,tblVarliklar[AmortismanTlKm]),fam_amortismanTlKm))</f>
        <v/>
      </c>
      <c r="J222" s="18">
        <f>IF($A222="","",IFERROR(SUMIF(tblVarliklar[VarlikId],$B222,tblVarliklar[SigortaYillikTl]),fam_sigortaYillik)/365*fam_sigortaGunPay)</f>
        <v/>
      </c>
      <c r="K222" s="18">
        <f>IF($A222="","",$H222+$F222+$I222+$J222)</f>
        <v/>
      </c>
      <c r="L222" s="18">
        <f>IF(OR($A222="",$D222=0),"",$K222/$D222)</f>
        <v/>
      </c>
      <c r="M222" s="18">
        <f>IF($A222="","",MAX(0,MIN(100,fam_kaliteTaban-IF($L222&gt;fam_esikKmBasi,fam_kaliteCeza,0)-IF($F222&gt;fam_esikBakimTl,fam_kaliteSapma,0)-IF($P222="YETIM",fam_kaliteCeza,0))))</f>
        <v/>
      </c>
      <c r="N222" s="18">
        <f>IF($A222="","",IF(OR($L222&gt;fam_esikKmBasi,$F222&gt;fam_esikBakimTl,$M222&lt;fam_esikSaglik),"ALARM","UYGUN"))</f>
        <v/>
      </c>
      <c r="O222" s="18">
        <f>IF($A222="","",1)</f>
        <v/>
      </c>
      <c r="P222" s="18">
        <f>IF($A222="","",IF(OR($B222="",COUNTIF(tblVarliklar[VarlikId],$B222)=0),"YETIM","TAMAM"))</f>
        <v/>
      </c>
    </row>
    <row r="223">
      <c r="A223" s="15" t="n"/>
      <c r="B223" s="15" t="n"/>
      <c r="C223" s="60" t="n"/>
      <c r="D223" s="20" t="n"/>
      <c r="E223" s="16" t="n"/>
      <c r="F223" s="17" t="n"/>
      <c r="G223" s="15" t="n"/>
      <c r="H223" s="18">
        <f>IF($A223="","",$E223*fam_yakitBirimFiyat)</f>
        <v/>
      </c>
      <c r="I223" s="18">
        <f>IF($A223="","",$D223*IFERROR(SUMIF(tblVarliklar[VarlikId],$B223,tblVarliklar[AmortismanTlKm]),fam_amortismanTlKm))</f>
        <v/>
      </c>
      <c r="J223" s="18">
        <f>IF($A223="","",IFERROR(SUMIF(tblVarliklar[VarlikId],$B223,tblVarliklar[SigortaYillikTl]),fam_sigortaYillik)/365*fam_sigortaGunPay)</f>
        <v/>
      </c>
      <c r="K223" s="18">
        <f>IF($A223="","",$H223+$F223+$I223+$J223)</f>
        <v/>
      </c>
      <c r="L223" s="18">
        <f>IF(OR($A223="",$D223=0),"",$K223/$D223)</f>
        <v/>
      </c>
      <c r="M223" s="18">
        <f>IF($A223="","",MAX(0,MIN(100,fam_kaliteTaban-IF($L223&gt;fam_esikKmBasi,fam_kaliteCeza,0)-IF($F223&gt;fam_esikBakimTl,fam_kaliteSapma,0)-IF($P223="YETIM",fam_kaliteCeza,0))))</f>
        <v/>
      </c>
      <c r="N223" s="18">
        <f>IF($A223="","",IF(OR($L223&gt;fam_esikKmBasi,$F223&gt;fam_esikBakimTl,$M223&lt;fam_esikSaglik),"ALARM","UYGUN"))</f>
        <v/>
      </c>
      <c r="O223" s="18">
        <f>IF($A223="","",1)</f>
        <v/>
      </c>
      <c r="P223" s="18">
        <f>IF($A223="","",IF(OR($B223="",COUNTIF(tblVarliklar[VarlikId],$B223)=0),"YETIM","TAMAM"))</f>
        <v/>
      </c>
    </row>
    <row r="224">
      <c r="A224" s="15" t="n"/>
      <c r="B224" s="15" t="n"/>
      <c r="C224" s="60" t="n"/>
      <c r="D224" s="20" t="n"/>
      <c r="E224" s="16" t="n"/>
      <c r="F224" s="17" t="n"/>
      <c r="G224" s="15" t="n"/>
      <c r="H224" s="18">
        <f>IF($A224="","",$E224*fam_yakitBirimFiyat)</f>
        <v/>
      </c>
      <c r="I224" s="18">
        <f>IF($A224="","",$D224*IFERROR(SUMIF(tblVarliklar[VarlikId],$B224,tblVarliklar[AmortismanTlKm]),fam_amortismanTlKm))</f>
        <v/>
      </c>
      <c r="J224" s="18">
        <f>IF($A224="","",IFERROR(SUMIF(tblVarliklar[VarlikId],$B224,tblVarliklar[SigortaYillikTl]),fam_sigortaYillik)/365*fam_sigortaGunPay)</f>
        <v/>
      </c>
      <c r="K224" s="18">
        <f>IF($A224="","",$H224+$F224+$I224+$J224)</f>
        <v/>
      </c>
      <c r="L224" s="18">
        <f>IF(OR($A224="",$D224=0),"",$K224/$D224)</f>
        <v/>
      </c>
      <c r="M224" s="18">
        <f>IF($A224="","",MAX(0,MIN(100,fam_kaliteTaban-IF($L224&gt;fam_esikKmBasi,fam_kaliteCeza,0)-IF($F224&gt;fam_esikBakimTl,fam_kaliteSapma,0)-IF($P224="YETIM",fam_kaliteCeza,0))))</f>
        <v/>
      </c>
      <c r="N224" s="18">
        <f>IF($A224="","",IF(OR($L224&gt;fam_esikKmBasi,$F224&gt;fam_esikBakimTl,$M224&lt;fam_esikSaglik),"ALARM","UYGUN"))</f>
        <v/>
      </c>
      <c r="O224" s="18">
        <f>IF($A224="","",1)</f>
        <v/>
      </c>
      <c r="P224" s="18">
        <f>IF($A224="","",IF(OR($B224="",COUNTIF(tblVarliklar[VarlikId],$B224)=0),"YETIM","TAMAM"))</f>
        <v/>
      </c>
    </row>
    <row r="225">
      <c r="A225" s="15" t="n"/>
      <c r="B225" s="15" t="n"/>
      <c r="C225" s="60" t="n"/>
      <c r="D225" s="20" t="n"/>
      <c r="E225" s="16" t="n"/>
      <c r="F225" s="17" t="n"/>
      <c r="G225" s="15" t="n"/>
      <c r="H225" s="18">
        <f>IF($A225="","",$E225*fam_yakitBirimFiyat)</f>
        <v/>
      </c>
      <c r="I225" s="18">
        <f>IF($A225="","",$D225*IFERROR(SUMIF(tblVarliklar[VarlikId],$B225,tblVarliklar[AmortismanTlKm]),fam_amortismanTlKm))</f>
        <v/>
      </c>
      <c r="J225" s="18">
        <f>IF($A225="","",IFERROR(SUMIF(tblVarliklar[VarlikId],$B225,tblVarliklar[SigortaYillikTl]),fam_sigortaYillik)/365*fam_sigortaGunPay)</f>
        <v/>
      </c>
      <c r="K225" s="18">
        <f>IF($A225="","",$H225+$F225+$I225+$J225)</f>
        <v/>
      </c>
      <c r="L225" s="18">
        <f>IF(OR($A225="",$D225=0),"",$K225/$D225)</f>
        <v/>
      </c>
      <c r="M225" s="18">
        <f>IF($A225="","",MAX(0,MIN(100,fam_kaliteTaban-IF($L225&gt;fam_esikKmBasi,fam_kaliteCeza,0)-IF($F225&gt;fam_esikBakimTl,fam_kaliteSapma,0)-IF($P225="YETIM",fam_kaliteCeza,0))))</f>
        <v/>
      </c>
      <c r="N225" s="18">
        <f>IF($A225="","",IF(OR($L225&gt;fam_esikKmBasi,$F225&gt;fam_esikBakimTl,$M225&lt;fam_esikSaglik),"ALARM","UYGUN"))</f>
        <v/>
      </c>
      <c r="O225" s="18">
        <f>IF($A225="","",1)</f>
        <v/>
      </c>
      <c r="P225" s="18">
        <f>IF($A225="","",IF(OR($B225="",COUNTIF(tblVarliklar[VarlikId],$B225)=0),"YETIM","TAMAM"))</f>
        <v/>
      </c>
    </row>
    <row r="226">
      <c r="A226" s="15" t="n"/>
      <c r="B226" s="15" t="n"/>
      <c r="C226" s="60" t="n"/>
      <c r="D226" s="20" t="n"/>
      <c r="E226" s="16" t="n"/>
      <c r="F226" s="17" t="n"/>
      <c r="G226" s="15" t="n"/>
      <c r="H226" s="18">
        <f>IF($A226="","",$E226*fam_yakitBirimFiyat)</f>
        <v/>
      </c>
      <c r="I226" s="18">
        <f>IF($A226="","",$D226*IFERROR(SUMIF(tblVarliklar[VarlikId],$B226,tblVarliklar[AmortismanTlKm]),fam_amortismanTlKm))</f>
        <v/>
      </c>
      <c r="J226" s="18">
        <f>IF($A226="","",IFERROR(SUMIF(tblVarliklar[VarlikId],$B226,tblVarliklar[SigortaYillikTl]),fam_sigortaYillik)/365*fam_sigortaGunPay)</f>
        <v/>
      </c>
      <c r="K226" s="18">
        <f>IF($A226="","",$H226+$F226+$I226+$J226)</f>
        <v/>
      </c>
      <c r="L226" s="18">
        <f>IF(OR($A226="",$D226=0),"",$K226/$D226)</f>
        <v/>
      </c>
      <c r="M226" s="18">
        <f>IF($A226="","",MAX(0,MIN(100,fam_kaliteTaban-IF($L226&gt;fam_esikKmBasi,fam_kaliteCeza,0)-IF($F226&gt;fam_esikBakimTl,fam_kaliteSapma,0)-IF($P226="YETIM",fam_kaliteCeza,0))))</f>
        <v/>
      </c>
      <c r="N226" s="18">
        <f>IF($A226="","",IF(OR($L226&gt;fam_esikKmBasi,$F226&gt;fam_esikBakimTl,$M226&lt;fam_esikSaglik),"ALARM","UYGUN"))</f>
        <v/>
      </c>
      <c r="O226" s="18">
        <f>IF($A226="","",1)</f>
        <v/>
      </c>
      <c r="P226" s="18">
        <f>IF($A226="","",IF(OR($B226="",COUNTIF(tblVarliklar[VarlikId],$B226)=0),"YETIM","TAMAM"))</f>
        <v/>
      </c>
    </row>
    <row r="227">
      <c r="A227" s="15" t="n"/>
      <c r="B227" s="15" t="n"/>
      <c r="C227" s="60" t="n"/>
      <c r="D227" s="20" t="n"/>
      <c r="E227" s="16" t="n"/>
      <c r="F227" s="17" t="n"/>
      <c r="G227" s="15" t="n"/>
      <c r="H227" s="18">
        <f>IF($A227="","",$E227*fam_yakitBirimFiyat)</f>
        <v/>
      </c>
      <c r="I227" s="18">
        <f>IF($A227="","",$D227*IFERROR(SUMIF(tblVarliklar[VarlikId],$B227,tblVarliklar[AmortismanTlKm]),fam_amortismanTlKm))</f>
        <v/>
      </c>
      <c r="J227" s="18">
        <f>IF($A227="","",IFERROR(SUMIF(tblVarliklar[VarlikId],$B227,tblVarliklar[SigortaYillikTl]),fam_sigortaYillik)/365*fam_sigortaGunPay)</f>
        <v/>
      </c>
      <c r="K227" s="18">
        <f>IF($A227="","",$H227+$F227+$I227+$J227)</f>
        <v/>
      </c>
      <c r="L227" s="18">
        <f>IF(OR($A227="",$D227=0),"",$K227/$D227)</f>
        <v/>
      </c>
      <c r="M227" s="18">
        <f>IF($A227="","",MAX(0,MIN(100,fam_kaliteTaban-IF($L227&gt;fam_esikKmBasi,fam_kaliteCeza,0)-IF($F227&gt;fam_esikBakimTl,fam_kaliteSapma,0)-IF($P227="YETIM",fam_kaliteCeza,0))))</f>
        <v/>
      </c>
      <c r="N227" s="18">
        <f>IF($A227="","",IF(OR($L227&gt;fam_esikKmBasi,$F227&gt;fam_esikBakimTl,$M227&lt;fam_esikSaglik),"ALARM","UYGUN"))</f>
        <v/>
      </c>
      <c r="O227" s="18">
        <f>IF($A227="","",1)</f>
        <v/>
      </c>
      <c r="P227" s="18">
        <f>IF($A227="","",IF(OR($B227="",COUNTIF(tblVarliklar[VarlikId],$B227)=0),"YETIM","TAMAM"))</f>
        <v/>
      </c>
    </row>
    <row r="228">
      <c r="A228" s="15" t="n"/>
      <c r="B228" s="15" t="n"/>
      <c r="C228" s="60" t="n"/>
      <c r="D228" s="20" t="n"/>
      <c r="E228" s="16" t="n"/>
      <c r="F228" s="17" t="n"/>
      <c r="G228" s="15" t="n"/>
      <c r="H228" s="18">
        <f>IF($A228="","",$E228*fam_yakitBirimFiyat)</f>
        <v/>
      </c>
      <c r="I228" s="18">
        <f>IF($A228="","",$D228*IFERROR(SUMIF(tblVarliklar[VarlikId],$B228,tblVarliklar[AmortismanTlKm]),fam_amortismanTlKm))</f>
        <v/>
      </c>
      <c r="J228" s="18">
        <f>IF($A228="","",IFERROR(SUMIF(tblVarliklar[VarlikId],$B228,tblVarliklar[SigortaYillikTl]),fam_sigortaYillik)/365*fam_sigortaGunPay)</f>
        <v/>
      </c>
      <c r="K228" s="18">
        <f>IF($A228="","",$H228+$F228+$I228+$J228)</f>
        <v/>
      </c>
      <c r="L228" s="18">
        <f>IF(OR($A228="",$D228=0),"",$K228/$D228)</f>
        <v/>
      </c>
      <c r="M228" s="18">
        <f>IF($A228="","",MAX(0,MIN(100,fam_kaliteTaban-IF($L228&gt;fam_esikKmBasi,fam_kaliteCeza,0)-IF($F228&gt;fam_esikBakimTl,fam_kaliteSapma,0)-IF($P228="YETIM",fam_kaliteCeza,0))))</f>
        <v/>
      </c>
      <c r="N228" s="18">
        <f>IF($A228="","",IF(OR($L228&gt;fam_esikKmBasi,$F228&gt;fam_esikBakimTl,$M228&lt;fam_esikSaglik),"ALARM","UYGUN"))</f>
        <v/>
      </c>
      <c r="O228" s="18">
        <f>IF($A228="","",1)</f>
        <v/>
      </c>
      <c r="P228" s="18">
        <f>IF($A228="","",IF(OR($B228="",COUNTIF(tblVarliklar[VarlikId],$B228)=0),"YETIM","TAMAM"))</f>
        <v/>
      </c>
    </row>
    <row r="229">
      <c r="A229" s="15" t="n"/>
      <c r="B229" s="15" t="n"/>
      <c r="C229" s="60" t="n"/>
      <c r="D229" s="20" t="n"/>
      <c r="E229" s="16" t="n"/>
      <c r="F229" s="17" t="n"/>
      <c r="G229" s="15" t="n"/>
      <c r="H229" s="18">
        <f>IF($A229="","",$E229*fam_yakitBirimFiyat)</f>
        <v/>
      </c>
      <c r="I229" s="18">
        <f>IF($A229="","",$D229*IFERROR(SUMIF(tblVarliklar[VarlikId],$B229,tblVarliklar[AmortismanTlKm]),fam_amortismanTlKm))</f>
        <v/>
      </c>
      <c r="J229" s="18">
        <f>IF($A229="","",IFERROR(SUMIF(tblVarliklar[VarlikId],$B229,tblVarliklar[SigortaYillikTl]),fam_sigortaYillik)/365*fam_sigortaGunPay)</f>
        <v/>
      </c>
      <c r="K229" s="18">
        <f>IF($A229="","",$H229+$F229+$I229+$J229)</f>
        <v/>
      </c>
      <c r="L229" s="18">
        <f>IF(OR($A229="",$D229=0),"",$K229/$D229)</f>
        <v/>
      </c>
      <c r="M229" s="18">
        <f>IF($A229="","",MAX(0,MIN(100,fam_kaliteTaban-IF($L229&gt;fam_esikKmBasi,fam_kaliteCeza,0)-IF($F229&gt;fam_esikBakimTl,fam_kaliteSapma,0)-IF($P229="YETIM",fam_kaliteCeza,0))))</f>
        <v/>
      </c>
      <c r="N229" s="18">
        <f>IF($A229="","",IF(OR($L229&gt;fam_esikKmBasi,$F229&gt;fam_esikBakimTl,$M229&lt;fam_esikSaglik),"ALARM","UYGUN"))</f>
        <v/>
      </c>
      <c r="O229" s="18">
        <f>IF($A229="","",1)</f>
        <v/>
      </c>
      <c r="P229" s="18">
        <f>IF($A229="","",IF(OR($B229="",COUNTIF(tblVarliklar[VarlikId],$B229)=0),"YETIM","TAMAM"))</f>
        <v/>
      </c>
    </row>
    <row r="230">
      <c r="A230" s="15" t="n"/>
      <c r="B230" s="15" t="n"/>
      <c r="C230" s="60" t="n"/>
      <c r="D230" s="20" t="n"/>
      <c r="E230" s="16" t="n"/>
      <c r="F230" s="17" t="n"/>
      <c r="G230" s="15" t="n"/>
      <c r="H230" s="18">
        <f>IF($A230="","",$E230*fam_yakitBirimFiyat)</f>
        <v/>
      </c>
      <c r="I230" s="18">
        <f>IF($A230="","",$D230*IFERROR(SUMIF(tblVarliklar[VarlikId],$B230,tblVarliklar[AmortismanTlKm]),fam_amortismanTlKm))</f>
        <v/>
      </c>
      <c r="J230" s="18">
        <f>IF($A230="","",IFERROR(SUMIF(tblVarliklar[VarlikId],$B230,tblVarliklar[SigortaYillikTl]),fam_sigortaYillik)/365*fam_sigortaGunPay)</f>
        <v/>
      </c>
      <c r="K230" s="18">
        <f>IF($A230="","",$H230+$F230+$I230+$J230)</f>
        <v/>
      </c>
      <c r="L230" s="18">
        <f>IF(OR($A230="",$D230=0),"",$K230/$D230)</f>
        <v/>
      </c>
      <c r="M230" s="18">
        <f>IF($A230="","",MAX(0,MIN(100,fam_kaliteTaban-IF($L230&gt;fam_esikKmBasi,fam_kaliteCeza,0)-IF($F230&gt;fam_esikBakimTl,fam_kaliteSapma,0)-IF($P230="YETIM",fam_kaliteCeza,0))))</f>
        <v/>
      </c>
      <c r="N230" s="18">
        <f>IF($A230="","",IF(OR($L230&gt;fam_esikKmBasi,$F230&gt;fam_esikBakimTl,$M230&lt;fam_esikSaglik),"ALARM","UYGUN"))</f>
        <v/>
      </c>
      <c r="O230" s="18">
        <f>IF($A230="","",1)</f>
        <v/>
      </c>
      <c r="P230" s="18">
        <f>IF($A230="","",IF(OR($B230="",COUNTIF(tblVarliklar[VarlikId],$B230)=0),"YETIM","TAMAM"))</f>
        <v/>
      </c>
    </row>
    <row r="231">
      <c r="A231" s="15" t="n"/>
      <c r="B231" s="15" t="n"/>
      <c r="C231" s="60" t="n"/>
      <c r="D231" s="20" t="n"/>
      <c r="E231" s="16" t="n"/>
      <c r="F231" s="17" t="n"/>
      <c r="G231" s="15" t="n"/>
      <c r="H231" s="18">
        <f>IF($A231="","",$E231*fam_yakitBirimFiyat)</f>
        <v/>
      </c>
      <c r="I231" s="18">
        <f>IF($A231="","",$D231*IFERROR(SUMIF(tblVarliklar[VarlikId],$B231,tblVarliklar[AmortismanTlKm]),fam_amortismanTlKm))</f>
        <v/>
      </c>
      <c r="J231" s="18">
        <f>IF($A231="","",IFERROR(SUMIF(tblVarliklar[VarlikId],$B231,tblVarliklar[SigortaYillikTl]),fam_sigortaYillik)/365*fam_sigortaGunPay)</f>
        <v/>
      </c>
      <c r="K231" s="18">
        <f>IF($A231="","",$H231+$F231+$I231+$J231)</f>
        <v/>
      </c>
      <c r="L231" s="18">
        <f>IF(OR($A231="",$D231=0),"",$K231/$D231)</f>
        <v/>
      </c>
      <c r="M231" s="18">
        <f>IF($A231="","",MAX(0,MIN(100,fam_kaliteTaban-IF($L231&gt;fam_esikKmBasi,fam_kaliteCeza,0)-IF($F231&gt;fam_esikBakimTl,fam_kaliteSapma,0)-IF($P231="YETIM",fam_kaliteCeza,0))))</f>
        <v/>
      </c>
      <c r="N231" s="18">
        <f>IF($A231="","",IF(OR($L231&gt;fam_esikKmBasi,$F231&gt;fam_esikBakimTl,$M231&lt;fam_esikSaglik),"ALARM","UYGUN"))</f>
        <v/>
      </c>
      <c r="O231" s="18">
        <f>IF($A231="","",1)</f>
        <v/>
      </c>
      <c r="P231" s="18">
        <f>IF($A231="","",IF(OR($B231="",COUNTIF(tblVarliklar[VarlikId],$B231)=0),"YETIM","TAMAM"))</f>
        <v/>
      </c>
    </row>
    <row r="232">
      <c r="A232" s="15" t="n"/>
      <c r="B232" s="15" t="n"/>
      <c r="C232" s="60" t="n"/>
      <c r="D232" s="20" t="n"/>
      <c r="E232" s="16" t="n"/>
      <c r="F232" s="17" t="n"/>
      <c r="G232" s="15" t="n"/>
      <c r="H232" s="18">
        <f>IF($A232="","",$E232*fam_yakitBirimFiyat)</f>
        <v/>
      </c>
      <c r="I232" s="18">
        <f>IF($A232="","",$D232*IFERROR(SUMIF(tblVarliklar[VarlikId],$B232,tblVarliklar[AmortismanTlKm]),fam_amortismanTlKm))</f>
        <v/>
      </c>
      <c r="J232" s="18">
        <f>IF($A232="","",IFERROR(SUMIF(tblVarliklar[VarlikId],$B232,tblVarliklar[SigortaYillikTl]),fam_sigortaYillik)/365*fam_sigortaGunPay)</f>
        <v/>
      </c>
      <c r="K232" s="18">
        <f>IF($A232="","",$H232+$F232+$I232+$J232)</f>
        <v/>
      </c>
      <c r="L232" s="18">
        <f>IF(OR($A232="",$D232=0),"",$K232/$D232)</f>
        <v/>
      </c>
      <c r="M232" s="18">
        <f>IF($A232="","",MAX(0,MIN(100,fam_kaliteTaban-IF($L232&gt;fam_esikKmBasi,fam_kaliteCeza,0)-IF($F232&gt;fam_esikBakimTl,fam_kaliteSapma,0)-IF($P232="YETIM",fam_kaliteCeza,0))))</f>
        <v/>
      </c>
      <c r="N232" s="18">
        <f>IF($A232="","",IF(OR($L232&gt;fam_esikKmBasi,$F232&gt;fam_esikBakimTl,$M232&lt;fam_esikSaglik),"ALARM","UYGUN"))</f>
        <v/>
      </c>
      <c r="O232" s="18">
        <f>IF($A232="","",1)</f>
        <v/>
      </c>
      <c r="P232" s="18">
        <f>IF($A232="","",IF(OR($B232="",COUNTIF(tblVarliklar[VarlikId],$B232)=0),"YETIM","TAMAM"))</f>
        <v/>
      </c>
    </row>
    <row r="233">
      <c r="A233" s="15" t="n"/>
      <c r="B233" s="15" t="n"/>
      <c r="C233" s="60" t="n"/>
      <c r="D233" s="20" t="n"/>
      <c r="E233" s="16" t="n"/>
      <c r="F233" s="17" t="n"/>
      <c r="G233" s="15" t="n"/>
      <c r="H233" s="18">
        <f>IF($A233="","",$E233*fam_yakitBirimFiyat)</f>
        <v/>
      </c>
      <c r="I233" s="18">
        <f>IF($A233="","",$D233*IFERROR(SUMIF(tblVarliklar[VarlikId],$B233,tblVarliklar[AmortismanTlKm]),fam_amortismanTlKm))</f>
        <v/>
      </c>
      <c r="J233" s="18">
        <f>IF($A233="","",IFERROR(SUMIF(tblVarliklar[VarlikId],$B233,tblVarliklar[SigortaYillikTl]),fam_sigortaYillik)/365*fam_sigortaGunPay)</f>
        <v/>
      </c>
      <c r="K233" s="18">
        <f>IF($A233="","",$H233+$F233+$I233+$J233)</f>
        <v/>
      </c>
      <c r="L233" s="18">
        <f>IF(OR($A233="",$D233=0),"",$K233/$D233)</f>
        <v/>
      </c>
      <c r="M233" s="18">
        <f>IF($A233="","",MAX(0,MIN(100,fam_kaliteTaban-IF($L233&gt;fam_esikKmBasi,fam_kaliteCeza,0)-IF($F233&gt;fam_esikBakimTl,fam_kaliteSapma,0)-IF($P233="YETIM",fam_kaliteCeza,0))))</f>
        <v/>
      </c>
      <c r="N233" s="18">
        <f>IF($A233="","",IF(OR($L233&gt;fam_esikKmBasi,$F233&gt;fam_esikBakimTl,$M233&lt;fam_esikSaglik),"ALARM","UYGUN"))</f>
        <v/>
      </c>
      <c r="O233" s="18">
        <f>IF($A233="","",1)</f>
        <v/>
      </c>
      <c r="P233" s="18">
        <f>IF($A233="","",IF(OR($B233="",COUNTIF(tblVarliklar[VarlikId],$B233)=0),"YETIM","TAMAM"))</f>
        <v/>
      </c>
    </row>
    <row r="234">
      <c r="A234" s="15" t="n"/>
      <c r="B234" s="15" t="n"/>
      <c r="C234" s="60" t="n"/>
      <c r="D234" s="20" t="n"/>
      <c r="E234" s="16" t="n"/>
      <c r="F234" s="17" t="n"/>
      <c r="G234" s="15" t="n"/>
      <c r="H234" s="18">
        <f>IF($A234="","",$E234*fam_yakitBirimFiyat)</f>
        <v/>
      </c>
      <c r="I234" s="18">
        <f>IF($A234="","",$D234*IFERROR(SUMIF(tblVarliklar[VarlikId],$B234,tblVarliklar[AmortismanTlKm]),fam_amortismanTlKm))</f>
        <v/>
      </c>
      <c r="J234" s="18">
        <f>IF($A234="","",IFERROR(SUMIF(tblVarliklar[VarlikId],$B234,tblVarliklar[SigortaYillikTl]),fam_sigortaYillik)/365*fam_sigortaGunPay)</f>
        <v/>
      </c>
      <c r="K234" s="18">
        <f>IF($A234="","",$H234+$F234+$I234+$J234)</f>
        <v/>
      </c>
      <c r="L234" s="18">
        <f>IF(OR($A234="",$D234=0),"",$K234/$D234)</f>
        <v/>
      </c>
      <c r="M234" s="18">
        <f>IF($A234="","",MAX(0,MIN(100,fam_kaliteTaban-IF($L234&gt;fam_esikKmBasi,fam_kaliteCeza,0)-IF($F234&gt;fam_esikBakimTl,fam_kaliteSapma,0)-IF($P234="YETIM",fam_kaliteCeza,0))))</f>
        <v/>
      </c>
      <c r="N234" s="18">
        <f>IF($A234="","",IF(OR($L234&gt;fam_esikKmBasi,$F234&gt;fam_esikBakimTl,$M234&lt;fam_esikSaglik),"ALARM","UYGUN"))</f>
        <v/>
      </c>
      <c r="O234" s="18">
        <f>IF($A234="","",1)</f>
        <v/>
      </c>
      <c r="P234" s="18">
        <f>IF($A234="","",IF(OR($B234="",COUNTIF(tblVarliklar[VarlikId],$B234)=0),"YETIM","TAMAM"))</f>
        <v/>
      </c>
    </row>
    <row r="235">
      <c r="A235" s="15" t="n"/>
      <c r="B235" s="15" t="n"/>
      <c r="C235" s="60" t="n"/>
      <c r="D235" s="20" t="n"/>
      <c r="E235" s="16" t="n"/>
      <c r="F235" s="17" t="n"/>
      <c r="G235" s="15" t="n"/>
      <c r="H235" s="18">
        <f>IF($A235="","",$E235*fam_yakitBirimFiyat)</f>
        <v/>
      </c>
      <c r="I235" s="18">
        <f>IF($A235="","",$D235*IFERROR(SUMIF(tblVarliklar[VarlikId],$B235,tblVarliklar[AmortismanTlKm]),fam_amortismanTlKm))</f>
        <v/>
      </c>
      <c r="J235" s="18">
        <f>IF($A235="","",IFERROR(SUMIF(tblVarliklar[VarlikId],$B235,tblVarliklar[SigortaYillikTl]),fam_sigortaYillik)/365*fam_sigortaGunPay)</f>
        <v/>
      </c>
      <c r="K235" s="18">
        <f>IF($A235="","",$H235+$F235+$I235+$J235)</f>
        <v/>
      </c>
      <c r="L235" s="18">
        <f>IF(OR($A235="",$D235=0),"",$K235/$D235)</f>
        <v/>
      </c>
      <c r="M235" s="18">
        <f>IF($A235="","",MAX(0,MIN(100,fam_kaliteTaban-IF($L235&gt;fam_esikKmBasi,fam_kaliteCeza,0)-IF($F235&gt;fam_esikBakimTl,fam_kaliteSapma,0)-IF($P235="YETIM",fam_kaliteCeza,0))))</f>
        <v/>
      </c>
      <c r="N235" s="18">
        <f>IF($A235="","",IF(OR($L235&gt;fam_esikKmBasi,$F235&gt;fam_esikBakimTl,$M235&lt;fam_esikSaglik),"ALARM","UYGUN"))</f>
        <v/>
      </c>
      <c r="O235" s="18">
        <f>IF($A235="","",1)</f>
        <v/>
      </c>
      <c r="P235" s="18">
        <f>IF($A235="","",IF(OR($B235="",COUNTIF(tblVarliklar[VarlikId],$B235)=0),"YETIM","TAMAM"))</f>
        <v/>
      </c>
    </row>
    <row r="236">
      <c r="A236" s="15" t="n"/>
      <c r="B236" s="15" t="n"/>
      <c r="C236" s="60" t="n"/>
      <c r="D236" s="20" t="n"/>
      <c r="E236" s="16" t="n"/>
      <c r="F236" s="17" t="n"/>
      <c r="G236" s="15" t="n"/>
      <c r="H236" s="18">
        <f>IF($A236="","",$E236*fam_yakitBirimFiyat)</f>
        <v/>
      </c>
      <c r="I236" s="18">
        <f>IF($A236="","",$D236*IFERROR(SUMIF(tblVarliklar[VarlikId],$B236,tblVarliklar[AmortismanTlKm]),fam_amortismanTlKm))</f>
        <v/>
      </c>
      <c r="J236" s="18">
        <f>IF($A236="","",IFERROR(SUMIF(tblVarliklar[VarlikId],$B236,tblVarliklar[SigortaYillikTl]),fam_sigortaYillik)/365*fam_sigortaGunPay)</f>
        <v/>
      </c>
      <c r="K236" s="18">
        <f>IF($A236="","",$H236+$F236+$I236+$J236)</f>
        <v/>
      </c>
      <c r="L236" s="18">
        <f>IF(OR($A236="",$D236=0),"",$K236/$D236)</f>
        <v/>
      </c>
      <c r="M236" s="18">
        <f>IF($A236="","",MAX(0,MIN(100,fam_kaliteTaban-IF($L236&gt;fam_esikKmBasi,fam_kaliteCeza,0)-IF($F236&gt;fam_esikBakimTl,fam_kaliteSapma,0)-IF($P236="YETIM",fam_kaliteCeza,0))))</f>
        <v/>
      </c>
      <c r="N236" s="18">
        <f>IF($A236="","",IF(OR($L236&gt;fam_esikKmBasi,$F236&gt;fam_esikBakimTl,$M236&lt;fam_esikSaglik),"ALARM","UYGUN"))</f>
        <v/>
      </c>
      <c r="O236" s="18">
        <f>IF($A236="","",1)</f>
        <v/>
      </c>
      <c r="P236" s="18">
        <f>IF($A236="","",IF(OR($B236="",COUNTIF(tblVarliklar[VarlikId],$B236)=0),"YETIM","TAMAM"))</f>
        <v/>
      </c>
    </row>
    <row r="237">
      <c r="A237" s="15" t="n"/>
      <c r="B237" s="15" t="n"/>
      <c r="C237" s="60" t="n"/>
      <c r="D237" s="20" t="n"/>
      <c r="E237" s="16" t="n"/>
      <c r="F237" s="17" t="n"/>
      <c r="G237" s="15" t="n"/>
      <c r="H237" s="18">
        <f>IF($A237="","",$E237*fam_yakitBirimFiyat)</f>
        <v/>
      </c>
      <c r="I237" s="18">
        <f>IF($A237="","",$D237*IFERROR(SUMIF(tblVarliklar[VarlikId],$B237,tblVarliklar[AmortismanTlKm]),fam_amortismanTlKm))</f>
        <v/>
      </c>
      <c r="J237" s="18">
        <f>IF($A237="","",IFERROR(SUMIF(tblVarliklar[VarlikId],$B237,tblVarliklar[SigortaYillikTl]),fam_sigortaYillik)/365*fam_sigortaGunPay)</f>
        <v/>
      </c>
      <c r="K237" s="18">
        <f>IF($A237="","",$H237+$F237+$I237+$J237)</f>
        <v/>
      </c>
      <c r="L237" s="18">
        <f>IF(OR($A237="",$D237=0),"",$K237/$D237)</f>
        <v/>
      </c>
      <c r="M237" s="18">
        <f>IF($A237="","",MAX(0,MIN(100,fam_kaliteTaban-IF($L237&gt;fam_esikKmBasi,fam_kaliteCeza,0)-IF($F237&gt;fam_esikBakimTl,fam_kaliteSapma,0)-IF($P237="YETIM",fam_kaliteCeza,0))))</f>
        <v/>
      </c>
      <c r="N237" s="18">
        <f>IF($A237="","",IF(OR($L237&gt;fam_esikKmBasi,$F237&gt;fam_esikBakimTl,$M237&lt;fam_esikSaglik),"ALARM","UYGUN"))</f>
        <v/>
      </c>
      <c r="O237" s="18">
        <f>IF($A237="","",1)</f>
        <v/>
      </c>
      <c r="P237" s="18">
        <f>IF($A237="","",IF(OR($B237="",COUNTIF(tblVarliklar[VarlikId],$B237)=0),"YETIM","TAMAM"))</f>
        <v/>
      </c>
    </row>
    <row r="238">
      <c r="A238" s="15" t="n"/>
      <c r="B238" s="15" t="n"/>
      <c r="C238" s="60" t="n"/>
      <c r="D238" s="20" t="n"/>
      <c r="E238" s="16" t="n"/>
      <c r="F238" s="17" t="n"/>
      <c r="G238" s="15" t="n"/>
      <c r="H238" s="18">
        <f>IF($A238="","",$E238*fam_yakitBirimFiyat)</f>
        <v/>
      </c>
      <c r="I238" s="18">
        <f>IF($A238="","",$D238*IFERROR(SUMIF(tblVarliklar[VarlikId],$B238,tblVarliklar[AmortismanTlKm]),fam_amortismanTlKm))</f>
        <v/>
      </c>
      <c r="J238" s="18">
        <f>IF($A238="","",IFERROR(SUMIF(tblVarliklar[VarlikId],$B238,tblVarliklar[SigortaYillikTl]),fam_sigortaYillik)/365*fam_sigortaGunPay)</f>
        <v/>
      </c>
      <c r="K238" s="18">
        <f>IF($A238="","",$H238+$F238+$I238+$J238)</f>
        <v/>
      </c>
      <c r="L238" s="18">
        <f>IF(OR($A238="",$D238=0),"",$K238/$D238)</f>
        <v/>
      </c>
      <c r="M238" s="18">
        <f>IF($A238="","",MAX(0,MIN(100,fam_kaliteTaban-IF($L238&gt;fam_esikKmBasi,fam_kaliteCeza,0)-IF($F238&gt;fam_esikBakimTl,fam_kaliteSapma,0)-IF($P238="YETIM",fam_kaliteCeza,0))))</f>
        <v/>
      </c>
      <c r="N238" s="18">
        <f>IF($A238="","",IF(OR($L238&gt;fam_esikKmBasi,$F238&gt;fam_esikBakimTl,$M238&lt;fam_esikSaglik),"ALARM","UYGUN"))</f>
        <v/>
      </c>
      <c r="O238" s="18">
        <f>IF($A238="","",1)</f>
        <v/>
      </c>
      <c r="P238" s="18">
        <f>IF($A238="","",IF(OR($B238="",COUNTIF(tblVarliklar[VarlikId],$B238)=0),"YETIM","TAMAM"))</f>
        <v/>
      </c>
    </row>
    <row r="239">
      <c r="A239" s="15" t="n"/>
      <c r="B239" s="15" t="n"/>
      <c r="C239" s="60" t="n"/>
      <c r="D239" s="20" t="n"/>
      <c r="E239" s="16" t="n"/>
      <c r="F239" s="17" t="n"/>
      <c r="G239" s="15" t="n"/>
      <c r="H239" s="18">
        <f>IF($A239="","",$E239*fam_yakitBirimFiyat)</f>
        <v/>
      </c>
      <c r="I239" s="18">
        <f>IF($A239="","",$D239*IFERROR(SUMIF(tblVarliklar[VarlikId],$B239,tblVarliklar[AmortismanTlKm]),fam_amortismanTlKm))</f>
        <v/>
      </c>
      <c r="J239" s="18">
        <f>IF($A239="","",IFERROR(SUMIF(tblVarliklar[VarlikId],$B239,tblVarliklar[SigortaYillikTl]),fam_sigortaYillik)/365*fam_sigortaGunPay)</f>
        <v/>
      </c>
      <c r="K239" s="18">
        <f>IF($A239="","",$H239+$F239+$I239+$J239)</f>
        <v/>
      </c>
      <c r="L239" s="18">
        <f>IF(OR($A239="",$D239=0),"",$K239/$D239)</f>
        <v/>
      </c>
      <c r="M239" s="18">
        <f>IF($A239="","",MAX(0,MIN(100,fam_kaliteTaban-IF($L239&gt;fam_esikKmBasi,fam_kaliteCeza,0)-IF($F239&gt;fam_esikBakimTl,fam_kaliteSapma,0)-IF($P239="YETIM",fam_kaliteCeza,0))))</f>
        <v/>
      </c>
      <c r="N239" s="18">
        <f>IF($A239="","",IF(OR($L239&gt;fam_esikKmBasi,$F239&gt;fam_esikBakimTl,$M239&lt;fam_esikSaglik),"ALARM","UYGUN"))</f>
        <v/>
      </c>
      <c r="O239" s="18">
        <f>IF($A239="","",1)</f>
        <v/>
      </c>
      <c r="P239" s="18">
        <f>IF($A239="","",IF(OR($B239="",COUNTIF(tblVarliklar[VarlikId],$B239)=0),"YETIM","TAMAM"))</f>
        <v/>
      </c>
    </row>
    <row r="240">
      <c r="A240" s="15" t="n"/>
      <c r="B240" s="15" t="n"/>
      <c r="C240" s="60" t="n"/>
      <c r="D240" s="20" t="n"/>
      <c r="E240" s="16" t="n"/>
      <c r="F240" s="17" t="n"/>
      <c r="G240" s="15" t="n"/>
      <c r="H240" s="18">
        <f>IF($A240="","",$E240*fam_yakitBirimFiyat)</f>
        <v/>
      </c>
      <c r="I240" s="18">
        <f>IF($A240="","",$D240*IFERROR(SUMIF(tblVarliklar[VarlikId],$B240,tblVarliklar[AmortismanTlKm]),fam_amortismanTlKm))</f>
        <v/>
      </c>
      <c r="J240" s="18">
        <f>IF($A240="","",IFERROR(SUMIF(tblVarliklar[VarlikId],$B240,tblVarliklar[SigortaYillikTl]),fam_sigortaYillik)/365*fam_sigortaGunPay)</f>
        <v/>
      </c>
      <c r="K240" s="18">
        <f>IF($A240="","",$H240+$F240+$I240+$J240)</f>
        <v/>
      </c>
      <c r="L240" s="18">
        <f>IF(OR($A240="",$D240=0),"",$K240/$D240)</f>
        <v/>
      </c>
      <c r="M240" s="18">
        <f>IF($A240="","",MAX(0,MIN(100,fam_kaliteTaban-IF($L240&gt;fam_esikKmBasi,fam_kaliteCeza,0)-IF($F240&gt;fam_esikBakimTl,fam_kaliteSapma,0)-IF($P240="YETIM",fam_kaliteCeza,0))))</f>
        <v/>
      </c>
      <c r="N240" s="18">
        <f>IF($A240="","",IF(OR($L240&gt;fam_esikKmBasi,$F240&gt;fam_esikBakimTl,$M240&lt;fam_esikSaglik),"ALARM","UYGUN"))</f>
        <v/>
      </c>
      <c r="O240" s="18">
        <f>IF($A240="","",1)</f>
        <v/>
      </c>
      <c r="P240" s="18">
        <f>IF($A240="","",IF(OR($B240="",COUNTIF(tblVarliklar[VarlikId],$B240)=0),"YETIM","TAMAM"))</f>
        <v/>
      </c>
    </row>
    <row r="241">
      <c r="A241" s="15" t="n"/>
      <c r="B241" s="15" t="n"/>
      <c r="C241" s="60" t="n"/>
      <c r="D241" s="20" t="n"/>
      <c r="E241" s="16" t="n"/>
      <c r="F241" s="17" t="n"/>
      <c r="G241" s="15" t="n"/>
      <c r="H241" s="18">
        <f>IF($A241="","",$E241*fam_yakitBirimFiyat)</f>
        <v/>
      </c>
      <c r="I241" s="18">
        <f>IF($A241="","",$D241*IFERROR(SUMIF(tblVarliklar[VarlikId],$B241,tblVarliklar[AmortismanTlKm]),fam_amortismanTlKm))</f>
        <v/>
      </c>
      <c r="J241" s="18">
        <f>IF($A241="","",IFERROR(SUMIF(tblVarliklar[VarlikId],$B241,tblVarliklar[SigortaYillikTl]),fam_sigortaYillik)/365*fam_sigortaGunPay)</f>
        <v/>
      </c>
      <c r="K241" s="18">
        <f>IF($A241="","",$H241+$F241+$I241+$J241)</f>
        <v/>
      </c>
      <c r="L241" s="18">
        <f>IF(OR($A241="",$D241=0),"",$K241/$D241)</f>
        <v/>
      </c>
      <c r="M241" s="18">
        <f>IF($A241="","",MAX(0,MIN(100,fam_kaliteTaban-IF($L241&gt;fam_esikKmBasi,fam_kaliteCeza,0)-IF($F241&gt;fam_esikBakimTl,fam_kaliteSapma,0)-IF($P241="YETIM",fam_kaliteCeza,0))))</f>
        <v/>
      </c>
      <c r="N241" s="18">
        <f>IF($A241="","",IF(OR($L241&gt;fam_esikKmBasi,$F241&gt;fam_esikBakimTl,$M241&lt;fam_esikSaglik),"ALARM","UYGUN"))</f>
        <v/>
      </c>
      <c r="O241" s="18">
        <f>IF($A241="","",1)</f>
        <v/>
      </c>
      <c r="P241" s="18">
        <f>IF($A241="","",IF(OR($B241="",COUNTIF(tblVarliklar[VarlikId],$B241)=0),"YETIM","TAMAM"))</f>
        <v/>
      </c>
    </row>
    <row r="242">
      <c r="A242" s="15" t="n"/>
      <c r="B242" s="15" t="n"/>
      <c r="C242" s="60" t="n"/>
      <c r="D242" s="20" t="n"/>
      <c r="E242" s="16" t="n"/>
      <c r="F242" s="17" t="n"/>
      <c r="G242" s="15" t="n"/>
      <c r="H242" s="18">
        <f>IF($A242="","",$E242*fam_yakitBirimFiyat)</f>
        <v/>
      </c>
      <c r="I242" s="18">
        <f>IF($A242="","",$D242*IFERROR(SUMIF(tblVarliklar[VarlikId],$B242,tblVarliklar[AmortismanTlKm]),fam_amortismanTlKm))</f>
        <v/>
      </c>
      <c r="J242" s="18">
        <f>IF($A242="","",IFERROR(SUMIF(tblVarliklar[VarlikId],$B242,tblVarliklar[SigortaYillikTl]),fam_sigortaYillik)/365*fam_sigortaGunPay)</f>
        <v/>
      </c>
      <c r="K242" s="18">
        <f>IF($A242="","",$H242+$F242+$I242+$J242)</f>
        <v/>
      </c>
      <c r="L242" s="18">
        <f>IF(OR($A242="",$D242=0),"",$K242/$D242)</f>
        <v/>
      </c>
      <c r="M242" s="18">
        <f>IF($A242="","",MAX(0,MIN(100,fam_kaliteTaban-IF($L242&gt;fam_esikKmBasi,fam_kaliteCeza,0)-IF($F242&gt;fam_esikBakimTl,fam_kaliteSapma,0)-IF($P242="YETIM",fam_kaliteCeza,0))))</f>
        <v/>
      </c>
      <c r="N242" s="18">
        <f>IF($A242="","",IF(OR($L242&gt;fam_esikKmBasi,$F242&gt;fam_esikBakimTl,$M242&lt;fam_esikSaglik),"ALARM","UYGUN"))</f>
        <v/>
      </c>
      <c r="O242" s="18">
        <f>IF($A242="","",1)</f>
        <v/>
      </c>
      <c r="P242" s="18">
        <f>IF($A242="","",IF(OR($B242="",COUNTIF(tblVarliklar[VarlikId],$B242)=0),"YETIM","TAMAM"))</f>
        <v/>
      </c>
    </row>
    <row r="243">
      <c r="A243" s="15" t="n"/>
      <c r="B243" s="15" t="n"/>
      <c r="C243" s="60" t="n"/>
      <c r="D243" s="20" t="n"/>
      <c r="E243" s="16" t="n"/>
      <c r="F243" s="17" t="n"/>
      <c r="G243" s="15" t="n"/>
      <c r="H243" s="18">
        <f>IF($A243="","",$E243*fam_yakitBirimFiyat)</f>
        <v/>
      </c>
      <c r="I243" s="18">
        <f>IF($A243="","",$D243*IFERROR(SUMIF(tblVarliklar[VarlikId],$B243,tblVarliklar[AmortismanTlKm]),fam_amortismanTlKm))</f>
        <v/>
      </c>
      <c r="J243" s="18">
        <f>IF($A243="","",IFERROR(SUMIF(tblVarliklar[VarlikId],$B243,tblVarliklar[SigortaYillikTl]),fam_sigortaYillik)/365*fam_sigortaGunPay)</f>
        <v/>
      </c>
      <c r="K243" s="18">
        <f>IF($A243="","",$H243+$F243+$I243+$J243)</f>
        <v/>
      </c>
      <c r="L243" s="18">
        <f>IF(OR($A243="",$D243=0),"",$K243/$D243)</f>
        <v/>
      </c>
      <c r="M243" s="18">
        <f>IF($A243="","",MAX(0,MIN(100,fam_kaliteTaban-IF($L243&gt;fam_esikKmBasi,fam_kaliteCeza,0)-IF($F243&gt;fam_esikBakimTl,fam_kaliteSapma,0)-IF($P243="YETIM",fam_kaliteCeza,0))))</f>
        <v/>
      </c>
      <c r="N243" s="18">
        <f>IF($A243="","",IF(OR($L243&gt;fam_esikKmBasi,$F243&gt;fam_esikBakimTl,$M243&lt;fam_esikSaglik),"ALARM","UYGUN"))</f>
        <v/>
      </c>
      <c r="O243" s="18">
        <f>IF($A243="","",1)</f>
        <v/>
      </c>
      <c r="P243" s="18">
        <f>IF($A243="","",IF(OR($B243="",COUNTIF(tblVarliklar[VarlikId],$B243)=0),"YETIM","TAMAM"))</f>
        <v/>
      </c>
    </row>
    <row r="244">
      <c r="A244" s="15" t="n"/>
      <c r="B244" s="15" t="n"/>
      <c r="C244" s="60" t="n"/>
      <c r="D244" s="20" t="n"/>
      <c r="E244" s="16" t="n"/>
      <c r="F244" s="17" t="n"/>
      <c r="G244" s="15" t="n"/>
      <c r="H244" s="18">
        <f>IF($A244="","",$E244*fam_yakitBirimFiyat)</f>
        <v/>
      </c>
      <c r="I244" s="18">
        <f>IF($A244="","",$D244*IFERROR(SUMIF(tblVarliklar[VarlikId],$B244,tblVarliklar[AmortismanTlKm]),fam_amortismanTlKm))</f>
        <v/>
      </c>
      <c r="J244" s="18">
        <f>IF($A244="","",IFERROR(SUMIF(tblVarliklar[VarlikId],$B244,tblVarliklar[SigortaYillikTl]),fam_sigortaYillik)/365*fam_sigortaGunPay)</f>
        <v/>
      </c>
      <c r="K244" s="18">
        <f>IF($A244="","",$H244+$F244+$I244+$J244)</f>
        <v/>
      </c>
      <c r="L244" s="18">
        <f>IF(OR($A244="",$D244=0),"",$K244/$D244)</f>
        <v/>
      </c>
      <c r="M244" s="18">
        <f>IF($A244="","",MAX(0,MIN(100,fam_kaliteTaban-IF($L244&gt;fam_esikKmBasi,fam_kaliteCeza,0)-IF($F244&gt;fam_esikBakimTl,fam_kaliteSapma,0)-IF($P244="YETIM",fam_kaliteCeza,0))))</f>
        <v/>
      </c>
      <c r="N244" s="18">
        <f>IF($A244="","",IF(OR($L244&gt;fam_esikKmBasi,$F244&gt;fam_esikBakimTl,$M244&lt;fam_esikSaglik),"ALARM","UYGUN"))</f>
        <v/>
      </c>
      <c r="O244" s="18">
        <f>IF($A244="","",1)</f>
        <v/>
      </c>
      <c r="P244" s="18">
        <f>IF($A244="","",IF(OR($B244="",COUNTIF(tblVarliklar[VarlikId],$B244)=0),"YETIM","TAMAM"))</f>
        <v/>
      </c>
    </row>
    <row r="245">
      <c r="A245" s="15" t="n"/>
      <c r="B245" s="15" t="n"/>
      <c r="C245" s="60" t="n"/>
      <c r="D245" s="20" t="n"/>
      <c r="E245" s="16" t="n"/>
      <c r="F245" s="17" t="n"/>
      <c r="G245" s="15" t="n"/>
      <c r="H245" s="18">
        <f>IF($A245="","",$E245*fam_yakitBirimFiyat)</f>
        <v/>
      </c>
      <c r="I245" s="18">
        <f>IF($A245="","",$D245*IFERROR(SUMIF(tblVarliklar[VarlikId],$B245,tblVarliklar[AmortismanTlKm]),fam_amortismanTlKm))</f>
        <v/>
      </c>
      <c r="J245" s="18">
        <f>IF($A245="","",IFERROR(SUMIF(tblVarliklar[VarlikId],$B245,tblVarliklar[SigortaYillikTl]),fam_sigortaYillik)/365*fam_sigortaGunPay)</f>
        <v/>
      </c>
      <c r="K245" s="18">
        <f>IF($A245="","",$H245+$F245+$I245+$J245)</f>
        <v/>
      </c>
      <c r="L245" s="18">
        <f>IF(OR($A245="",$D245=0),"",$K245/$D245)</f>
        <v/>
      </c>
      <c r="M245" s="18">
        <f>IF($A245="","",MAX(0,MIN(100,fam_kaliteTaban-IF($L245&gt;fam_esikKmBasi,fam_kaliteCeza,0)-IF($F245&gt;fam_esikBakimTl,fam_kaliteSapma,0)-IF($P245="YETIM",fam_kaliteCeza,0))))</f>
        <v/>
      </c>
      <c r="N245" s="18">
        <f>IF($A245="","",IF(OR($L245&gt;fam_esikKmBasi,$F245&gt;fam_esikBakimTl,$M245&lt;fam_esikSaglik),"ALARM","UYGUN"))</f>
        <v/>
      </c>
      <c r="O245" s="18">
        <f>IF($A245="","",1)</f>
        <v/>
      </c>
      <c r="P245" s="18">
        <f>IF($A245="","",IF(OR($B245="",COUNTIF(tblVarliklar[VarlikId],$B245)=0),"YETIM","TAMAM"))</f>
        <v/>
      </c>
    </row>
    <row r="246">
      <c r="A246" s="15" t="n"/>
      <c r="B246" s="15" t="n"/>
      <c r="C246" s="60" t="n"/>
      <c r="D246" s="20" t="n"/>
      <c r="E246" s="16" t="n"/>
      <c r="F246" s="17" t="n"/>
      <c r="G246" s="15" t="n"/>
      <c r="H246" s="18">
        <f>IF($A246="","",$E246*fam_yakitBirimFiyat)</f>
        <v/>
      </c>
      <c r="I246" s="18">
        <f>IF($A246="","",$D246*IFERROR(SUMIF(tblVarliklar[VarlikId],$B246,tblVarliklar[AmortismanTlKm]),fam_amortismanTlKm))</f>
        <v/>
      </c>
      <c r="J246" s="18">
        <f>IF($A246="","",IFERROR(SUMIF(tblVarliklar[VarlikId],$B246,tblVarliklar[SigortaYillikTl]),fam_sigortaYillik)/365*fam_sigortaGunPay)</f>
        <v/>
      </c>
      <c r="K246" s="18">
        <f>IF($A246="","",$H246+$F246+$I246+$J246)</f>
        <v/>
      </c>
      <c r="L246" s="18">
        <f>IF(OR($A246="",$D246=0),"",$K246/$D246)</f>
        <v/>
      </c>
      <c r="M246" s="18">
        <f>IF($A246="","",MAX(0,MIN(100,fam_kaliteTaban-IF($L246&gt;fam_esikKmBasi,fam_kaliteCeza,0)-IF($F246&gt;fam_esikBakimTl,fam_kaliteSapma,0)-IF($P246="YETIM",fam_kaliteCeza,0))))</f>
        <v/>
      </c>
      <c r="N246" s="18">
        <f>IF($A246="","",IF(OR($L246&gt;fam_esikKmBasi,$F246&gt;fam_esikBakimTl,$M246&lt;fam_esikSaglik),"ALARM","UYGUN"))</f>
        <v/>
      </c>
      <c r="O246" s="18">
        <f>IF($A246="","",1)</f>
        <v/>
      </c>
      <c r="P246" s="18">
        <f>IF($A246="","",IF(OR($B246="",COUNTIF(tblVarliklar[VarlikId],$B246)=0),"YETIM","TAMAM"))</f>
        <v/>
      </c>
    </row>
    <row r="247">
      <c r="A247" s="15" t="n"/>
      <c r="B247" s="15" t="n"/>
      <c r="C247" s="60" t="n"/>
      <c r="D247" s="20" t="n"/>
      <c r="E247" s="16" t="n"/>
      <c r="F247" s="17" t="n"/>
      <c r="G247" s="15" t="n"/>
      <c r="H247" s="18">
        <f>IF($A247="","",$E247*fam_yakitBirimFiyat)</f>
        <v/>
      </c>
      <c r="I247" s="18">
        <f>IF($A247="","",$D247*IFERROR(SUMIF(tblVarliklar[VarlikId],$B247,tblVarliklar[AmortismanTlKm]),fam_amortismanTlKm))</f>
        <v/>
      </c>
      <c r="J247" s="18">
        <f>IF($A247="","",IFERROR(SUMIF(tblVarliklar[VarlikId],$B247,tblVarliklar[SigortaYillikTl]),fam_sigortaYillik)/365*fam_sigortaGunPay)</f>
        <v/>
      </c>
      <c r="K247" s="18">
        <f>IF($A247="","",$H247+$F247+$I247+$J247)</f>
        <v/>
      </c>
      <c r="L247" s="18">
        <f>IF(OR($A247="",$D247=0),"",$K247/$D247)</f>
        <v/>
      </c>
      <c r="M247" s="18">
        <f>IF($A247="","",MAX(0,MIN(100,fam_kaliteTaban-IF($L247&gt;fam_esikKmBasi,fam_kaliteCeza,0)-IF($F247&gt;fam_esikBakimTl,fam_kaliteSapma,0)-IF($P247="YETIM",fam_kaliteCeza,0))))</f>
        <v/>
      </c>
      <c r="N247" s="18">
        <f>IF($A247="","",IF(OR($L247&gt;fam_esikKmBasi,$F247&gt;fam_esikBakimTl,$M247&lt;fam_esikSaglik),"ALARM","UYGUN"))</f>
        <v/>
      </c>
      <c r="O247" s="18">
        <f>IF($A247="","",1)</f>
        <v/>
      </c>
      <c r="P247" s="18">
        <f>IF($A247="","",IF(OR($B247="",COUNTIF(tblVarliklar[VarlikId],$B247)=0),"YETIM","TAMAM"))</f>
        <v/>
      </c>
    </row>
    <row r="248">
      <c r="A248" s="15" t="n"/>
      <c r="B248" s="15" t="n"/>
      <c r="C248" s="60" t="n"/>
      <c r="D248" s="20" t="n"/>
      <c r="E248" s="16" t="n"/>
      <c r="F248" s="17" t="n"/>
      <c r="G248" s="15" t="n"/>
      <c r="H248" s="18">
        <f>IF($A248="","",$E248*fam_yakitBirimFiyat)</f>
        <v/>
      </c>
      <c r="I248" s="18">
        <f>IF($A248="","",$D248*IFERROR(SUMIF(tblVarliklar[VarlikId],$B248,tblVarliklar[AmortismanTlKm]),fam_amortismanTlKm))</f>
        <v/>
      </c>
      <c r="J248" s="18">
        <f>IF($A248="","",IFERROR(SUMIF(tblVarliklar[VarlikId],$B248,tblVarliklar[SigortaYillikTl]),fam_sigortaYillik)/365*fam_sigortaGunPay)</f>
        <v/>
      </c>
      <c r="K248" s="18">
        <f>IF($A248="","",$H248+$F248+$I248+$J248)</f>
        <v/>
      </c>
      <c r="L248" s="18">
        <f>IF(OR($A248="",$D248=0),"",$K248/$D248)</f>
        <v/>
      </c>
      <c r="M248" s="18">
        <f>IF($A248="","",MAX(0,MIN(100,fam_kaliteTaban-IF($L248&gt;fam_esikKmBasi,fam_kaliteCeza,0)-IF($F248&gt;fam_esikBakimTl,fam_kaliteSapma,0)-IF($P248="YETIM",fam_kaliteCeza,0))))</f>
        <v/>
      </c>
      <c r="N248" s="18">
        <f>IF($A248="","",IF(OR($L248&gt;fam_esikKmBasi,$F248&gt;fam_esikBakimTl,$M248&lt;fam_esikSaglik),"ALARM","UYGUN"))</f>
        <v/>
      </c>
      <c r="O248" s="18">
        <f>IF($A248="","",1)</f>
        <v/>
      </c>
      <c r="P248" s="18">
        <f>IF($A248="","",IF(OR($B248="",COUNTIF(tblVarliklar[VarlikId],$B248)=0),"YETIM","TAMAM"))</f>
        <v/>
      </c>
    </row>
    <row r="249">
      <c r="A249" s="15" t="n"/>
      <c r="B249" s="15" t="n"/>
      <c r="C249" s="60" t="n"/>
      <c r="D249" s="20" t="n"/>
      <c r="E249" s="16" t="n"/>
      <c r="F249" s="17" t="n"/>
      <c r="G249" s="15" t="n"/>
      <c r="H249" s="18">
        <f>IF($A249="","",$E249*fam_yakitBirimFiyat)</f>
        <v/>
      </c>
      <c r="I249" s="18">
        <f>IF($A249="","",$D249*IFERROR(SUMIF(tblVarliklar[VarlikId],$B249,tblVarliklar[AmortismanTlKm]),fam_amortismanTlKm))</f>
        <v/>
      </c>
      <c r="J249" s="18">
        <f>IF($A249="","",IFERROR(SUMIF(tblVarliklar[VarlikId],$B249,tblVarliklar[SigortaYillikTl]),fam_sigortaYillik)/365*fam_sigortaGunPay)</f>
        <v/>
      </c>
      <c r="K249" s="18">
        <f>IF($A249="","",$H249+$F249+$I249+$J249)</f>
        <v/>
      </c>
      <c r="L249" s="18">
        <f>IF(OR($A249="",$D249=0),"",$K249/$D249)</f>
        <v/>
      </c>
      <c r="M249" s="18">
        <f>IF($A249="","",MAX(0,MIN(100,fam_kaliteTaban-IF($L249&gt;fam_esikKmBasi,fam_kaliteCeza,0)-IF($F249&gt;fam_esikBakimTl,fam_kaliteSapma,0)-IF($P249="YETIM",fam_kaliteCeza,0))))</f>
        <v/>
      </c>
      <c r="N249" s="18">
        <f>IF($A249="","",IF(OR($L249&gt;fam_esikKmBasi,$F249&gt;fam_esikBakimTl,$M249&lt;fam_esikSaglik),"ALARM","UYGUN"))</f>
        <v/>
      </c>
      <c r="O249" s="18">
        <f>IF($A249="","",1)</f>
        <v/>
      </c>
      <c r="P249" s="18">
        <f>IF($A249="","",IF(OR($B249="",COUNTIF(tblVarliklar[VarlikId],$B249)=0),"YETIM","TAMAM"))</f>
        <v/>
      </c>
    </row>
    <row r="250">
      <c r="A250" s="15" t="n"/>
      <c r="B250" s="15" t="n"/>
      <c r="C250" s="60" t="n"/>
      <c r="D250" s="20" t="n"/>
      <c r="E250" s="16" t="n"/>
      <c r="F250" s="17" t="n"/>
      <c r="G250" s="15" t="n"/>
      <c r="H250" s="18">
        <f>IF($A250="","",$E250*fam_yakitBirimFiyat)</f>
        <v/>
      </c>
      <c r="I250" s="18">
        <f>IF($A250="","",$D250*IFERROR(SUMIF(tblVarliklar[VarlikId],$B250,tblVarliklar[AmortismanTlKm]),fam_amortismanTlKm))</f>
        <v/>
      </c>
      <c r="J250" s="18">
        <f>IF($A250="","",IFERROR(SUMIF(tblVarliklar[VarlikId],$B250,tblVarliklar[SigortaYillikTl]),fam_sigortaYillik)/365*fam_sigortaGunPay)</f>
        <v/>
      </c>
      <c r="K250" s="18">
        <f>IF($A250="","",$H250+$F250+$I250+$J250)</f>
        <v/>
      </c>
      <c r="L250" s="18">
        <f>IF(OR($A250="",$D250=0),"",$K250/$D250)</f>
        <v/>
      </c>
      <c r="M250" s="18">
        <f>IF($A250="","",MAX(0,MIN(100,fam_kaliteTaban-IF($L250&gt;fam_esikKmBasi,fam_kaliteCeza,0)-IF($F250&gt;fam_esikBakimTl,fam_kaliteSapma,0)-IF($P250="YETIM",fam_kaliteCeza,0))))</f>
        <v/>
      </c>
      <c r="N250" s="18">
        <f>IF($A250="","",IF(OR($L250&gt;fam_esikKmBasi,$F250&gt;fam_esikBakimTl,$M250&lt;fam_esikSaglik),"ALARM","UYGUN"))</f>
        <v/>
      </c>
      <c r="O250" s="18">
        <f>IF($A250="","",1)</f>
        <v/>
      </c>
      <c r="P250" s="18">
        <f>IF($A250="","",IF(OR($B250="",COUNTIF(tblVarliklar[VarlikId],$B250)=0),"YETIM","TAMAM"))</f>
        <v/>
      </c>
    </row>
    <row r="251">
      <c r="A251" s="15" t="n"/>
      <c r="B251" s="15" t="n"/>
      <c r="C251" s="60" t="n"/>
      <c r="D251" s="20" t="n"/>
      <c r="E251" s="16" t="n"/>
      <c r="F251" s="17" t="n"/>
      <c r="G251" s="15" t="n"/>
      <c r="H251" s="18">
        <f>IF($A251="","",$E251*fam_yakitBirimFiyat)</f>
        <v/>
      </c>
      <c r="I251" s="18">
        <f>IF($A251="","",$D251*IFERROR(SUMIF(tblVarliklar[VarlikId],$B251,tblVarliklar[AmortismanTlKm]),fam_amortismanTlKm))</f>
        <v/>
      </c>
      <c r="J251" s="18">
        <f>IF($A251="","",IFERROR(SUMIF(tblVarliklar[VarlikId],$B251,tblVarliklar[SigortaYillikTl]),fam_sigortaYillik)/365*fam_sigortaGunPay)</f>
        <v/>
      </c>
      <c r="K251" s="18">
        <f>IF($A251="","",$H251+$F251+$I251+$J251)</f>
        <v/>
      </c>
      <c r="L251" s="18">
        <f>IF(OR($A251="",$D251=0),"",$K251/$D251)</f>
        <v/>
      </c>
      <c r="M251" s="18">
        <f>IF($A251="","",MAX(0,MIN(100,fam_kaliteTaban-IF($L251&gt;fam_esikKmBasi,fam_kaliteCeza,0)-IF($F251&gt;fam_esikBakimTl,fam_kaliteSapma,0)-IF($P251="YETIM",fam_kaliteCeza,0))))</f>
        <v/>
      </c>
      <c r="N251" s="18">
        <f>IF($A251="","",IF(OR($L251&gt;fam_esikKmBasi,$F251&gt;fam_esikBakimTl,$M251&lt;fam_esikSaglik),"ALARM","UYGUN"))</f>
        <v/>
      </c>
      <c r="O251" s="18">
        <f>IF($A251="","",1)</f>
        <v/>
      </c>
      <c r="P251" s="18">
        <f>IF($A251="","",IF(OR($B251="",COUNTIF(tblVarliklar[VarlikId],$B251)=0),"YETIM","TAMAM"))</f>
        <v/>
      </c>
    </row>
    <row r="252">
      <c r="A252" s="15" t="n"/>
      <c r="B252" s="15" t="n"/>
      <c r="C252" s="60" t="n"/>
      <c r="D252" s="20" t="n"/>
      <c r="E252" s="16" t="n"/>
      <c r="F252" s="17" t="n"/>
      <c r="G252" s="15" t="n"/>
      <c r="H252" s="18">
        <f>IF($A252="","",$E252*fam_yakitBirimFiyat)</f>
        <v/>
      </c>
      <c r="I252" s="18">
        <f>IF($A252="","",$D252*IFERROR(SUMIF(tblVarliklar[VarlikId],$B252,tblVarliklar[AmortismanTlKm]),fam_amortismanTlKm))</f>
        <v/>
      </c>
      <c r="J252" s="18">
        <f>IF($A252="","",IFERROR(SUMIF(tblVarliklar[VarlikId],$B252,tblVarliklar[SigortaYillikTl]),fam_sigortaYillik)/365*fam_sigortaGunPay)</f>
        <v/>
      </c>
      <c r="K252" s="18">
        <f>IF($A252="","",$H252+$F252+$I252+$J252)</f>
        <v/>
      </c>
      <c r="L252" s="18">
        <f>IF(OR($A252="",$D252=0),"",$K252/$D252)</f>
        <v/>
      </c>
      <c r="M252" s="18">
        <f>IF($A252="","",MAX(0,MIN(100,fam_kaliteTaban-IF($L252&gt;fam_esikKmBasi,fam_kaliteCeza,0)-IF($F252&gt;fam_esikBakimTl,fam_kaliteSapma,0)-IF($P252="YETIM",fam_kaliteCeza,0))))</f>
        <v/>
      </c>
      <c r="N252" s="18">
        <f>IF($A252="","",IF(OR($L252&gt;fam_esikKmBasi,$F252&gt;fam_esikBakimTl,$M252&lt;fam_esikSaglik),"ALARM","UYGUN"))</f>
        <v/>
      </c>
      <c r="O252" s="18">
        <f>IF($A252="","",1)</f>
        <v/>
      </c>
      <c r="P252" s="18">
        <f>IF($A252="","",IF(OR($B252="",COUNTIF(tblVarliklar[VarlikId],$B252)=0),"YETIM","TAMAM"))</f>
        <v/>
      </c>
    </row>
    <row r="253">
      <c r="A253" s="15" t="n"/>
      <c r="B253" s="15" t="n"/>
      <c r="C253" s="60" t="n"/>
      <c r="D253" s="20" t="n"/>
      <c r="E253" s="16" t="n"/>
      <c r="F253" s="17" t="n"/>
      <c r="G253" s="15" t="n"/>
      <c r="H253" s="18">
        <f>IF($A253="","",$E253*fam_yakitBirimFiyat)</f>
        <v/>
      </c>
      <c r="I253" s="18">
        <f>IF($A253="","",$D253*IFERROR(SUMIF(tblVarliklar[VarlikId],$B253,tblVarliklar[AmortismanTlKm]),fam_amortismanTlKm))</f>
        <v/>
      </c>
      <c r="J253" s="18">
        <f>IF($A253="","",IFERROR(SUMIF(tblVarliklar[VarlikId],$B253,tblVarliklar[SigortaYillikTl]),fam_sigortaYillik)/365*fam_sigortaGunPay)</f>
        <v/>
      </c>
      <c r="K253" s="18">
        <f>IF($A253="","",$H253+$F253+$I253+$J253)</f>
        <v/>
      </c>
      <c r="L253" s="18">
        <f>IF(OR($A253="",$D253=0),"",$K253/$D253)</f>
        <v/>
      </c>
      <c r="M253" s="18">
        <f>IF($A253="","",MAX(0,MIN(100,fam_kaliteTaban-IF($L253&gt;fam_esikKmBasi,fam_kaliteCeza,0)-IF($F253&gt;fam_esikBakimTl,fam_kaliteSapma,0)-IF($P253="YETIM",fam_kaliteCeza,0))))</f>
        <v/>
      </c>
      <c r="N253" s="18">
        <f>IF($A253="","",IF(OR($L253&gt;fam_esikKmBasi,$F253&gt;fam_esikBakimTl,$M253&lt;fam_esikSaglik),"ALARM","UYGUN"))</f>
        <v/>
      </c>
      <c r="O253" s="18">
        <f>IF($A253="","",1)</f>
        <v/>
      </c>
      <c r="P253" s="18">
        <f>IF($A253="","",IF(OR($B253="",COUNTIF(tblVarliklar[VarlikId],$B253)=0),"YETIM","TAMAM"))</f>
        <v/>
      </c>
    </row>
    <row r="254">
      <c r="A254" s="15" t="n"/>
      <c r="B254" s="15" t="n"/>
      <c r="C254" s="60" t="n"/>
      <c r="D254" s="20" t="n"/>
      <c r="E254" s="16" t="n"/>
      <c r="F254" s="17" t="n"/>
      <c r="G254" s="15" t="n"/>
      <c r="H254" s="18">
        <f>IF($A254="","",$E254*fam_yakitBirimFiyat)</f>
        <v/>
      </c>
      <c r="I254" s="18">
        <f>IF($A254="","",$D254*IFERROR(SUMIF(tblVarliklar[VarlikId],$B254,tblVarliklar[AmortismanTlKm]),fam_amortismanTlKm))</f>
        <v/>
      </c>
      <c r="J254" s="18">
        <f>IF($A254="","",IFERROR(SUMIF(tblVarliklar[VarlikId],$B254,tblVarliklar[SigortaYillikTl]),fam_sigortaYillik)/365*fam_sigortaGunPay)</f>
        <v/>
      </c>
      <c r="K254" s="18">
        <f>IF($A254="","",$H254+$F254+$I254+$J254)</f>
        <v/>
      </c>
      <c r="L254" s="18">
        <f>IF(OR($A254="",$D254=0),"",$K254/$D254)</f>
        <v/>
      </c>
      <c r="M254" s="18">
        <f>IF($A254="","",MAX(0,MIN(100,fam_kaliteTaban-IF($L254&gt;fam_esikKmBasi,fam_kaliteCeza,0)-IF($F254&gt;fam_esikBakimTl,fam_kaliteSapma,0)-IF($P254="YETIM",fam_kaliteCeza,0))))</f>
        <v/>
      </c>
      <c r="N254" s="18">
        <f>IF($A254="","",IF(OR($L254&gt;fam_esikKmBasi,$F254&gt;fam_esikBakimTl,$M254&lt;fam_esikSaglik),"ALARM","UYGUN"))</f>
        <v/>
      </c>
      <c r="O254" s="18">
        <f>IF($A254="","",1)</f>
        <v/>
      </c>
      <c r="P254" s="18">
        <f>IF($A254="","",IF(OR($B254="",COUNTIF(tblVarliklar[VarlikId],$B254)=0),"YETIM","TAMAM"))</f>
        <v/>
      </c>
    </row>
    <row r="255">
      <c r="A255" s="15" t="n"/>
      <c r="B255" s="15" t="n"/>
      <c r="C255" s="60" t="n"/>
      <c r="D255" s="20" t="n"/>
      <c r="E255" s="16" t="n"/>
      <c r="F255" s="17" t="n"/>
      <c r="G255" s="15" t="n"/>
      <c r="H255" s="18">
        <f>IF($A255="","",$E255*fam_yakitBirimFiyat)</f>
        <v/>
      </c>
      <c r="I255" s="18">
        <f>IF($A255="","",$D255*IFERROR(SUMIF(tblVarliklar[VarlikId],$B255,tblVarliklar[AmortismanTlKm]),fam_amortismanTlKm))</f>
        <v/>
      </c>
      <c r="J255" s="18">
        <f>IF($A255="","",IFERROR(SUMIF(tblVarliklar[VarlikId],$B255,tblVarliklar[SigortaYillikTl]),fam_sigortaYillik)/365*fam_sigortaGunPay)</f>
        <v/>
      </c>
      <c r="K255" s="18">
        <f>IF($A255="","",$H255+$F255+$I255+$J255)</f>
        <v/>
      </c>
      <c r="L255" s="18">
        <f>IF(OR($A255="",$D255=0),"",$K255/$D255)</f>
        <v/>
      </c>
      <c r="M255" s="18">
        <f>IF($A255="","",MAX(0,MIN(100,fam_kaliteTaban-IF($L255&gt;fam_esikKmBasi,fam_kaliteCeza,0)-IF($F255&gt;fam_esikBakimTl,fam_kaliteSapma,0)-IF($P255="YETIM",fam_kaliteCeza,0))))</f>
        <v/>
      </c>
      <c r="N255" s="18">
        <f>IF($A255="","",IF(OR($L255&gt;fam_esikKmBasi,$F255&gt;fam_esikBakimTl,$M255&lt;fam_esikSaglik),"ALARM","UYGUN"))</f>
        <v/>
      </c>
      <c r="O255" s="18">
        <f>IF($A255="","",1)</f>
        <v/>
      </c>
      <c r="P255" s="18">
        <f>IF($A255="","",IF(OR($B255="",COUNTIF(tblVarliklar[VarlikId],$B255)=0),"YETIM","TAMAM"))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V1"/>
    <mergeCell ref="A3:P3"/>
  </mergeCells>
  <conditionalFormatting sqref="N6:N255">
    <cfRule type="cellIs" priority="1" operator="equal" dxfId="1">
      <formula>"ALARM"</formula>
    </cfRule>
  </conditionalFormatting>
  <conditionalFormatting sqref="P6:P255">
    <cfRule type="cellIs" priority="2" operator="equal" dxfId="0">
      <formula>"YETIM"</formula>
    </cfRule>
  </conditionalFormatting>
  <conditionalFormatting sqref="L6:L255">
    <cfRule type="cellIs" priority="3" operator="greaterThan" dxfId="0">
      <formula>fam_esikKmBasi</formula>
    </cfRule>
  </conditionalFormatting>
  <conditionalFormatting sqref="M6:M255">
    <cfRule type="cellIs" priority="4" operator="lessThan" dxfId="2">
      <formula>fam_esikSaglik</formula>
    </cfRule>
  </conditionalFormatting>
  <dataValidations count="7">
    <dataValidation sqref="A6:A255" showDropDown="0" showInputMessage="1" showErrorMessage="1" allowBlank="1" errorTitle="Kimlik" error="En az 1 karakter" promptTitle="Günlük Kimlik" prompt="GLG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ARC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Km [km]" error="0 veya üzeri" promptTitle="Km [km]" prompt="Km [km] ≥ 0" type="decimal" errorStyle="stop" operator="greaterThanOrEqual">
      <formula1>0</formula1>
    </dataValidation>
    <dataValidation sqref="E6:E255" showDropDown="0" showInputMessage="1" showErrorMessage="1" allowBlank="1" errorTitle="Yakıt [lt]" error="0 veya üzeri" promptTitle="Yakıt [lt]" prompt="Yakıt [lt] ≥ 0" type="decimal" errorStyle="stop" operator="greaterThanOrEqual">
      <formula1>0</formula1>
    </dataValidation>
    <dataValidation sqref="F6:F255" showDropDown="0" showInputMessage="1" showErrorMessage="1" allowBlank="1" errorTitle="Bakım [TL]" error="0 veya üzeri" promptTitle="Bakım [TL]" prompt="Bakım [TL]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Olay Türü" prompt="Listeden seçin" type="list" errorStyle="stop">
      <formula1>ListeOlayTuru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F2742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 ht="26" customHeight="1">
      <c r="A1" s="1" t="inlineStr">
        <is>
          <t>DONEM ANALIZ — Filo Araç Maliyet Komutası</t>
        </is>
      </c>
    </row>
    <row r="3" ht="20" customHeight="1">
      <c r="A3" s="10" t="inlineStr">
        <is>
          <t>12 aylık sezonsallık — km ve maliyet zinciri (S03)</t>
        </is>
      </c>
    </row>
    <row r="5">
      <c r="A5" s="21" t="inlineStr">
        <is>
          <t>Ay</t>
        </is>
      </c>
      <c r="B5" s="21" t="inlineStr">
        <is>
          <t>Ay_Anahtari</t>
        </is>
      </c>
      <c r="C5" s="21" t="inlineStr">
        <is>
          <t>Km Toplam</t>
        </is>
      </c>
      <c r="D5" s="21" t="inlineStr">
        <is>
          <t>Maliyet Toplam</t>
        </is>
      </c>
      <c r="E5" s="21" t="inlineStr">
        <is>
          <t>Km Başı Ort</t>
        </is>
      </c>
      <c r="F5" s="21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2" t="n">
        <v>4200</v>
      </c>
      <c r="D6" s="23" t="n">
        <v>38500</v>
      </c>
      <c r="E6" s="23">
        <f>IFERROR(D6/C6,0)</f>
        <v/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2" t="n">
        <v>3900</v>
      </c>
      <c r="D7" s="23" t="n">
        <v>36000</v>
      </c>
      <c r="E7" s="23">
        <f>IFERROR(D7/C7,0)</f>
        <v/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2" t="n">
        <v>4500</v>
      </c>
      <c r="D8" s="23" t="n">
        <v>41000</v>
      </c>
      <c r="E8" s="23">
        <f>IFERROR(D8/C8,0)</f>
        <v/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2" t="n">
        <v>4800</v>
      </c>
      <c r="D9" s="23" t="n">
        <v>44000</v>
      </c>
      <c r="E9" s="23">
        <f>IFERROR(D9/C9,0)</f>
        <v/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2" t="n">
        <v>5100</v>
      </c>
      <c r="D10" s="23" t="n">
        <v>47000</v>
      </c>
      <c r="E10" s="23">
        <f>IFERROR(D10/C10,0)</f>
        <v/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2" t="n">
        <v>5300</v>
      </c>
      <c r="D11" s="23" t="n">
        <v>49000</v>
      </c>
      <c r="E11" s="23">
        <f>IFERROR(D11/C11,0)</f>
        <v/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2" t="n">
        <v>5600</v>
      </c>
      <c r="D12" s="23" t="n">
        <v>52000</v>
      </c>
      <c r="E12" s="23">
        <f>IFERROR(D12/C12,0)</f>
        <v/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2" t="n">
        <v>5400</v>
      </c>
      <c r="D13" s="23" t="n">
        <v>50000</v>
      </c>
      <c r="E13" s="23">
        <f>IFERROR(D13/C13,0)</f>
        <v/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2" t="n">
        <v>5000</v>
      </c>
      <c r="D14" s="23" t="n">
        <v>46000</v>
      </c>
      <c r="E14" s="23">
        <f>IFERROR(D14/C14,0)</f>
        <v/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2" t="n">
        <v>4700</v>
      </c>
      <c r="D15" s="23" t="n">
        <v>43000</v>
      </c>
      <c r="E15" s="23">
        <f>IFERROR(D15/C15,0)</f>
        <v/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2" t="n">
        <v>4300</v>
      </c>
      <c r="D16" s="23" t="n">
        <v>40000</v>
      </c>
      <c r="E16" s="23">
        <f>IFERROR(D16/C16,0)</f>
        <v/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2" t="n">
        <v>4100</v>
      </c>
      <c r="D17" s="23" t="n">
        <v>38000</v>
      </c>
      <c r="E17" s="23">
        <f>IFERROR(D17/C17,0)</f>
        <v/>
      </c>
      <c r="F17" s="7" t="inlineStr">
        <is>
          <t>12_AY_SEZONSAL</t>
        </is>
      </c>
    </row>
    <row r="20">
      <c r="A20" s="24" t="inlineStr">
        <is>
          <t>Sezonsal Trend Özeti</t>
        </is>
      </c>
      <c r="B20" s="8">
        <f>fam_sezonsalTrend</f>
        <v/>
      </c>
    </row>
    <row r="22">
      <c r="A22" s="13" t="inlineStr">
        <is>
          <t>12 Ay Toplam Km</t>
        </is>
      </c>
      <c r="B22" s="22">
        <f>SUM(C6:C17)</f>
        <v/>
      </c>
    </row>
    <row r="23">
      <c r="A23" s="13" t="inlineStr">
        <is>
          <t>12 Ay Toplam Maliyet</t>
        </is>
      </c>
      <c r="B23" s="23">
        <f>SUM(D6:D17)</f>
        <v/>
      </c>
    </row>
    <row r="24">
      <c r="A24" s="13" t="inlineStr">
        <is>
          <t>12 Ay Ort Km Başı</t>
        </is>
      </c>
      <c r="B24" s="23">
        <f>IFERROR(B23/B22,0)</f>
        <v/>
      </c>
    </row>
    <row r="25">
      <c r="A25" s="13" t="inlineStr">
        <is>
          <t>Canlı dönem km</t>
        </is>
      </c>
      <c r="B25" s="22">
        <f>fam_toplamKm</f>
        <v/>
      </c>
    </row>
    <row r="26">
      <c r="A26" s="13" t="inlineStr">
        <is>
          <t>Canlı dönem maliyet</t>
        </is>
      </c>
      <c r="B26" s="23">
        <f>fam_toplamMaliyet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L3"/>
    <mergeCell ref="A1:P1"/>
    <mergeCell ref="B20:F20"/>
  </mergeCells>
  <conditionalFormatting sqref="D6">
    <cfRule type="cellIs" priority="1" operator="greaterThan" dxfId="3">
      <formula>0</formula>
    </cfRule>
  </conditionalFormatting>
  <conditionalFormatting sqref="E6">
    <cfRule type="cellIs" priority="2" operator="greaterThan" dxfId="0">
      <formula>fam_esikKmBasi</formula>
    </cfRule>
  </conditionalFormatting>
  <conditionalFormatting sqref="D7">
    <cfRule type="cellIs" priority="3" operator="greaterThan" dxfId="3">
      <formula>0</formula>
    </cfRule>
  </conditionalFormatting>
  <conditionalFormatting sqref="E7">
    <cfRule type="cellIs" priority="4" operator="greaterThan" dxfId="0">
      <formula>fam_esikKmBasi</formula>
    </cfRule>
  </conditionalFormatting>
  <conditionalFormatting sqref="D8">
    <cfRule type="cellIs" priority="5" operator="greaterThan" dxfId="3">
      <formula>0</formula>
    </cfRule>
  </conditionalFormatting>
  <conditionalFormatting sqref="E8">
    <cfRule type="cellIs" priority="6" operator="greaterThan" dxfId="0">
      <formula>fam_esikKmBasi</formula>
    </cfRule>
  </conditionalFormatting>
  <conditionalFormatting sqref="D9">
    <cfRule type="cellIs" priority="7" operator="greaterThan" dxfId="3">
      <formula>0</formula>
    </cfRule>
  </conditionalFormatting>
  <conditionalFormatting sqref="E9">
    <cfRule type="cellIs" priority="8" operator="greaterThan" dxfId="0">
      <formula>fam_esikKmBasi</formula>
    </cfRule>
  </conditionalFormatting>
  <conditionalFormatting sqref="D10">
    <cfRule type="cellIs" priority="9" operator="greaterThan" dxfId="3">
      <formula>0</formula>
    </cfRule>
  </conditionalFormatting>
  <conditionalFormatting sqref="E10">
    <cfRule type="cellIs" priority="10" operator="greaterThan" dxfId="0">
      <formula>fam_esikKmBasi</formula>
    </cfRule>
  </conditionalFormatting>
  <conditionalFormatting sqref="D11">
    <cfRule type="cellIs" priority="11" operator="greaterThan" dxfId="3">
      <formula>0</formula>
    </cfRule>
  </conditionalFormatting>
  <conditionalFormatting sqref="E11">
    <cfRule type="cellIs" priority="12" operator="greaterThan" dxfId="0">
      <formula>fam_esikKmBasi</formula>
    </cfRule>
  </conditionalFormatting>
  <conditionalFormatting sqref="D12">
    <cfRule type="cellIs" priority="13" operator="greaterThan" dxfId="3">
      <formula>0</formula>
    </cfRule>
  </conditionalFormatting>
  <conditionalFormatting sqref="E12">
    <cfRule type="cellIs" priority="14" operator="greaterThan" dxfId="0">
      <formula>fam_esikKmBasi</formula>
    </cfRule>
  </conditionalFormatting>
  <conditionalFormatting sqref="D13">
    <cfRule type="cellIs" priority="15" operator="greaterThan" dxfId="3">
      <formula>0</formula>
    </cfRule>
  </conditionalFormatting>
  <conditionalFormatting sqref="E13">
    <cfRule type="cellIs" priority="16" operator="greaterThan" dxfId="0">
      <formula>fam_esikKmBasi</formula>
    </cfRule>
  </conditionalFormatting>
  <conditionalFormatting sqref="D14">
    <cfRule type="cellIs" priority="17" operator="greaterThan" dxfId="3">
      <formula>0</formula>
    </cfRule>
  </conditionalFormatting>
  <conditionalFormatting sqref="E14">
    <cfRule type="cellIs" priority="18" operator="greaterThan" dxfId="0">
      <formula>fam_esikKmBasi</formula>
    </cfRule>
  </conditionalFormatting>
  <conditionalFormatting sqref="D15">
    <cfRule type="cellIs" priority="19" operator="greaterThan" dxfId="3">
      <formula>0</formula>
    </cfRule>
  </conditionalFormatting>
  <conditionalFormatting sqref="E15">
    <cfRule type="cellIs" priority="20" operator="greaterThan" dxfId="0">
      <formula>fam_esikKmBasi</formula>
    </cfRule>
  </conditionalFormatting>
  <conditionalFormatting sqref="D16">
    <cfRule type="cellIs" priority="21" operator="greaterThan" dxfId="3">
      <formula>0</formula>
    </cfRule>
  </conditionalFormatting>
  <conditionalFormatting sqref="E16">
    <cfRule type="cellIs" priority="22" operator="greaterThan" dxfId="0">
      <formula>fam_esikKmBasi</formula>
    </cfRule>
  </conditionalFormatting>
  <conditionalFormatting sqref="D17">
    <cfRule type="cellIs" priority="23" operator="greaterThan" dxfId="3">
      <formula>0</formula>
    </cfRule>
  </conditionalFormatting>
  <conditionalFormatting sqref="E17">
    <cfRule type="cellIs" priority="24" operator="greaterThan" dxfId="0">
      <formula>fam_esikKmBasi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0F2742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</cols>
  <sheetData>
    <row r="1" ht="26" customHeight="1">
      <c r="A1" s="1" t="inlineStr">
        <is>
          <t>HESAP — Filo Araç Maliyet Komutası</t>
        </is>
      </c>
    </row>
    <row r="3" ht="20" customHeight="1">
      <c r="A3" s="10" t="inlineStr">
        <is>
          <t>Hesap motoru — ≥40 adım; sabitler AYARLAR'dan</t>
        </is>
      </c>
    </row>
    <row r="5">
      <c r="A5" s="21" t="inlineStr">
        <is>
          <t>Adım</t>
        </is>
      </c>
      <c r="B5" s="21" t="inlineStr">
        <is>
          <t>Açıklama</t>
        </is>
      </c>
      <c r="C5" s="21" t="inlineStr">
        <is>
          <t>Değer</t>
        </is>
      </c>
    </row>
    <row r="6">
      <c r="A6" s="7" t="inlineStr">
        <is>
          <t>H01</t>
        </is>
      </c>
      <c r="B6" s="7" t="inlineStr">
        <is>
          <t>Toplam günlük kayıt</t>
        </is>
      </c>
      <c r="C6" s="22">
        <f>COUNTA(tblGunluk[SatirId])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2">
        <f>SUM(tblGunluk[FormulKayitDolu])</f>
        <v/>
      </c>
    </row>
    <row r="8">
      <c r="A8" s="7" t="inlineStr">
        <is>
          <t>H03</t>
        </is>
      </c>
      <c r="B8" s="7" t="inlineStr">
        <is>
          <t>Toplam km</t>
        </is>
      </c>
      <c r="C8" s="22">
        <f>SUM(tblGunluk[Km_km])</f>
        <v/>
      </c>
    </row>
    <row r="9">
      <c r="A9" s="7" t="inlineStr">
        <is>
          <t>H04</t>
        </is>
      </c>
      <c r="B9" s="7" t="inlineStr">
        <is>
          <t>Toplam yakıt lt</t>
        </is>
      </c>
      <c r="C9" s="22">
        <f>SUM(tblGunluk[YakitLt_lt])</f>
        <v/>
      </c>
    </row>
    <row r="10">
      <c r="A10" s="7" t="inlineStr">
        <is>
          <t>H05</t>
        </is>
      </c>
      <c r="B10" s="7" t="inlineStr">
        <is>
          <t>Toplam bakım TL</t>
        </is>
      </c>
      <c r="C10" s="23">
        <f>SUM(tblGunluk[BakimTl_tl])</f>
        <v/>
      </c>
    </row>
    <row r="11">
      <c r="A11" s="7" t="inlineStr">
        <is>
          <t>H06</t>
        </is>
      </c>
      <c r="B11" s="7" t="inlineStr">
        <is>
          <t>Toplam yakıt TL</t>
        </is>
      </c>
      <c r="C11" s="23">
        <f>SUM(tblGunluk[FormulYakitTl])</f>
        <v/>
      </c>
    </row>
    <row r="12">
      <c r="A12" s="7" t="inlineStr">
        <is>
          <t>H07</t>
        </is>
      </c>
      <c r="B12" s="7" t="inlineStr">
        <is>
          <t>Toplam amortisman TL</t>
        </is>
      </c>
      <c r="C12" s="23">
        <f>SUM(tblGunluk[FormulAmortTl])</f>
        <v/>
      </c>
    </row>
    <row r="13">
      <c r="A13" s="7" t="inlineStr">
        <is>
          <t>H08</t>
        </is>
      </c>
      <c r="B13" s="7" t="inlineStr">
        <is>
          <t>Toplam sigorta pay TL</t>
        </is>
      </c>
      <c r="C13" s="23">
        <f>SUM(tblGunluk[FormulSigortaTl])</f>
        <v/>
      </c>
    </row>
    <row r="14">
      <c r="A14" s="7" t="inlineStr">
        <is>
          <t>H09</t>
        </is>
      </c>
      <c r="B14" s="7" t="inlineStr">
        <is>
          <t>Toplam maliyet TL</t>
        </is>
      </c>
      <c r="C14" s="23">
        <f>SUM(tblGunluk[FormulToplamTl])</f>
        <v/>
      </c>
    </row>
    <row r="15">
      <c r="A15" s="7" t="inlineStr">
        <is>
          <t>H10</t>
        </is>
      </c>
      <c r="B15" s="7" t="inlineStr">
        <is>
          <t>Km başı ortalama</t>
        </is>
      </c>
      <c r="C15" s="23">
        <f>IFERROR(C14/C8,0)</f>
        <v/>
      </c>
    </row>
    <row r="16">
      <c r="A16" s="7" t="inlineStr">
        <is>
          <t>H11</t>
        </is>
      </c>
      <c r="B16" s="7" t="inlineStr">
        <is>
          <t>Aktif araç adet</t>
        </is>
      </c>
      <c r="C16" s="22">
        <f>COUNTIF(tblVarliklar[Aktif],"EVET")</f>
        <v/>
      </c>
    </row>
    <row r="17">
      <c r="A17" s="7" t="inlineStr">
        <is>
          <t>H12</t>
        </is>
      </c>
      <c r="B17" s="7" t="inlineStr">
        <is>
          <t>Toplam araç kart</t>
        </is>
      </c>
      <c r="C17" s="22">
        <f>COUNTA(tblVarliklar[VarlikId])</f>
        <v/>
      </c>
    </row>
    <row r="18">
      <c r="A18" s="7" t="inlineStr">
        <is>
          <t>H13</t>
        </is>
      </c>
      <c r="B18" s="7" t="inlineStr">
        <is>
          <t>Alarm adet</t>
        </is>
      </c>
      <c r="C18" s="22">
        <f>COUNTIF(tblGunluk[AlarmBayrak],"ALARM")</f>
        <v/>
      </c>
    </row>
    <row r="19">
      <c r="A19" s="7" t="inlineStr">
        <is>
          <t>H14</t>
        </is>
      </c>
      <c r="B19" s="7" t="inlineStr">
        <is>
          <t>Yetim kayıt</t>
        </is>
      </c>
      <c r="C19" s="22">
        <f>COUNTIF(tblGunluk[FormulYetim],"YETIM")</f>
        <v/>
      </c>
    </row>
    <row r="20">
      <c r="A20" s="7" t="inlineStr">
        <is>
          <t>H15</t>
        </is>
      </c>
      <c r="B20" s="7" t="inlineStr">
        <is>
          <t>Ortalama sağlık skor</t>
        </is>
      </c>
      <c r="C20" s="22">
        <f>IFERROR(AVERAGEIF(tblGunluk[SaglikSkorSatir],"&gt;0"),0)</f>
        <v/>
      </c>
    </row>
    <row r="21">
      <c r="A21" s="7" t="inlineStr">
        <is>
          <t>H16</t>
        </is>
      </c>
      <c r="B21" s="7" t="inlineStr">
        <is>
          <t>Min sağlık skor</t>
        </is>
      </c>
      <c r="C21" s="22">
        <f>IFERROR(MIN(tblGunluk[SaglikSkorSatir]),0)</f>
        <v/>
      </c>
    </row>
    <row r="22">
      <c r="A22" s="7" t="inlineStr">
        <is>
          <t>H17</t>
        </is>
      </c>
      <c r="B22" s="7" t="inlineStr">
        <is>
          <t>Km başı eşik aşımı</t>
        </is>
      </c>
      <c r="C22" s="23">
        <f>COUNTIFS(tblGunluk[FormulKmBasi],"&gt;"&amp;fam_esikKmBasi,tblGunluk[FormulKayitDolu],"&gt;0")</f>
        <v/>
      </c>
    </row>
    <row r="23">
      <c r="A23" s="7" t="inlineStr">
        <is>
          <t>H18</t>
        </is>
      </c>
      <c r="B23" s="7" t="inlineStr">
        <is>
          <t>Bakım eşik aşımı</t>
        </is>
      </c>
      <c r="C23" s="22">
        <f>COUNTIFS(tblGunluk[BakimTl_tl],"&gt;"&amp;fam_esikBakimTl,tblGunluk[FormulKayitDolu],"&gt;0")</f>
        <v/>
      </c>
    </row>
    <row r="24">
      <c r="A24" s="7" t="inlineStr">
        <is>
          <t>H19</t>
        </is>
      </c>
      <c r="B24" s="7" t="inlineStr">
        <is>
          <t>Düşük sağlık adet</t>
        </is>
      </c>
      <c r="C24" s="22">
        <f>COUNTIFS(tblGunluk[SaglikSkorSatir],"&lt;"&amp;fam_esikSaglik,tblGunluk[FormulKayitDolu],"&gt;0")</f>
        <v/>
      </c>
    </row>
    <row r="25">
      <c r="A25" s="7" t="inlineStr">
        <is>
          <t>H20</t>
        </is>
      </c>
      <c r="B25" s="7" t="inlineStr">
        <is>
          <t>Günlük km ort</t>
        </is>
      </c>
      <c r="C25" s="22">
        <f>IFERROR(C8/MAX(C7,1),0)</f>
        <v/>
      </c>
    </row>
    <row r="26">
      <c r="A26" s="7" t="inlineStr">
        <is>
          <t>H21</t>
        </is>
      </c>
      <c r="B26" s="7" t="inlineStr">
        <is>
          <t>Aylık maliyet proxy</t>
        </is>
      </c>
      <c r="C26" s="23">
        <f>C14*fam_aylikCarpan</f>
        <v/>
      </c>
    </row>
    <row r="27">
      <c r="A27" s="7" t="inlineStr">
        <is>
          <t>H22</t>
        </is>
      </c>
      <c r="B27" s="7" t="inlineStr">
        <is>
          <t>Km başı sapma</t>
        </is>
      </c>
      <c r="C27" s="23">
        <f>IFERROR(ABS(C15-fam_esikKmBasi),0)</f>
        <v/>
      </c>
    </row>
    <row r="28">
      <c r="A28" s="7" t="inlineStr">
        <is>
          <t>H23</t>
        </is>
      </c>
      <c r="B28" s="7" t="inlineStr">
        <is>
          <t>Yakıt payı</t>
        </is>
      </c>
      <c r="C28" s="61">
        <f>IFERROR(C11/MAX(C14,1),0)</f>
        <v/>
      </c>
    </row>
    <row r="29">
      <c r="A29" s="7" t="inlineStr">
        <is>
          <t>H24</t>
        </is>
      </c>
      <c r="B29" s="7" t="inlineStr">
        <is>
          <t>Bakım payı</t>
        </is>
      </c>
      <c r="C29" s="61">
        <f>IFERROR(C10/MAX(C14,1),0)</f>
        <v/>
      </c>
    </row>
    <row r="30">
      <c r="A30" s="7" t="inlineStr">
        <is>
          <t>H25</t>
        </is>
      </c>
      <c r="B30" s="7" t="inlineStr">
        <is>
          <t>Amortisman payı</t>
        </is>
      </c>
      <c r="C30" s="61">
        <f>IFERROR(C12/MAX(C14,1),0)</f>
        <v/>
      </c>
    </row>
    <row r="31">
      <c r="A31" s="7" t="inlineStr">
        <is>
          <t>H26</t>
        </is>
      </c>
      <c r="B31" s="7" t="inlineStr">
        <is>
          <t>Sigorta payı</t>
        </is>
      </c>
      <c r="C31" s="61">
        <f>IFERROR(C13/MAX(C14,1),0)</f>
        <v/>
      </c>
    </row>
    <row r="32">
      <c r="A32" s="7" t="inlineStr">
        <is>
          <t>H27</t>
        </is>
      </c>
      <c r="B32" s="7" t="inlineStr">
        <is>
          <t>Temkinli senaryo</t>
        </is>
      </c>
      <c r="C32" s="23">
        <f>C14*fam_senaryoTemkinli</f>
        <v/>
      </c>
    </row>
    <row r="33">
      <c r="A33" s="7" t="inlineStr">
        <is>
          <t>H28</t>
        </is>
      </c>
      <c r="B33" s="7" t="inlineStr">
        <is>
          <t>Baz senaryo</t>
        </is>
      </c>
      <c r="C33" s="23">
        <f>C14*fam_senaryoBaz</f>
        <v/>
      </c>
    </row>
    <row r="34">
      <c r="A34" s="7" t="inlineStr">
        <is>
          <t>H29</t>
        </is>
      </c>
      <c r="B34" s="7" t="inlineStr">
        <is>
          <t>İyimser senaryo</t>
        </is>
      </c>
      <c r="C34" s="23">
        <f>C14*fam_senaryoIyimser</f>
        <v/>
      </c>
    </row>
    <row r="35">
      <c r="A35" s="7" t="inlineStr">
        <is>
          <t>H30</t>
        </is>
      </c>
      <c r="B35" s="7" t="inlineStr">
        <is>
          <t>Senaryo farkı</t>
        </is>
      </c>
      <c r="C35" s="23">
        <f>C34-C32</f>
        <v/>
      </c>
    </row>
    <row r="36">
      <c r="A36" s="7" t="inlineStr">
        <is>
          <t>H31</t>
        </is>
      </c>
      <c r="B36" s="7" t="inlineStr">
        <is>
          <t>Tornado yakıt etki</t>
        </is>
      </c>
      <c r="C36" s="23">
        <f>C11*fam_tornadoOran</f>
        <v/>
      </c>
    </row>
    <row r="37">
      <c r="A37" s="7" t="inlineStr">
        <is>
          <t>H32</t>
        </is>
      </c>
      <c r="B37" s="7" t="inlineStr">
        <is>
          <t>Tornado bakım etki</t>
        </is>
      </c>
      <c r="C37" s="23">
        <f>C10*fam_tornadoOran</f>
        <v/>
      </c>
    </row>
    <row r="38">
      <c r="A38" s="7" t="inlineStr">
        <is>
          <t>H33</t>
        </is>
      </c>
      <c r="B38" s="7" t="inlineStr">
        <is>
          <t>Tornado amort etki</t>
        </is>
      </c>
      <c r="C38" s="23">
        <f>C12*fam_tornadoOran</f>
        <v/>
      </c>
    </row>
    <row r="39">
      <c r="A39" s="7" t="inlineStr">
        <is>
          <t>H34</t>
        </is>
      </c>
      <c r="B39" s="7" t="inlineStr">
        <is>
          <t>Tornado zirve</t>
        </is>
      </c>
      <c r="C39" s="23">
        <f>MAX(C36,C37,C38)</f>
        <v/>
      </c>
    </row>
    <row r="40">
      <c r="A40" s="7" t="inlineStr">
        <is>
          <t>H35</t>
        </is>
      </c>
      <c r="B40" s="7" t="inlineStr">
        <is>
          <t>HHI proxy</t>
        </is>
      </c>
      <c r="C40" s="61">
        <f>IFERROR((C11/MAX(C14,1))^2+(C10/MAX(C14,1))^2+(C12/MAX(C14,1))^2+(C13/MAX(C14,1))^2,0)</f>
        <v/>
      </c>
    </row>
    <row r="41">
      <c r="A41" s="7" t="inlineStr">
        <is>
          <t>H36</t>
        </is>
      </c>
      <c r="B41" s="7" t="inlineStr">
        <is>
          <t>Kalite skor</t>
        </is>
      </c>
      <c r="C41" s="22">
        <f>MAX(0,fam_kaliteTaban-C18*fam_kaliteCeza-C19*fam_kaliteSapma-C22*fam_kaliteSapma)</f>
        <v/>
      </c>
    </row>
    <row r="42">
      <c r="A42" s="7" t="inlineStr">
        <is>
          <t>H37</t>
        </is>
      </c>
      <c r="B42" s="7" t="inlineStr">
        <is>
          <t>Tahmin aralık</t>
        </is>
      </c>
      <c r="C42" s="23">
        <f>C33*fam_tahminCarpan</f>
        <v/>
      </c>
    </row>
    <row r="43">
      <c r="A43" s="7" t="inlineStr">
        <is>
          <t>H38</t>
        </is>
      </c>
      <c r="B43" s="7" t="inlineStr">
        <is>
          <t>P90 maliyet</t>
        </is>
      </c>
      <c r="C43" s="23">
        <f>IFERROR(PERCENTILE(tblGunluk[FormulToplamTl],fam_percentileOran),C14*fam_yuzdelikOran)</f>
        <v/>
      </c>
    </row>
    <row r="44">
      <c r="A44" s="7" t="inlineStr">
        <is>
          <t>H39</t>
        </is>
      </c>
      <c r="B44" s="7" t="inlineStr">
        <is>
          <t>Senaryo motor metin</t>
        </is>
      </c>
      <c r="C44" s="7">
        <f>_xlfn.TEXTJOIN("|",TRUE,"T",TEXT(C32,"0"),"B",TEXT(C33,"0"),"I",TEXT(C34,"0"))</f>
        <v/>
      </c>
    </row>
    <row r="45">
      <c r="A45" s="7" t="inlineStr">
        <is>
          <t>H40</t>
        </is>
      </c>
      <c r="B45" s="7" t="inlineStr">
        <is>
          <t>Sezonsal 12 ay maliyet</t>
        </is>
      </c>
      <c r="C45" s="23">
        <f>DONEM_ANALIZ!B23</f>
        <v/>
      </c>
    </row>
    <row r="46">
      <c r="A46" s="7" t="inlineStr">
        <is>
          <t>H41</t>
        </is>
      </c>
      <c r="B46" s="7" t="inlineStr">
        <is>
          <t>Sezonsal 12 ay km</t>
        </is>
      </c>
      <c r="C46" s="22">
        <f>DONEM_ANALIZ!B22</f>
        <v/>
      </c>
    </row>
    <row r="47">
      <c r="A47" s="7" t="inlineStr">
        <is>
          <t>H42</t>
        </is>
      </c>
      <c r="B47" s="7" t="inlineStr">
        <is>
          <t>Kritik sinyal</t>
        </is>
      </c>
      <c r="C47" s="7">
        <f>IF(OR(C18&gt;0,C24&gt;0,C20&lt;fam_esikSaglik),1,0)</f>
        <v/>
      </c>
    </row>
    <row r="48">
      <c r="A48" s="7" t="inlineStr">
        <is>
          <t>H43</t>
        </is>
      </c>
      <c r="B48" s="7" t="inlineStr">
        <is>
          <t>Karar kodu ham</t>
        </is>
      </c>
      <c r="C48" s="7">
        <f>IF(C7=0,0,IF(C47=1,3,IF(OR(C22&gt;0,C15&gt;fam_esikKmBasi),2,1)))</f>
        <v/>
      </c>
    </row>
    <row r="49">
      <c r="A49" s="7" t="inlineStr">
        <is>
          <t>H44</t>
        </is>
      </c>
      <c r="B49" s="7" t="inlineStr">
        <is>
          <t>Km başı maliyet çıpa</t>
        </is>
      </c>
      <c r="C49" s="23">
        <f>C15</f>
        <v/>
      </c>
    </row>
    <row r="50">
      <c r="A50" s="7" t="inlineStr">
        <is>
          <t>H45</t>
        </is>
      </c>
      <c r="B50" s="7" t="inlineStr">
        <is>
          <t>Alarm listesi özet adet</t>
        </is>
      </c>
      <c r="C50" s="22">
        <f>C18</f>
        <v/>
      </c>
    </row>
    <row r="51">
      <c r="A51" s="7" t="inlineStr">
        <is>
          <t>H46</t>
        </is>
      </c>
      <c r="B51" s="7" t="inlineStr">
        <is>
          <t>Varlık sağlık ort</t>
        </is>
      </c>
      <c r="C51" s="22">
        <f>IFERROR(AVERAGEIF(tblVarliklar[SaglikSkor],"&gt;0"),0)</f>
        <v/>
      </c>
    </row>
    <row r="52">
      <c r="A52" s="7" t="inlineStr">
        <is>
          <t>H47</t>
        </is>
      </c>
      <c r="B52" s="7" t="inlineStr">
        <is>
          <t>Tahmin FORECAST</t>
        </is>
      </c>
      <c r="C52" s="23">
        <f>IFERROR(FORECAST(C7+1,tblGunluk[FormulToplamTl],tblGunluk[FormulKayitDolu]),C42)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F2742"/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26" customHeight="1">
      <c r="A1" s="1" t="inlineStr">
        <is>
          <t>ALARMLAR — Filo Araç Maliyet Komutası</t>
        </is>
      </c>
    </row>
    <row r="3" ht="20" customHeight="1">
      <c r="A3" s="10" t="inlineStr">
        <is>
          <t>Alarm listesi — varlık + eşik + süre (S05)</t>
        </is>
      </c>
    </row>
    <row r="5">
      <c r="A5" s="21" t="inlineStr">
        <is>
          <t>Varlık</t>
        </is>
      </c>
      <c r="B5" s="21" t="inlineStr">
        <is>
          <t>Alarm</t>
        </is>
      </c>
      <c r="C5" s="21" t="inlineStr">
        <is>
          <t>Eşik</t>
        </is>
      </c>
      <c r="D5" s="21" t="inlineStr">
        <is>
          <t>Süre / Tarih</t>
        </is>
      </c>
      <c r="E5" s="21" t="inlineStr">
        <is>
          <t>Km Başı</t>
        </is>
      </c>
      <c r="F5" s="21" t="inlineStr">
        <is>
          <t>Sağlık Skor</t>
        </is>
      </c>
    </row>
    <row r="6">
      <c r="A6" s="7" t="inlineStr">
        <is>
          <t>ARC-00001</t>
        </is>
      </c>
      <c r="B6" s="7">
        <f>IF(OR(COUNTIFS(tblGunluk[VarlikId],A6,tblGunluk[AlarmBayrak],"ALARM")&gt;0,IFERROR(SUMIF(tblVarliklar[VarlikId],A6,tblVarliklar[SaglikSkor]),100)&lt;fam_esikSaglik),"ALARM","YOK")</f>
        <v/>
      </c>
      <c r="C6" s="23">
        <f>IFERROR(ABS(E6-fam_esikKmBasi),0)</f>
        <v/>
      </c>
      <c r="D6" s="62">
        <f>raporTarihi</f>
        <v/>
      </c>
      <c r="E6" s="23">
        <f>IFERROR(SUMIF(tblVarliklar[VarlikId],A6,tblVarliklar[OrtKmBasi]),0)</f>
        <v/>
      </c>
      <c r="F6" s="22">
        <f>IFERROR(SUMIF(tblVarliklar[VarlikId],A6,tblVarliklar[SaglikSkor]),0)</f>
        <v/>
      </c>
    </row>
    <row r="7">
      <c r="A7" s="7" t="inlineStr">
        <is>
          <t>ARC-00002</t>
        </is>
      </c>
      <c r="B7" s="7">
        <f>IF(OR(COUNTIFS(tblGunluk[VarlikId],A7,tblGunluk[AlarmBayrak],"ALARM")&gt;0,IFERROR(SUMIF(tblVarliklar[VarlikId],A7,tblVarliklar[SaglikSkor]),100)&lt;fam_esikSaglik),"ALARM","YOK")</f>
        <v/>
      </c>
      <c r="C7" s="23">
        <f>IFERROR(ABS(E7-fam_esikKmBasi),0)</f>
        <v/>
      </c>
      <c r="D7" s="62">
        <f>raporTarihi</f>
        <v/>
      </c>
      <c r="E7" s="23">
        <f>IFERROR(SUMIF(tblVarliklar[VarlikId],A7,tblVarliklar[OrtKmBasi]),0)</f>
        <v/>
      </c>
      <c r="F7" s="22">
        <f>IFERROR(SUMIF(tblVarliklar[VarlikId],A7,tblVarliklar[SaglikSkor]),0)</f>
        <v/>
      </c>
    </row>
    <row r="8">
      <c r="A8" s="7" t="inlineStr">
        <is>
          <t>ARC-00003</t>
        </is>
      </c>
      <c r="B8" s="7">
        <f>IF(OR(COUNTIFS(tblGunluk[VarlikId],A8,tblGunluk[AlarmBayrak],"ALARM")&gt;0,IFERROR(SUMIF(tblVarliklar[VarlikId],A8,tblVarliklar[SaglikSkor]),100)&lt;fam_esikSaglik),"ALARM","YOK")</f>
        <v/>
      </c>
      <c r="C8" s="23">
        <f>IFERROR(ABS(E8-fam_esikKmBasi),0)</f>
        <v/>
      </c>
      <c r="D8" s="62">
        <f>raporTarihi</f>
        <v/>
      </c>
      <c r="E8" s="23">
        <f>IFERROR(SUMIF(tblVarliklar[VarlikId],A8,tblVarliklar[OrtKmBasi]),0)</f>
        <v/>
      </c>
      <c r="F8" s="22">
        <f>IFERROR(SUMIF(tblVarliklar[VarlikId],A8,tblVarliklar[SaglikSkor]),0)</f>
        <v/>
      </c>
    </row>
    <row r="9">
      <c r="A9" s="7" t="inlineStr">
        <is>
          <t>ARC-00004</t>
        </is>
      </c>
      <c r="B9" s="7">
        <f>IF(OR(COUNTIFS(tblGunluk[VarlikId],A9,tblGunluk[AlarmBayrak],"ALARM")&gt;0,IFERROR(SUMIF(tblVarliklar[VarlikId],A9,tblVarliklar[SaglikSkor]),100)&lt;fam_esikSaglik),"ALARM","YOK")</f>
        <v/>
      </c>
      <c r="C9" s="23">
        <f>IFERROR(ABS(E9-fam_esikKmBasi),0)</f>
        <v/>
      </c>
      <c r="D9" s="62">
        <f>raporTarihi</f>
        <v/>
      </c>
      <c r="E9" s="23">
        <f>IFERROR(SUMIF(tblVarliklar[VarlikId],A9,tblVarliklar[OrtKmBasi]),0)</f>
        <v/>
      </c>
      <c r="F9" s="22">
        <f>IFERROR(SUMIF(tblVarliklar[VarlikId],A9,tblVarliklar[SaglikSkor]),0)</f>
        <v/>
      </c>
    </row>
    <row r="10">
      <c r="A10" s="7" t="inlineStr">
        <is>
          <t>ARC-00005</t>
        </is>
      </c>
      <c r="B10" s="7">
        <f>IF(OR(COUNTIFS(tblGunluk[VarlikId],A10,tblGunluk[AlarmBayrak],"ALARM")&gt;0,IFERROR(SUMIF(tblVarliklar[VarlikId],A10,tblVarliklar[SaglikSkor]),100)&lt;fam_esikSaglik),"ALARM","YOK")</f>
        <v/>
      </c>
      <c r="C10" s="23">
        <f>IFERROR(ABS(E10-fam_esikKmBasi),0)</f>
        <v/>
      </c>
      <c r="D10" s="62">
        <f>raporTarihi</f>
        <v/>
      </c>
      <c r="E10" s="23">
        <f>IFERROR(SUMIF(tblVarliklar[VarlikId],A10,tblVarliklar[OrtKmBasi]),0)</f>
        <v/>
      </c>
      <c r="F10" s="22">
        <f>IFERROR(SUMIF(tblVarliklar[VarlikId],A10,tblVarliklar[SaglikSkor]),0)</f>
        <v/>
      </c>
    </row>
    <row r="11">
      <c r="A11" s="7" t="inlineStr">
        <is>
          <t>ARC-00006</t>
        </is>
      </c>
      <c r="B11" s="7">
        <f>IF(OR(COUNTIFS(tblGunluk[VarlikId],A11,tblGunluk[AlarmBayrak],"ALARM")&gt;0,IFERROR(SUMIF(tblVarliklar[VarlikId],A11,tblVarliklar[SaglikSkor]),100)&lt;fam_esikSaglik),"ALARM","YOK")</f>
        <v/>
      </c>
      <c r="C11" s="23">
        <f>IFERROR(ABS(E11-fam_esikKmBasi),0)</f>
        <v/>
      </c>
      <c r="D11" s="62">
        <f>raporTarihi</f>
        <v/>
      </c>
      <c r="E11" s="23">
        <f>IFERROR(SUMIF(tblVarliklar[VarlikId],A11,tblVarliklar[OrtKmBasi]),0)</f>
        <v/>
      </c>
      <c r="F11" s="22">
        <f>IFERROR(SUMIF(tblVarliklar[VarlikId],A11,tblVarliklar[SaglikSkor]),0)</f>
        <v/>
      </c>
    </row>
    <row r="12">
      <c r="A12" s="7" t="inlineStr">
        <is>
          <t>ARC-00007</t>
        </is>
      </c>
      <c r="B12" s="7">
        <f>IF(OR(COUNTIFS(tblGunluk[VarlikId],A12,tblGunluk[AlarmBayrak],"ALARM")&gt;0,IFERROR(SUMIF(tblVarliklar[VarlikId],A12,tblVarliklar[SaglikSkor]),100)&lt;fam_esikSaglik),"ALARM","YOK")</f>
        <v/>
      </c>
      <c r="C12" s="23">
        <f>IFERROR(ABS(E12-fam_esikKmBasi),0)</f>
        <v/>
      </c>
      <c r="D12" s="62">
        <f>raporTarihi</f>
        <v/>
      </c>
      <c r="E12" s="23">
        <f>IFERROR(SUMIF(tblVarliklar[VarlikId],A12,tblVarliklar[OrtKmBasi]),0)</f>
        <v/>
      </c>
      <c r="F12" s="22">
        <f>IFERROR(SUMIF(tblVarliklar[VarlikId],A12,tblVarliklar[SaglikSkor]),0)</f>
        <v/>
      </c>
    </row>
    <row r="13">
      <c r="A13" s="7" t="inlineStr">
        <is>
          <t>ARC-00008</t>
        </is>
      </c>
      <c r="B13" s="7">
        <f>IF(OR(COUNTIFS(tblGunluk[VarlikId],A13,tblGunluk[AlarmBayrak],"ALARM")&gt;0,IFERROR(SUMIF(tblVarliklar[VarlikId],A13,tblVarliklar[SaglikSkor]),100)&lt;fam_esikSaglik),"ALARM","YOK")</f>
        <v/>
      </c>
      <c r="C13" s="23">
        <f>IFERROR(ABS(E13-fam_esikKmBasi),0)</f>
        <v/>
      </c>
      <c r="D13" s="62">
        <f>raporTarihi</f>
        <v/>
      </c>
      <c r="E13" s="23">
        <f>IFERROR(SUMIF(tblVarliklar[VarlikId],A13,tblVarliklar[OrtKmBasi]),0)</f>
        <v/>
      </c>
      <c r="F13" s="22">
        <f>IFERROR(SUMIF(tblVarliklar[VarlikId],A13,tblVarliklar[SaglikSkor]),0)</f>
        <v/>
      </c>
    </row>
    <row r="16">
      <c r="A16" s="13" t="inlineStr">
        <is>
          <t>Alarm Özeti</t>
        </is>
      </c>
      <c r="B16" s="8">
        <f>fam_alarmListesi</f>
        <v/>
      </c>
    </row>
    <row r="18">
      <c r="A18" s="13" t="inlineStr">
        <is>
          <t>Toplam Alarm Satır</t>
        </is>
      </c>
      <c r="B18" s="22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6:F16"/>
    <mergeCell ref="A3:L3"/>
    <mergeCell ref="A1:N1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greaterThan" dxfId="0">
      <formula>fam_esikKmBasi</formula>
    </cfRule>
  </conditionalFormatting>
  <conditionalFormatting sqref="F6">
    <cfRule type="cellIs" priority="4" operator="lessThan" dxfId="2">
      <formula>fam_esikSaglik</formula>
    </cfRule>
  </conditionalFormatting>
  <conditionalFormatting sqref="E7">
    <cfRule type="cellIs" priority="5" operator="greaterThan" dxfId="0">
      <formula>fam_esikKmBasi</formula>
    </cfRule>
  </conditionalFormatting>
  <conditionalFormatting sqref="F7">
    <cfRule type="cellIs" priority="6" operator="lessThan" dxfId="2">
      <formula>fam_esikSaglik</formula>
    </cfRule>
  </conditionalFormatting>
  <conditionalFormatting sqref="E8">
    <cfRule type="cellIs" priority="7" operator="greaterThan" dxfId="0">
      <formula>fam_esikKmBasi</formula>
    </cfRule>
  </conditionalFormatting>
  <conditionalFormatting sqref="F8">
    <cfRule type="cellIs" priority="8" operator="lessThan" dxfId="2">
      <formula>fam_esikSaglik</formula>
    </cfRule>
  </conditionalFormatting>
  <conditionalFormatting sqref="E9">
    <cfRule type="cellIs" priority="9" operator="greaterThan" dxfId="0">
      <formula>fam_esikKmBasi</formula>
    </cfRule>
  </conditionalFormatting>
  <conditionalFormatting sqref="F9">
    <cfRule type="cellIs" priority="10" operator="lessThan" dxfId="2">
      <formula>fam_esikSaglik</formula>
    </cfRule>
  </conditionalFormatting>
  <conditionalFormatting sqref="E10">
    <cfRule type="cellIs" priority="11" operator="greaterThan" dxfId="0">
      <formula>fam_esikKmBasi</formula>
    </cfRule>
  </conditionalFormatting>
  <conditionalFormatting sqref="F10">
    <cfRule type="cellIs" priority="12" operator="lessThan" dxfId="2">
      <formula>fam_esikSaglik</formula>
    </cfRule>
  </conditionalFormatting>
  <conditionalFormatting sqref="E11">
    <cfRule type="cellIs" priority="13" operator="greaterThan" dxfId="0">
      <formula>fam_esikKmBasi</formula>
    </cfRule>
  </conditionalFormatting>
  <conditionalFormatting sqref="F11">
    <cfRule type="cellIs" priority="14" operator="lessThan" dxfId="2">
      <formula>fam_esikSaglik</formula>
    </cfRule>
  </conditionalFormatting>
  <conditionalFormatting sqref="E12">
    <cfRule type="cellIs" priority="15" operator="greaterThan" dxfId="0">
      <formula>fam_esikKmBasi</formula>
    </cfRule>
  </conditionalFormatting>
  <conditionalFormatting sqref="F12">
    <cfRule type="cellIs" priority="16" operator="lessThan" dxfId="2">
      <formula>fam_esikSaglik</formula>
    </cfRule>
  </conditionalFormatting>
  <conditionalFormatting sqref="E13">
    <cfRule type="cellIs" priority="17" operator="greaterThan" dxfId="0">
      <formula>fam_esikKmBasi</formula>
    </cfRule>
  </conditionalFormatting>
  <conditionalFormatting sqref="F13">
    <cfRule type="cellIs" priority="18" operator="lessThan" dxfId="2">
      <formula>fam_esikSaglik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18" customWidth="1" min="3" max="3"/>
  </cols>
  <sheetData>
    <row r="1" ht="26" customHeight="1">
      <c r="A1" s="1" t="inlineStr">
        <is>
          <t>RAPOR — Filo Araç Maliyet Komutası</t>
        </is>
      </c>
    </row>
    <row r="3" ht="20" customHeight="1">
      <c r="A3" s="10" t="inlineStr">
        <is>
          <t>Dönemsel yönetim raporu — yazdırılabilir kanıt</t>
        </is>
      </c>
    </row>
    <row r="5">
      <c r="A5" s="13" t="inlineStr">
        <is>
          <t>Ürün</t>
        </is>
      </c>
      <c r="B5" s="7" t="inlineStr">
        <is>
          <t>Filo Araç Maliyet Komutası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62">
        <f>raporTarihi</f>
        <v/>
      </c>
    </row>
    <row r="8">
      <c r="A8" s="13" t="inlineStr">
        <is>
          <t>Firma</t>
        </is>
      </c>
      <c r="B8" s="7">
        <f>fam_firmaUnvan</f>
        <v/>
      </c>
    </row>
    <row r="10">
      <c r="A10" s="31" t="inlineStr">
        <is>
          <t>KARAR</t>
        </is>
      </c>
      <c r="B10" s="32">
        <f>fam_kararKapi</f>
        <v/>
      </c>
    </row>
    <row r="11">
      <c r="A11" s="7" t="inlineStr">
        <is>
          <t>Km Başı Maliyet</t>
        </is>
      </c>
      <c r="B11" s="23">
        <f>fam_kmBasiMaliyet</f>
        <v/>
      </c>
    </row>
    <row r="12">
      <c r="A12" s="7" t="inlineStr">
        <is>
          <t>Toplam Maliyet</t>
        </is>
      </c>
      <c r="B12" s="23">
        <f>fam_toplamMaliyet</f>
        <v/>
      </c>
    </row>
    <row r="13">
      <c r="A13" s="7" t="inlineStr">
        <is>
          <t>Toplam Km</t>
        </is>
      </c>
      <c r="B13" s="22">
        <f>fam_toplamKm</f>
        <v/>
      </c>
    </row>
    <row r="14">
      <c r="A14" s="7" t="inlineStr">
        <is>
          <t>Sağlık Skor</t>
        </is>
      </c>
      <c r="B14" s="22">
        <f>fam_saglikSkor</f>
        <v/>
      </c>
    </row>
    <row r="15">
      <c r="A15" s="7" t="inlineStr">
        <is>
          <t>Alarm Adet</t>
        </is>
      </c>
      <c r="B15" s="22">
        <f>fam_alarmAdet</f>
        <v/>
      </c>
    </row>
    <row r="17">
      <c r="A17" s="21" t="inlineStr">
        <is>
          <t>Kalem</t>
        </is>
      </c>
      <c r="B17" s="21" t="inlineStr">
        <is>
          <t>Tutar</t>
        </is>
      </c>
    </row>
    <row r="18">
      <c r="A18" s="7" t="inlineStr">
        <is>
          <t>Yakıt</t>
        </is>
      </c>
      <c r="B18" s="23">
        <f>fam_yakitToplam</f>
        <v/>
      </c>
    </row>
    <row r="19">
      <c r="A19" s="7" t="inlineStr">
        <is>
          <t>Bakım</t>
        </is>
      </c>
      <c r="B19" s="23">
        <f>fam_bakimToplam</f>
        <v/>
      </c>
    </row>
    <row r="20">
      <c r="A20" s="7" t="inlineStr">
        <is>
          <t>Amortisman</t>
        </is>
      </c>
      <c r="B20" s="23">
        <f>fam_amortToplam</f>
        <v/>
      </c>
    </row>
    <row r="21">
      <c r="A21" s="7" t="inlineStr">
        <is>
          <t>Sigorta</t>
        </is>
      </c>
      <c r="B21" s="23">
        <f>fam_sigortaToplam</f>
        <v/>
      </c>
    </row>
    <row r="24">
      <c r="A24" s="24" t="inlineStr">
        <is>
          <t>Varsayımlar</t>
        </is>
      </c>
    </row>
    <row r="25">
      <c r="A25" s="8" t="inlineStr">
        <is>
          <t>Yakıt birim fiyatı, amortisman TL/km ve sigorta yıllık tutarı AYARLAR'dan gelir. Karar destek çıktısıdır; mali tavsiye değildir.</t>
        </is>
      </c>
    </row>
    <row r="26"/>
    <row r="28">
      <c r="A28" s="7" t="inlineStr">
        <is>
          <t>İmza — Filo Yöneticisi</t>
        </is>
      </c>
      <c r="C28" s="7" t="inlineStr">
        <is>
          <t>________________</t>
        </is>
      </c>
    </row>
    <row r="29">
      <c r="A29" s="7" t="inlineStr">
        <is>
          <t>İmza — CFO / Denetçi</t>
        </is>
      </c>
      <c r="C29" s="7" t="inlineStr">
        <is>
          <t>________________</t>
        </is>
      </c>
    </row>
    <row r="31">
      <c r="A31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5:F26"/>
    <mergeCell ref="A1:L1"/>
    <mergeCell ref="A3:J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&amp;LFilo Araç Maliyet Komutası | Rapor | 1.0.0&amp;CExcelArşiv&amp;RSayfa &amp;P / &amp;N</oddFooter>
    <evenHeader/>
    <evenFooter>&amp;LFilo Araç Maliyet Komutası | Rapor | 1.0.0&amp;CExcelArşiv&amp;RSayfa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26" customHeight="1">
      <c r="A1" s="1" t="inlineStr">
        <is>
          <t>KONTROLLER — Filo Araç Maliyet Komutası</t>
        </is>
      </c>
    </row>
    <row r="3" ht="20" customHeight="1">
      <c r="A3" s="10" t="inlineStr">
        <is>
          <t>Canlı sağlık kontrolleri — formülle</t>
        </is>
      </c>
    </row>
    <row r="5">
      <c r="A5" s="21" t="inlineStr">
        <is>
          <t>Kontrol</t>
        </is>
      </c>
      <c r="B5" s="21" t="inlineStr">
        <is>
          <t>Sonuç</t>
        </is>
      </c>
      <c r="C5" s="21" t="inlineStr">
        <is>
          <t>Değer</t>
        </is>
      </c>
    </row>
    <row r="6">
      <c r="A6" s="7" t="inlineStr">
        <is>
          <t>Dolu kayıt &gt; 0</t>
        </is>
      </c>
      <c r="B6" s="7">
        <f>IF(fam_doluKayit&gt;0,"GEÇTİ","KALDI")</f>
        <v/>
      </c>
      <c r="C6" s="7">
        <f>fam_doluKayit</f>
        <v/>
      </c>
    </row>
    <row r="7">
      <c r="A7" s="7" t="inlineStr">
        <is>
          <t>Yetim kayıt = 0</t>
        </is>
      </c>
      <c r="B7" s="7">
        <f>IF(fam_yetimAdet=0,"GEÇTİ","UYARI")</f>
        <v/>
      </c>
      <c r="C7" s="7">
        <f>fam_yetimAdet</f>
        <v/>
      </c>
    </row>
    <row r="8">
      <c r="A8" s="7" t="inlineStr">
        <is>
          <t>Km başı hesaplı</t>
        </is>
      </c>
      <c r="B8" s="7">
        <f>IF(fam_kmBasiMaliyet&gt;=0,"GEÇTİ","KALDI")</f>
        <v/>
      </c>
      <c r="C8" s="7">
        <f>fam_kmBasiMaliyet</f>
        <v/>
      </c>
    </row>
    <row r="9">
      <c r="A9" s="7" t="inlineStr">
        <is>
          <t>Sağlık skor formül</t>
        </is>
      </c>
      <c r="B9" s="7">
        <f>IF(fam_saglikSkor&gt;=0,"GEÇTİ","KALDI")</f>
        <v/>
      </c>
      <c r="C9" s="7">
        <f>fam_saglikSkor</f>
        <v/>
      </c>
    </row>
    <row r="10">
      <c r="A10" s="7" t="inlineStr">
        <is>
          <t>Alarm listesi</t>
        </is>
      </c>
      <c r="B10" s="7">
        <f>IF(fam_alarmAdet&gt;=0,"GEÇTİ","KALDI")</f>
        <v/>
      </c>
      <c r="C10" s="7">
        <f>fam_alarmAdet</f>
        <v/>
      </c>
    </row>
    <row r="11">
      <c r="A11" s="7" t="inlineStr">
        <is>
          <t>Karar dolu</t>
        </is>
      </c>
      <c r="B11" s="7">
        <f>IF(fam_kararKapi&lt;&gt;"","GEÇTİ","KALDI")</f>
        <v/>
      </c>
      <c r="C11" s="7">
        <f>fam_kararKapi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IF(fam_kaliteSkor&gt;=0,"GEÇTİ","KALDI")</f>
        <v/>
      </c>
      <c r="C13" s="7">
        <f>fam_kaliteSkor</f>
        <v/>
      </c>
    </row>
    <row r="14">
      <c r="A14" s="7" t="inlineStr">
        <is>
          <t>Tornado</t>
        </is>
      </c>
      <c r="B14" s="7">
        <f>IF(fam_tornadoZirve&gt;=0,"GEÇTİ","KALDI")</f>
        <v/>
      </c>
      <c r="C14" s="7">
        <f>fam_tornadoZirve</f>
        <v/>
      </c>
    </row>
    <row r="15">
      <c r="A15" s="7" t="inlineStr">
        <is>
          <t>P90</t>
        </is>
      </c>
      <c r="B15" s="7">
        <f>IF(fam_yuzdelikP90&gt;=0,"GEÇTİ","KALDI")</f>
        <v/>
      </c>
      <c r="C15" s="7">
        <f>fam_yuzdelikP90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F2742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ORNEK VERI — Filo Araç Maliyet Komutası</t>
        </is>
      </c>
    </row>
    <row r="3" ht="20" customHeight="1">
      <c r="A3" s="10" t="inlineStr">
        <is>
          <t>Örnek günlük satırlar — kopyalanabilir referans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Km_km</t>
        </is>
      </c>
      <c r="E5" s="14" t="inlineStr">
        <is>
          <t>YakitLt_lt</t>
        </is>
      </c>
      <c r="F5" s="14" t="inlineStr">
        <is>
          <t>BakimTl_tl</t>
        </is>
      </c>
      <c r="G5" s="14" t="inlineStr">
        <is>
          <t>OlayTuru</t>
        </is>
      </c>
    </row>
    <row r="6">
      <c r="A6" s="7" t="inlineStr">
        <is>
          <t>GLG-00001</t>
        </is>
      </c>
      <c r="B6" s="7" t="inlineStr">
        <is>
          <t>ARC-00001</t>
        </is>
      </c>
      <c r="C6" s="62" t="n">
        <v>46242</v>
      </c>
      <c r="D6" s="22" t="n">
        <v>135</v>
      </c>
      <c r="E6" s="33" t="n">
        <v>12.8</v>
      </c>
      <c r="F6" s="23" t="n">
        <v>0</v>
      </c>
      <c r="G6" s="7" t="inlineStr">
        <is>
          <t>BAKIM</t>
        </is>
      </c>
    </row>
    <row r="7">
      <c r="A7" s="7" t="inlineStr">
        <is>
          <t>GLG-00002</t>
        </is>
      </c>
      <c r="B7" s="7" t="inlineStr">
        <is>
          <t>ARC-00002</t>
        </is>
      </c>
      <c r="C7" s="62" t="n">
        <v>46239</v>
      </c>
      <c r="D7" s="22" t="n">
        <v>190</v>
      </c>
      <c r="E7" s="33" t="n">
        <v>19.4</v>
      </c>
      <c r="F7" s="23" t="n">
        <v>0</v>
      </c>
      <c r="G7" s="7" t="inlineStr">
        <is>
          <t>YAKIT</t>
        </is>
      </c>
    </row>
    <row r="8">
      <c r="A8" s="7" t="inlineStr">
        <is>
          <t>GLG-00003</t>
        </is>
      </c>
      <c r="B8" s="7" t="inlineStr">
        <is>
          <t>ARC-00003</t>
        </is>
      </c>
      <c r="C8" s="62" t="n">
        <v>46236</v>
      </c>
      <c r="D8" s="22" t="n">
        <v>185</v>
      </c>
      <c r="E8" s="33" t="n">
        <v>20.4</v>
      </c>
      <c r="F8" s="23" t="n">
        <v>0</v>
      </c>
      <c r="G8" s="7" t="inlineStr">
        <is>
          <t>MUAYENE</t>
        </is>
      </c>
    </row>
    <row r="9">
      <c r="A9" s="7" t="inlineStr">
        <is>
          <t>GLG-00004</t>
        </is>
      </c>
      <c r="B9" s="7" t="inlineStr">
        <is>
          <t>ARC-00004</t>
        </is>
      </c>
      <c r="C9" s="62" t="n">
        <v>46233</v>
      </c>
      <c r="D9" s="22" t="n">
        <v>240</v>
      </c>
      <c r="E9" s="33" t="n">
        <v>23.5</v>
      </c>
      <c r="F9" s="23" t="n">
        <v>0</v>
      </c>
      <c r="G9" s="7" t="inlineStr">
        <is>
          <t>ARIZA</t>
        </is>
      </c>
    </row>
    <row r="10">
      <c r="A10" s="7" t="inlineStr">
        <is>
          <t>GLG-00005</t>
        </is>
      </c>
      <c r="B10" s="7" t="inlineStr">
        <is>
          <t>ARC-00005</t>
        </is>
      </c>
      <c r="C10" s="62" t="n">
        <v>46230</v>
      </c>
      <c r="D10" s="22" t="n">
        <v>295</v>
      </c>
      <c r="E10" s="33" t="n">
        <v>42.8</v>
      </c>
      <c r="F10" s="23" t="n">
        <v>570</v>
      </c>
      <c r="G10" s="7" t="inlineStr">
        <is>
          <t>DIGER</t>
        </is>
      </c>
    </row>
    <row r="11">
      <c r="A11" s="7" t="inlineStr">
        <is>
          <t>GLG-00006</t>
        </is>
      </c>
      <c r="B11" s="7" t="inlineStr">
        <is>
          <t>ARC-00006</t>
        </is>
      </c>
      <c r="C11" s="62" t="n">
        <v>46227</v>
      </c>
      <c r="D11" s="22" t="n">
        <v>290</v>
      </c>
      <c r="E11" s="33" t="n">
        <v>29</v>
      </c>
      <c r="F11" s="23" t="n">
        <v>0</v>
      </c>
      <c r="G11" s="7" t="inlineStr">
        <is>
          <t>SEFER</t>
        </is>
      </c>
    </row>
    <row r="12">
      <c r="A12" s="7" t="inlineStr">
        <is>
          <t>GLG-00007</t>
        </is>
      </c>
      <c r="B12" s="7" t="inlineStr">
        <is>
          <t>ARC-00007</t>
        </is>
      </c>
      <c r="C12" s="62" t="n">
        <v>46224</v>
      </c>
      <c r="D12" s="22" t="n">
        <v>100</v>
      </c>
      <c r="E12" s="33" t="n">
        <v>8.5</v>
      </c>
      <c r="F12" s="23" t="n">
        <v>0</v>
      </c>
      <c r="G12" s="7" t="inlineStr">
        <is>
          <t>BAKIM</t>
        </is>
      </c>
    </row>
    <row r="13">
      <c r="A13" s="7" t="inlineStr">
        <is>
          <t>GLG-00008</t>
        </is>
      </c>
      <c r="B13" s="7" t="inlineStr">
        <is>
          <t>ARC-00008</t>
        </is>
      </c>
      <c r="C13" s="62" t="n">
        <v>46221</v>
      </c>
      <c r="D13" s="22" t="n">
        <v>155</v>
      </c>
      <c r="E13" s="33" t="n">
        <v>24.8</v>
      </c>
      <c r="F13" s="23" t="n">
        <v>0</v>
      </c>
      <c r="G13" s="7" t="inlineStr">
        <is>
          <t>YAKIT</t>
        </is>
      </c>
    </row>
    <row r="14">
      <c r="A14" s="7" t="inlineStr">
        <is>
          <t>GLG-00009</t>
        </is>
      </c>
      <c r="B14" s="7" t="inlineStr">
        <is>
          <t>ARC-00001</t>
        </is>
      </c>
      <c r="C14" s="62" t="n">
        <v>46218</v>
      </c>
      <c r="D14" s="22" t="n">
        <v>150</v>
      </c>
      <c r="E14" s="33" t="n">
        <v>14.2</v>
      </c>
      <c r="F14" s="23" t="n">
        <v>0</v>
      </c>
      <c r="G14" s="7" t="inlineStr">
        <is>
          <t>MUAYENE</t>
        </is>
      </c>
    </row>
    <row r="15">
      <c r="A15" s="7" t="inlineStr">
        <is>
          <t>GLG-00010</t>
        </is>
      </c>
      <c r="B15" s="7" t="inlineStr">
        <is>
          <t>ARC-00002</t>
        </is>
      </c>
      <c r="C15" s="62" t="n">
        <v>46215</v>
      </c>
      <c r="D15" s="22" t="n">
        <v>205</v>
      </c>
      <c r="E15" s="33" t="n">
        <v>20.9</v>
      </c>
      <c r="F15" s="23" t="n">
        <v>690</v>
      </c>
      <c r="G15" s="7" t="inlineStr">
        <is>
          <t>ARIZA</t>
        </is>
      </c>
    </row>
    <row r="16">
      <c r="A16" s="7" t="inlineStr">
        <is>
          <t>GLG-00011</t>
        </is>
      </c>
      <c r="B16" s="7" t="inlineStr">
        <is>
          <t>ARC-00003</t>
        </is>
      </c>
      <c r="C16" s="62" t="n">
        <v>46212</v>
      </c>
      <c r="D16" s="22" t="n">
        <v>260</v>
      </c>
      <c r="E16" s="33" t="n">
        <v>28.6</v>
      </c>
      <c r="F16" s="23" t="n">
        <v>0</v>
      </c>
      <c r="G16" s="7" t="inlineStr">
        <is>
          <t>DIGER</t>
        </is>
      </c>
    </row>
    <row r="17">
      <c r="A17" s="7" t="inlineStr">
        <is>
          <t>GLG-00012</t>
        </is>
      </c>
      <c r="B17" s="7" t="inlineStr">
        <is>
          <t>ARC-00004</t>
        </is>
      </c>
      <c r="C17" s="62" t="n">
        <v>46209</v>
      </c>
      <c r="D17" s="22" t="n">
        <v>255</v>
      </c>
      <c r="E17" s="33" t="n">
        <v>25</v>
      </c>
      <c r="F17" s="23" t="n">
        <v>2200</v>
      </c>
      <c r="G17" s="7" t="inlineStr">
        <is>
          <t>SEFER</t>
        </is>
      </c>
    </row>
    <row r="18">
      <c r="A18" s="7" t="inlineStr">
        <is>
          <t>GLG-00013</t>
        </is>
      </c>
      <c r="B18" s="7" t="inlineStr">
        <is>
          <t>ARC-00005</t>
        </is>
      </c>
      <c r="C18" s="62" t="n">
        <v>46206</v>
      </c>
      <c r="D18" s="22" t="n">
        <v>310</v>
      </c>
      <c r="E18" s="33" t="n">
        <v>45</v>
      </c>
      <c r="F18" s="23" t="n">
        <v>0</v>
      </c>
      <c r="G18" s="7" t="inlineStr">
        <is>
          <t>BAKIM</t>
        </is>
      </c>
    </row>
    <row r="19">
      <c r="A19" s="7" t="inlineStr">
        <is>
          <t>GLG-00014</t>
        </is>
      </c>
      <c r="B19" s="7" t="inlineStr">
        <is>
          <t>ARC-00006</t>
        </is>
      </c>
      <c r="C19" s="62" t="n">
        <v>46203</v>
      </c>
      <c r="D19" s="22" t="n">
        <v>120</v>
      </c>
      <c r="E19" s="33" t="n">
        <v>12</v>
      </c>
      <c r="F19" s="23" t="n">
        <v>0</v>
      </c>
      <c r="G19" s="7" t="inlineStr">
        <is>
          <t>YAKIT</t>
        </is>
      </c>
    </row>
    <row r="20">
      <c r="A20" s="7" t="inlineStr">
        <is>
          <t>GLG-00015</t>
        </is>
      </c>
      <c r="B20" s="7" t="inlineStr">
        <is>
          <t>ARC-00007</t>
        </is>
      </c>
      <c r="C20" s="62" t="n">
        <v>46200</v>
      </c>
      <c r="D20" s="22" t="n">
        <v>115</v>
      </c>
      <c r="E20" s="33" t="n">
        <v>9.800000000000001</v>
      </c>
      <c r="F20" s="23" t="n">
        <v>810</v>
      </c>
      <c r="G20" s="7" t="inlineStr">
        <is>
          <t>MUAYENE</t>
        </is>
      </c>
    </row>
    <row r="21">
      <c r="A21" s="7" t="inlineStr">
        <is>
          <t>GLG-00016</t>
        </is>
      </c>
      <c r="B21" s="7" t="inlineStr">
        <is>
          <t>ARC-00008</t>
        </is>
      </c>
      <c r="C21" s="62" t="n">
        <v>46197</v>
      </c>
      <c r="D21" s="22" t="n">
        <v>170</v>
      </c>
      <c r="E21" s="33" t="n">
        <v>27.2</v>
      </c>
      <c r="F21" s="23" t="n">
        <v>0</v>
      </c>
      <c r="G21" s="7" t="inlineStr">
        <is>
          <t>ARIZA</t>
        </is>
      </c>
    </row>
    <row r="22">
      <c r="A22" s="7" t="inlineStr">
        <is>
          <t>GLG-00017</t>
        </is>
      </c>
      <c r="B22" s="7" t="inlineStr">
        <is>
          <t>ARC-00001</t>
        </is>
      </c>
      <c r="C22" s="62" t="n">
        <v>46194</v>
      </c>
      <c r="D22" s="22" t="n">
        <v>225</v>
      </c>
      <c r="E22" s="33" t="n">
        <v>21.4</v>
      </c>
      <c r="F22" s="23" t="n">
        <v>0</v>
      </c>
      <c r="G22" s="7" t="inlineStr">
        <is>
          <t>DIGER</t>
        </is>
      </c>
    </row>
    <row r="23">
      <c r="A23" s="7" t="inlineStr">
        <is>
          <t>GLG-00018</t>
        </is>
      </c>
      <c r="B23" s="7" t="inlineStr">
        <is>
          <t>ARC-00002</t>
        </is>
      </c>
      <c r="C23" s="62" t="n">
        <v>46191</v>
      </c>
      <c r="D23" s="22" t="n">
        <v>220</v>
      </c>
      <c r="E23" s="33" t="n">
        <v>22.4</v>
      </c>
      <c r="F23" s="23" t="n">
        <v>0</v>
      </c>
      <c r="G23" s="7" t="inlineStr">
        <is>
          <t>SEFER</t>
        </is>
      </c>
    </row>
    <row r="24">
      <c r="A24" s="7" t="inlineStr">
        <is>
          <t>GLG-00019</t>
        </is>
      </c>
      <c r="B24" s="7" t="inlineStr">
        <is>
          <t>ARC-00003</t>
        </is>
      </c>
      <c r="C24" s="62" t="n">
        <v>46188</v>
      </c>
      <c r="D24" s="22" t="n">
        <v>275</v>
      </c>
      <c r="E24" s="33" t="n">
        <v>30.2</v>
      </c>
      <c r="F24" s="23" t="n">
        <v>0</v>
      </c>
      <c r="G24" s="7" t="inlineStr">
        <is>
          <t>BAKIM</t>
        </is>
      </c>
    </row>
    <row r="25">
      <c r="A25" s="7" t="inlineStr">
        <is>
          <t>GLG-00020</t>
        </is>
      </c>
      <c r="B25" s="7" t="inlineStr">
        <is>
          <t>ARC-00004</t>
        </is>
      </c>
      <c r="C25" s="62" t="n">
        <v>46185</v>
      </c>
      <c r="D25" s="22" t="n">
        <v>330</v>
      </c>
      <c r="E25" s="33" t="n">
        <v>32.3</v>
      </c>
      <c r="F25" s="23" t="n">
        <v>450</v>
      </c>
      <c r="G25" s="7" t="inlineStr">
        <is>
          <t>YAKIT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F2742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3" max="3"/>
    <col width="14" customWidth="1" min="5" max="5"/>
  </cols>
  <sheetData>
    <row r="1" ht="26" customHeight="1">
      <c r="A1" s="1" t="inlineStr">
        <is>
          <t>LISTELER — Filo Araç Maliyet Komutası</t>
        </is>
      </c>
    </row>
    <row r="3">
      <c r="A3" s="24" t="inlineStr">
        <is>
          <t>Evet / Hayır</t>
        </is>
      </c>
      <c r="C3" s="13" t="inlineStr">
        <is>
          <t>Olay Türü</t>
        </is>
      </c>
      <c r="E3" s="13" t="inlineStr">
        <is>
          <t>Araç Tipi</t>
        </is>
      </c>
    </row>
    <row r="6">
      <c r="A6" s="21" t="inlineStr">
        <is>
          <t>Secim</t>
        </is>
      </c>
      <c r="C6" s="21" t="inlineStr">
        <is>
          <t>Tur</t>
        </is>
      </c>
      <c r="E6" s="21" t="inlineStr">
        <is>
          <t>Tip</t>
        </is>
      </c>
    </row>
    <row r="7">
      <c r="A7" s="15" t="inlineStr">
        <is>
          <t>EVET</t>
        </is>
      </c>
      <c r="C7" s="15" t="inlineStr">
        <is>
          <t>SEFER</t>
        </is>
      </c>
      <c r="E7" s="15" t="inlineStr">
        <is>
          <t>Panelvan</t>
        </is>
      </c>
    </row>
    <row r="8">
      <c r="A8" s="15" t="inlineStr">
        <is>
          <t>HAYIR</t>
        </is>
      </c>
      <c r="C8" s="15" t="inlineStr">
        <is>
          <t>BAKIM</t>
        </is>
      </c>
      <c r="E8" s="15" t="inlineStr">
        <is>
          <t>Kamyonet</t>
        </is>
      </c>
    </row>
    <row r="9">
      <c r="C9" s="15" t="inlineStr">
        <is>
          <t>YAKIT</t>
        </is>
      </c>
      <c r="E9" s="15" t="inlineStr">
        <is>
          <t>Kamyon</t>
        </is>
      </c>
    </row>
    <row r="10">
      <c r="C10" s="15" t="inlineStr">
        <is>
          <t>MUAYENE</t>
        </is>
      </c>
    </row>
    <row r="11">
      <c r="C11" s="15" t="inlineStr">
        <is>
          <t>ARIZA</t>
        </is>
      </c>
    </row>
    <row r="12">
      <c r="C12" s="15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/>
  </sheetPr>
  <dimension ref="A1:N6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Filo Araç Maliyet Komutası</t>
        </is>
      </c>
    </row>
    <row r="3" ht="20" customHeight="1">
      <c r="A3" s="10" t="inlineStr">
        <is>
          <t>Tek kaynak parametreler + alarm eşikleri (S05)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60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fam_yakitBirimFiyat</t>
        </is>
      </c>
      <c r="B7" s="17" t="n">
        <v>42.5</v>
      </c>
      <c r="C7" s="7" t="inlineStr">
        <is>
          <t>TL/lt</t>
        </is>
      </c>
      <c r="D7" s="7" t="inlineStr">
        <is>
          <t>Akaryakıt piyasa / iç tarife</t>
        </is>
      </c>
      <c r="E7" s="7" t="inlineStr">
        <is>
          <t>01.01.2026</t>
        </is>
      </c>
      <c r="F7" s="8" t="inlineStr">
        <is>
          <t>Yakıt birim fiyatı TL/lt</t>
        </is>
      </c>
    </row>
    <row r="8">
      <c r="A8" s="7" t="inlineStr">
        <is>
          <t>fam_amortismanTlKm</t>
        </is>
      </c>
      <c r="B8" s="17" t="n">
        <v>1.9</v>
      </c>
      <c r="C8" s="7" t="inlineStr">
        <is>
          <t>TL/km</t>
        </is>
      </c>
      <c r="D8" s="7" t="inlineStr">
        <is>
          <t>Filo amortisman politikası</t>
        </is>
      </c>
      <c r="E8" s="7" t="inlineStr">
        <is>
          <t>01.01.2026</t>
        </is>
      </c>
      <c r="F8" s="8" t="inlineStr">
        <is>
          <t>Varsayılan amortisman TL/km</t>
        </is>
      </c>
    </row>
    <row r="9">
      <c r="A9" s="7" t="inlineStr">
        <is>
          <t>fam_sigortaYillik</t>
        </is>
      </c>
      <c r="B9" s="17" t="n">
        <v>45000</v>
      </c>
      <c r="C9" s="7" t="inlineStr">
        <is>
          <t>TL/yıl</t>
        </is>
      </c>
      <c r="D9" s="7" t="inlineStr">
        <is>
          <t>Sigorta poliçesi</t>
        </is>
      </c>
      <c r="E9" s="7" t="inlineStr">
        <is>
          <t>01.01.2026</t>
        </is>
      </c>
      <c r="F9" s="8" t="inlineStr">
        <is>
          <t>Varsayılan yıllık sigorta</t>
        </is>
      </c>
    </row>
    <row r="10">
      <c r="A10" s="7" t="inlineStr">
        <is>
          <t>fam_sigortaGunPay</t>
        </is>
      </c>
      <c r="B10" s="63" t="n">
        <v>1</v>
      </c>
      <c r="C10" s="7" t="inlineStr">
        <is>
          <t>oran</t>
        </is>
      </c>
      <c r="D10" s="7" t="inlineStr">
        <is>
          <t>Günlük sigorta payı</t>
        </is>
      </c>
      <c r="E10" s="7" t="inlineStr">
        <is>
          <t>01.01.2026</t>
        </is>
      </c>
      <c r="F10" s="8" t="inlineStr">
        <is>
          <t>Sigorta gün çarpanı</t>
        </is>
      </c>
    </row>
    <row r="11">
      <c r="A11" s="7" t="inlineStr">
        <is>
          <t>fam_esikKmBasi</t>
        </is>
      </c>
      <c r="B11" s="17" t="n">
        <v>8.5</v>
      </c>
      <c r="C11" s="7" t="inlineStr">
        <is>
          <t>TL/km</t>
        </is>
      </c>
      <c r="D11" s="7" t="inlineStr">
        <is>
          <t>Alarm eşiği — km başı</t>
        </is>
      </c>
      <c r="E11" s="7" t="inlineStr">
        <is>
          <t>01.01.2026</t>
        </is>
      </c>
      <c r="F11" s="8" t="inlineStr">
        <is>
          <t>Km başı maliyet alarm eşiği</t>
        </is>
      </c>
    </row>
    <row r="12">
      <c r="A12" s="7" t="inlineStr">
        <is>
          <t>fam_esikBakimTl</t>
        </is>
      </c>
      <c r="B12" s="17" t="n">
        <v>1500</v>
      </c>
      <c r="C12" s="7" t="inlineStr">
        <is>
          <t>TL</t>
        </is>
      </c>
      <c r="D12" s="7" t="inlineStr">
        <is>
          <t>Alarm eşiği — bakım</t>
        </is>
      </c>
      <c r="E12" s="7" t="inlineStr">
        <is>
          <t>01.01.2026</t>
        </is>
      </c>
      <c r="F12" s="8" t="inlineStr">
        <is>
          <t>Tek sefer bakım alarm eşiği</t>
        </is>
      </c>
    </row>
    <row r="13">
      <c r="A13" s="7" t="inlineStr">
        <is>
          <t>fam_esikSaglik</t>
        </is>
      </c>
      <c r="B13" s="20" t="n">
        <v>60</v>
      </c>
      <c r="C13" s="7" t="inlineStr">
        <is>
          <t>puan</t>
        </is>
      </c>
      <c r="D13" s="7" t="inlineStr">
        <is>
          <t>Alarm eşiği — sağlık skor</t>
        </is>
      </c>
      <c r="E13" s="7" t="inlineStr">
        <is>
          <t>01.01.2026</t>
        </is>
      </c>
      <c r="F13" s="8" t="inlineStr">
        <is>
          <t>Sağlık skor alt eşiği</t>
        </is>
      </c>
    </row>
    <row r="14">
      <c r="A14" s="7" t="inlineStr">
        <is>
          <t>fam_aylikCarpan</t>
        </is>
      </c>
      <c r="B14" s="63" t="n">
        <v>1</v>
      </c>
      <c r="C14" s="7" t="inlineStr">
        <is>
          <t>oran</t>
        </is>
      </c>
      <c r="D14" s="7" t="inlineStr">
        <is>
          <t>Aylık proxy</t>
        </is>
      </c>
      <c r="E14" s="7" t="inlineStr">
        <is>
          <t>01.01.2026</t>
        </is>
      </c>
      <c r="F14" s="8" t="inlineStr">
        <is>
          <t>Aylık maliyet çarpan</t>
        </is>
      </c>
    </row>
    <row r="15">
      <c r="A15" s="7" t="inlineStr">
        <is>
          <t>fam_senaryoTemkinli</t>
        </is>
      </c>
      <c r="B15" s="63" t="n">
        <v>1.15</v>
      </c>
      <c r="C15" s="7" t="inlineStr">
        <is>
          <t>oran</t>
        </is>
      </c>
      <c r="D15" s="7" t="inlineStr">
        <is>
          <t>Senaryo motoru</t>
        </is>
      </c>
      <c r="E15" s="7" t="inlineStr">
        <is>
          <t>01.01.2026</t>
        </is>
      </c>
      <c r="F15" s="8" t="inlineStr">
        <is>
          <t>Temkinli çarpan</t>
        </is>
      </c>
    </row>
    <row r="16">
      <c r="A16" s="7" t="inlineStr">
        <is>
          <t>fam_senaryoBaz</t>
        </is>
      </c>
      <c r="B16" s="63" t="n">
        <v>1</v>
      </c>
      <c r="C16" s="7" t="inlineStr">
        <is>
          <t>oran</t>
        </is>
      </c>
      <c r="D16" s="7" t="inlineStr">
        <is>
          <t>Senaryo motoru</t>
        </is>
      </c>
      <c r="E16" s="7" t="inlineStr">
        <is>
          <t>01.01.2026</t>
        </is>
      </c>
      <c r="F16" s="8" t="inlineStr">
        <is>
          <t>Baz çarpan</t>
        </is>
      </c>
    </row>
    <row r="17">
      <c r="A17" s="7" t="inlineStr">
        <is>
          <t>fam_senaryoIyimser</t>
        </is>
      </c>
      <c r="B17" s="63" t="n">
        <v>0.9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İyimser çarpan</t>
        </is>
      </c>
    </row>
    <row r="18">
      <c r="A18" s="7" t="inlineStr">
        <is>
          <t>fam_tornadoOran</t>
        </is>
      </c>
      <c r="B18" s="63" t="n">
        <v>0.08</v>
      </c>
      <c r="C18" s="7" t="inlineStr">
        <is>
          <t>oran</t>
        </is>
      </c>
      <c r="D18" s="7" t="inlineStr">
        <is>
          <t>Duyarlılık</t>
        </is>
      </c>
      <c r="E18" s="7" t="inlineStr">
        <is>
          <t>01.01.2026</t>
        </is>
      </c>
      <c r="F18" s="8" t="inlineStr">
        <is>
          <t>Tornado etki oranı</t>
        </is>
      </c>
    </row>
    <row r="19">
      <c r="A19" s="7" t="inlineStr">
        <is>
          <t>fam_yuzdelikOran</t>
        </is>
      </c>
      <c r="B19" s="63" t="n">
        <v>1.15</v>
      </c>
      <c r="C19" s="7" t="inlineStr">
        <is>
          <t>oran</t>
        </is>
      </c>
      <c r="D19" s="7" t="inlineStr">
        <is>
          <t>İstatistik kuralı</t>
        </is>
      </c>
      <c r="E19" s="7" t="inlineStr">
        <is>
          <t>01.01.2026</t>
        </is>
      </c>
      <c r="F19" s="8" t="inlineStr">
        <is>
          <t>P90 çarpan proxy</t>
        </is>
      </c>
    </row>
    <row r="20">
      <c r="A20" s="7" t="inlineStr">
        <is>
          <t>fam_percentileOran</t>
        </is>
      </c>
      <c r="B20" s="63" t="n">
        <v>0.9</v>
      </c>
      <c r="C20" s="7" t="inlineStr">
        <is>
          <t>oran</t>
        </is>
      </c>
      <c r="D20" s="7" t="inlineStr">
        <is>
          <t>PERCENTILE oranı</t>
        </is>
      </c>
      <c r="E20" s="7" t="inlineStr">
        <is>
          <t>01.01.2026</t>
        </is>
      </c>
      <c r="F20" s="8" t="inlineStr">
        <is>
          <t>Yüzdelik dilim</t>
        </is>
      </c>
    </row>
    <row r="21">
      <c r="A21" s="7" t="inlineStr">
        <is>
          <t>fam_tahminCarpan</t>
        </is>
      </c>
      <c r="B21" s="63" t="n">
        <v>1.05</v>
      </c>
      <c r="C21" s="7" t="inlineStr">
        <is>
          <t>oran</t>
        </is>
      </c>
      <c r="D21" s="7" t="inlineStr">
        <is>
          <t>Tahmin modeli</t>
        </is>
      </c>
      <c r="E21" s="7" t="inlineStr">
        <is>
          <t>01.01.2026</t>
        </is>
      </c>
      <c r="F21" s="8" t="inlineStr">
        <is>
          <t>Tahmin aralık çarpan</t>
        </is>
      </c>
    </row>
    <row r="22">
      <c r="A22" s="7" t="inlineStr">
        <is>
          <t>fam_olcekHedef</t>
        </is>
      </c>
      <c r="B22" s="20" t="n">
        <v>20000</v>
      </c>
      <c r="C22" s="7" t="inlineStr">
        <is>
          <t>satir</t>
        </is>
      </c>
      <c r="D22" s="7" t="inlineStr">
        <is>
          <t>Manda A5 Ö1</t>
        </is>
      </c>
      <c r="E22" s="7" t="inlineStr">
        <is>
          <t>01.01.2026</t>
        </is>
      </c>
      <c r="F22" s="8" t="inlineStr">
        <is>
          <t>Ölçek sözleşmesi</t>
        </is>
      </c>
    </row>
    <row r="23">
      <c r="A23" s="7" t="inlineStr">
        <is>
          <t>fam_kaliteTaban</t>
        </is>
      </c>
      <c r="B23" s="20" t="n">
        <v>100</v>
      </c>
      <c r="C23" s="7" t="inlineStr">
        <is>
          <t>puan</t>
        </is>
      </c>
      <c r="D23" s="7" t="inlineStr">
        <is>
          <t>Kalite / sağlık modeli</t>
        </is>
      </c>
      <c r="E23" s="7" t="inlineStr">
        <is>
          <t>01.01.2026</t>
        </is>
      </c>
      <c r="F23" s="8" t="inlineStr">
        <is>
          <t>Taban puan</t>
        </is>
      </c>
    </row>
    <row r="24">
      <c r="A24" s="7" t="inlineStr">
        <is>
          <t>fam_kaliteCeza</t>
        </is>
      </c>
      <c r="B24" s="20" t="n">
        <v>12</v>
      </c>
      <c r="C24" s="7" t="inlineStr">
        <is>
          <t>puan</t>
        </is>
      </c>
      <c r="D24" s="7" t="inlineStr">
        <is>
          <t>Kalite / sağlık modeli</t>
        </is>
      </c>
      <c r="E24" s="7" t="inlineStr">
        <is>
          <t>01.01.2026</t>
        </is>
      </c>
      <c r="F24" s="8" t="inlineStr">
        <is>
          <t>Eşik aşım cezası</t>
        </is>
      </c>
    </row>
    <row r="25">
      <c r="A25" s="7" t="inlineStr">
        <is>
          <t>fam_kaliteSapma</t>
        </is>
      </c>
      <c r="B25" s="20" t="n">
        <v>3</v>
      </c>
      <c r="C25" s="7" t="inlineStr">
        <is>
          <t>puan</t>
        </is>
      </c>
      <c r="D25" s="7" t="inlineStr">
        <is>
          <t>Kalite / sağlık modeli</t>
        </is>
      </c>
      <c r="E25" s="7" t="inlineStr">
        <is>
          <t>01.01.2026</t>
        </is>
      </c>
      <c r="F25" s="8" t="inlineStr">
        <is>
          <t>Sapma / alarm cezası</t>
        </is>
      </c>
    </row>
    <row r="26">
      <c r="A26" s="7" t="inlineStr">
        <is>
          <t>fam_dosyaSurumu</t>
        </is>
      </c>
      <c r="B26" s="15" t="inlineStr">
        <is>
          <t>1.0.0</t>
        </is>
      </c>
      <c r="C26" s="7" t="inlineStr">
        <is>
          <t>metin</t>
        </is>
      </c>
      <c r="D26" s="7" t="inlineStr">
        <is>
          <t>Sürüm yönetimi</t>
        </is>
      </c>
      <c r="E26" s="7" t="inlineStr">
        <is>
          <t>01.01.2026</t>
        </is>
      </c>
      <c r="F26" s="8" t="inlineStr">
        <is>
          <t>Ürün sürümü</t>
        </is>
      </c>
    </row>
    <row r="27">
      <c r="A27" s="7" t="inlineStr">
        <is>
          <t>fam_firmaUnvan</t>
        </is>
      </c>
      <c r="B27" s="15" t="inlineStr">
        <is>
          <t>Örnek Filo Lojistik A.Ş.</t>
        </is>
      </c>
      <c r="C27" s="7" t="inlineStr">
        <is>
          <t>metin</t>
        </is>
      </c>
      <c r="D27" s="7" t="inlineStr">
        <is>
          <t>Kullanıcı girişi</t>
        </is>
      </c>
      <c r="E27" s="7" t="inlineStr">
        <is>
          <t>01.01.2026</t>
        </is>
      </c>
      <c r="F27" s="8" t="inlineStr">
        <is>
          <t>Firma unvanı</t>
        </is>
      </c>
    </row>
    <row r="28">
      <c r="A28" s="7" t="inlineStr">
        <is>
          <t>fam_alarmEsikMetin</t>
        </is>
      </c>
      <c r="B28" s="15" t="inlineStr">
        <is>
          <t>km başı / bakım / sağlık eşikleri</t>
        </is>
      </c>
      <c r="C28" s="7" t="inlineStr">
        <is>
          <t>metin</t>
        </is>
      </c>
      <c r="D28" s="7" t="inlineStr">
        <is>
          <t>S05 alarm</t>
        </is>
      </c>
      <c r="E28" s="7" t="inlineStr">
        <is>
          <t>01.01.2026</t>
        </is>
      </c>
      <c r="F28" s="8" t="inlineStr">
        <is>
          <t>Alarm eşiği tanımı</t>
        </is>
      </c>
    </row>
    <row r="30">
      <c r="H30" s="24" t="inlineStr">
        <is>
          <t>Motor Çıktıları</t>
        </is>
      </c>
    </row>
    <row r="31">
      <c r="H31" s="21" t="inlineStr">
        <is>
          <t>anahtar</t>
        </is>
      </c>
      <c r="I31" s="21" t="inlineStr">
        <is>
          <t>deger</t>
        </is>
      </c>
    </row>
    <row r="32">
      <c r="H32" s="7" t="inlineStr">
        <is>
          <t>fam_doluKayit</t>
        </is>
      </c>
      <c r="I32" s="8">
        <f>HESAP!C7</f>
        <v/>
      </c>
    </row>
    <row r="33">
      <c r="H33" s="7" t="inlineStr">
        <is>
          <t>fam_toplamKm</t>
        </is>
      </c>
      <c r="I33" s="8">
        <f>HESAP!C8</f>
        <v/>
      </c>
    </row>
    <row r="34">
      <c r="H34" s="7" t="inlineStr">
        <is>
          <t>fam_toplamMaliyet</t>
        </is>
      </c>
      <c r="I34" s="8">
        <f>HESAP!C14</f>
        <v/>
      </c>
    </row>
    <row r="35">
      <c r="H35" s="7" t="inlineStr">
        <is>
          <t>fam_kmBasiMaliyet</t>
        </is>
      </c>
      <c r="I35" s="8">
        <f>HESAP!C15</f>
        <v/>
      </c>
    </row>
    <row r="36">
      <c r="H36" s="7" t="inlineStr">
        <is>
          <t>fam_yakitToplam</t>
        </is>
      </c>
      <c r="I36" s="8">
        <f>HESAP!C11</f>
        <v/>
      </c>
    </row>
    <row r="37">
      <c r="H37" s="7" t="inlineStr">
        <is>
          <t>fam_bakimToplam</t>
        </is>
      </c>
      <c r="I37" s="8">
        <f>HESAP!C10</f>
        <v/>
      </c>
    </row>
    <row r="38">
      <c r="H38" s="7" t="inlineStr">
        <is>
          <t>fam_amortToplam</t>
        </is>
      </c>
      <c r="I38" s="8">
        <f>HESAP!C12</f>
        <v/>
      </c>
    </row>
    <row r="39">
      <c r="H39" s="7" t="inlineStr">
        <is>
          <t>fam_sigortaToplam</t>
        </is>
      </c>
      <c r="I39" s="8">
        <f>HESAP!C13</f>
        <v/>
      </c>
    </row>
    <row r="40">
      <c r="H40" s="7" t="inlineStr">
        <is>
          <t>fam_saglikSkor</t>
        </is>
      </c>
      <c r="I40" s="8">
        <f>HESAP!C20</f>
        <v/>
      </c>
    </row>
    <row r="41">
      <c r="H41" s="7" t="inlineStr">
        <is>
          <t>fam_alarmAdet</t>
        </is>
      </c>
      <c r="I41" s="8">
        <f>HESAP!C18</f>
        <v/>
      </c>
    </row>
    <row r="42">
      <c r="H42" s="7" t="inlineStr">
        <is>
          <t>fam_yetimAdet</t>
        </is>
      </c>
      <c r="I42" s="8">
        <f>HESAP!C19</f>
        <v/>
      </c>
    </row>
    <row r="43">
      <c r="H43" s="7" t="inlineStr">
        <is>
          <t>fam_gunlukKmOrt</t>
        </is>
      </c>
      <c r="I43" s="8">
        <f>HESAP!C25</f>
        <v/>
      </c>
    </row>
    <row r="44">
      <c r="H44" s="7" t="inlineStr">
        <is>
          <t>fam_aylikMaliyetTrend</t>
        </is>
      </c>
      <c r="I44" s="8">
        <f>HESAP!C26</f>
        <v/>
      </c>
    </row>
    <row r="45">
      <c r="H45" s="7" t="inlineStr">
        <is>
          <t>fam_kmBasiSapma</t>
        </is>
      </c>
      <c r="I45" s="8">
        <f>HESAP!C27</f>
        <v/>
      </c>
    </row>
    <row r="46">
      <c r="H46" s="7" t="inlineStr">
        <is>
          <t>fam_tornadoZirve</t>
        </is>
      </c>
      <c r="I46" s="8">
        <f>HESAP!C39</f>
        <v/>
      </c>
    </row>
    <row r="47">
      <c r="H47" s="7" t="inlineStr">
        <is>
          <t>fam_senaryoKarsilastirma</t>
        </is>
      </c>
      <c r="I47" s="8">
        <f>HESAP!C35</f>
        <v/>
      </c>
    </row>
    <row r="48">
      <c r="H48" s="7" t="inlineStr">
        <is>
          <t>fam_hhi</t>
        </is>
      </c>
      <c r="I48" s="8">
        <f>HESAP!C40</f>
        <v/>
      </c>
    </row>
    <row r="49">
      <c r="H49" s="7" t="inlineStr">
        <is>
          <t>fam_kaliteSkor</t>
        </is>
      </c>
      <c r="I49" s="8">
        <f>HESAP!C41</f>
        <v/>
      </c>
    </row>
    <row r="50">
      <c r="H50" s="7" t="inlineStr">
        <is>
          <t>fam_senaryoMotor</t>
        </is>
      </c>
      <c r="I50" s="8">
        <f>HESAP!C44</f>
        <v/>
      </c>
    </row>
    <row r="51">
      <c r="H51" s="7" t="inlineStr">
        <is>
          <t>fam_tahminAralik</t>
        </is>
      </c>
      <c r="I51" s="8">
        <f>HESAP!C42</f>
        <v/>
      </c>
    </row>
    <row r="52">
      <c r="H52" s="7" t="inlineStr">
        <is>
          <t>fam_yuzdelikP90</t>
        </is>
      </c>
      <c r="I52" s="8">
        <f>HESAP!C43</f>
        <v/>
      </c>
    </row>
    <row r="53">
      <c r="H53" s="7" t="inlineStr">
        <is>
          <t>fam_sezonsalTrend</t>
        </is>
      </c>
      <c r="I53" s="8">
        <f>_xlfn.TEXTJOIN(" | ",TRUE,"12_AY",TEXT(HESAP!C45,"0"),"km",TEXT(HESAP!C46,"0"),"TL sezonsal")</f>
        <v/>
      </c>
    </row>
    <row r="54">
      <c r="H54" s="7" t="inlineStr">
        <is>
          <t>fam_alarmListesi</t>
        </is>
      </c>
      <c r="I54" s="8">
        <f>_xlfn.TEXTJOIN(" | ",TRUE,"Alarm",HESAP!C18,"Yetim",HESAP!C19,"KmAşım",HESAP!C22,"BakımAşım",HESAP!C23)</f>
        <v/>
      </c>
    </row>
    <row r="55">
      <c r="H55" s="7" t="inlineStr">
        <is>
          <t>fam_kararKapi</t>
        </is>
      </c>
      <c r="I55" s="8">
        <f>IF(HESAP!C7=0,"VERİ YOK",IF(OR(HESAP!C8&lt;0,HESAP!C14&lt;0,HESAP!C10&lt;0,HESAP!C11&lt;0),"KRİTİK",IF(HESAP!C47=1,"KRİTİK",IF(OR(HESAP!C22&gt;0,HESAP!C15&gt;fam_esikKmBasi),"DİKKAT","UYGUN"))))</f>
        <v/>
      </c>
    </row>
    <row r="56">
      <c r="H56" s="7" t="inlineStr">
        <is>
          <t>fam_kararGerekce</t>
        </is>
      </c>
      <c r="I56" s="8">
        <f>_xlfn.TEXTJOIN(" ",TRUE,"Karar",fam_kararKapi,"| km başı",TEXT(fam_kmBasiMaliyet,"0.00"),"| sağlık",TEXT(fam_saglikSkor,"0"),"| alarm",fam_alarmAdet)</f>
        <v/>
      </c>
    </row>
    <row r="57">
      <c r="H57" s="7" t="inlineStr">
        <is>
          <t>fam_sonrakiKimlik</t>
        </is>
      </c>
      <c r="I57" s="8">
        <f>"ARC-"&amp;TEXT(COUNTA(tblVarliklar[VarlikId])+1,"00000")</f>
        <v/>
      </c>
    </row>
    <row r="59">
      <c r="H59" s="24" t="inlineStr">
        <is>
          <t>Yorumlar</t>
        </is>
      </c>
    </row>
    <row r="60">
      <c r="H60" s="7" t="inlineStr">
        <is>
          <t>fam_yorumGunluk</t>
        </is>
      </c>
      <c r="I60" s="8">
        <f>_xlfn.TEXTJOIN(" ",TRUE,"Günlük km ort",TEXT(fam_gunlukKmOrt,"0.0"),"km")</f>
        <v/>
      </c>
    </row>
    <row r="61">
      <c r="H61" s="7" t="inlineStr">
        <is>
          <t>fam_yorumAylik</t>
        </is>
      </c>
      <c r="I61" s="8">
        <f>_xlfn.TEXTJOIN(" ",TRUE,"Aylık maliyet proxy",TEXT(fam_aylikMaliyetTrend,"0"),"TL")</f>
        <v/>
      </c>
    </row>
    <row r="62">
      <c r="H62" s="7" t="inlineStr">
        <is>
          <t>fam_yorumSapma</t>
        </is>
      </c>
      <c r="I62" s="8">
        <f>_xlfn.TEXTJOIN(" ",TRUE,"Km başı sapma",TEXT(fam_kmBasiSapma,"0.00"),"TL")</f>
        <v/>
      </c>
    </row>
    <row r="63">
      <c r="H63" s="7" t="inlineStr">
        <is>
          <t>fam_yorumTornado</t>
        </is>
      </c>
      <c r="I63" s="8">
        <f>_xlfn.TEXTJOIN(" ",TRUE,"Tornado zirve",TEXT(fam_tornadoZirve,"0"),"TL")</f>
        <v/>
      </c>
    </row>
    <row r="64">
      <c r="H64" s="7" t="inlineStr">
        <is>
          <t>fam_yorumSenaryo</t>
        </is>
      </c>
      <c r="I64" s="8">
        <f>_xlfn.TEXTJOIN(" ",TRUE,"Senaryo farkı",TEXT(fam_senaryoKarsilastirma,"0"))</f>
        <v/>
      </c>
    </row>
    <row r="65">
      <c r="H65" s="7" t="inlineStr">
        <is>
          <t>fam_yorumHhi</t>
        </is>
      </c>
      <c r="I65" s="8">
        <f>_xlfn.TEXTJOIN(" ",TRUE,"Yoğunlaşma HHI",TEXT(fam_hhi,"0.0%"))</f>
        <v/>
      </c>
    </row>
    <row r="66">
      <c r="H66" s="7" t="inlineStr">
        <is>
          <t>fam_yorumKalite</t>
        </is>
      </c>
      <c r="I66" s="8">
        <f>_xlfn.TEXTJOIN(" ",TRUE,"Kalite skoru",fam_kaliteSkor)</f>
        <v/>
      </c>
    </row>
    <row r="67">
      <c r="H67" s="7" t="inlineStr">
        <is>
          <t>fam_yorumSenMotor</t>
        </is>
      </c>
      <c r="I67" s="8">
        <f>_xlfn.TEXTJOIN(" ",TRUE,"Senaryo motoru",fam_senaryoMotor)</f>
        <v/>
      </c>
    </row>
    <row r="68">
      <c r="H68" s="7" t="inlineStr">
        <is>
          <t>fam_yorumTahmin</t>
        </is>
      </c>
      <c r="I68" s="8">
        <f>_xlfn.TEXTJOIN(" ",TRUE,"Tahmin aralık",TEXT(fam_tahminAralik,"0"),"TL")</f>
        <v/>
      </c>
    </row>
    <row r="69">
      <c r="H69" s="7" t="inlineStr">
        <is>
          <t>fam_yorumP90</t>
        </is>
      </c>
      <c r="I69" s="8">
        <f>_xlfn.TEXTJOIN(" ",TRUE,"P90 maliyet",TEXT(fam_yuzdelikP90,"0"),"TL")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66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Filo Araç Maliyet Komutası</t>
        </is>
      </c>
    </row>
    <row r="3">
      <c r="A3" s="26" t="inlineStr">
        <is>
          <t>Kullanım Kılavuzu</t>
        </is>
      </c>
    </row>
    <row r="5">
      <c r="A5" s="8" t="inlineStr">
        <is>
          <t>1. VARLIKLAR sayfasına araç kartı ekleyin; sonraki kimliği kullanın.</t>
        </is>
      </c>
    </row>
    <row r="6">
      <c r="A6" s="8" t="inlineStr">
        <is>
          <t>2. GUNLUK_GIRIS sayfasına günlük satır yazın: varlık, tarih, km, yakıt lt, bakım TL, olay (≤6 alan).</t>
        </is>
      </c>
    </row>
    <row r="7">
      <c r="A7" s="8" t="inlineStr">
        <is>
          <t>3. Km başı maliyet = (yakıt + bakım + amortisman + sigorta) / km formülüyle hesaplanır.</t>
        </is>
      </c>
    </row>
    <row r="8">
      <c r="A8" s="8" t="inlineStr">
        <is>
          <t>4. DONEM_ANALIZ 12 aylık sezonsal zinciri gösterir.</t>
        </is>
      </c>
    </row>
    <row r="9">
      <c r="A9" s="8" t="inlineStr">
        <is>
          <t>5. ALARMLAR sayfasında varlık + eşik + tarih listesi; eşikler AYARLAR'dadır.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Kod FAM-PRO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2026-08-11T13:39:59Z</dcterms:created>
  <dcterms:modified xmlns:dcterms="http://purl.org/dc/terms/" xmlns:xsi="http://www.w3.org/2001/XMLSchema-instance" xsi:type="dcterms:W3CDTF">2026-09-25T15:13:48Z</dcterms:modified>
</cp:coreProperties>
</file>