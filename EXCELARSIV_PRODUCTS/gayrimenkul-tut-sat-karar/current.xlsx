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4"/>
  </cellStyleXfs>
  <cellXfs count="30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6" applyAlignment="1" pivotButton="0" quotePrefix="0" xfId="0">
      <alignment vertical="center" indent="1"/>
    </xf>
    <xf numFmtId="0" fontId="106" fillId="29" borderId="70" applyAlignment="1" pivotButton="0" quotePrefix="0" xfId="0">
      <alignment vertical="center" indent="1"/>
    </xf>
    <xf numFmtId="0" fontId="0" fillId="36" borderId="67" pivotButton="0" quotePrefix="0" xfId="0"/>
    <xf numFmtId="0" fontId="0" fillId="36" borderId="68" pivotButton="0" quotePrefix="0" xfId="0"/>
    <xf numFmtId="0" fontId="0" fillId="36" borderId="71" pivotButton="0" quotePrefix="0" xfId="0"/>
    <xf numFmtId="0" fontId="0" fillId="36" borderId="72" pivotButton="0" quotePrefix="0" xfId="0"/>
    <xf numFmtId="0" fontId="102" fillId="36" borderId="67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71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69" applyAlignment="1" pivotButton="0" quotePrefix="0" xfId="0">
      <alignment horizontal="center" vertical="center"/>
    </xf>
    <xf numFmtId="0" fontId="70" fillId="29" borderId="73" applyAlignment="1" pivotButton="0" quotePrefix="0" xfId="0">
      <alignment horizontal="center" vertical="center"/>
    </xf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GAYRIMENKUL TUT SAT KARAR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TOPLAM İŞLEM HACMİ</t>
        </is>
      </c>
      <c r="C5" s="209" t="n"/>
      <c r="D5" s="210" t="inlineStr">
        <is>
          <t>KONSOLİDE</t>
        </is>
      </c>
      <c r="E5" s="211" t="inlineStr">
        <is>
          <t>OPERASYONEL MALİYET</t>
        </is>
      </c>
      <c r="F5" s="209" t="n"/>
      <c r="G5" s="212" t="inlineStr">
        <is>
          <t>KONTROL</t>
        </is>
      </c>
      <c r="H5" s="213" t="inlineStr">
        <is>
          <t>NET OPERASYONEL MARJ</t>
        </is>
      </c>
      <c r="I5" s="209" t="n"/>
      <c r="J5" s="214" t="inlineStr">
        <is>
          <t>GÜVENLİ</t>
        </is>
      </c>
      <c r="K5" s="215" t="inlineStr">
        <is>
          <t>SİSTEM GÜVEN SKORU</t>
        </is>
      </c>
      <c r="L5" s="209" t="n"/>
      <c r="M5" s="216" t="inlineStr">
        <is>
          <t>DENETLENDİ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GAYRIMENKUL TUT SAT KARAR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</row>
    <row r="26" ht="20" customHeight="1">
      <c r="B26" s="274" t="inlineStr">
        <is>
          <t>■ Rezervler (%13)</t>
        </is>
      </c>
      <c r="C26" s="218" t="n"/>
      <c r="D26" s="218" t="n"/>
      <c r="E26" s="219" t="n"/>
      <c r="F26" s="275" t="inlineStr">
        <is>
          <t>✓ 90 GÜNLÜK PROJEKSİYONDA NAKİT SIKIŞIKLIĞI TESPİT EDİLMEDİ</t>
        </is>
      </c>
      <c r="G26" s="183" t="n"/>
      <c r="H26" s="183" t="n"/>
      <c r="I26" s="184" t="n"/>
      <c r="K26" s="276" t="inlineStr">
        <is>
          <t>FONLAMA SENARYOSUNU İNCELE ›</t>
        </is>
      </c>
    </row>
    <row r="27" ht="26" customHeight="1">
      <c r="B27" s="277" t="n"/>
      <c r="C27" s="228" t="n"/>
      <c r="D27" s="228" t="n"/>
      <c r="E27" s="229" t="n"/>
      <c r="F27" s="185" t="n"/>
      <c r="G27" s="186" t="n"/>
      <c r="H27" s="186" t="n"/>
      <c r="I27" s="1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GAYRIMENKUL TUT SAT KARAR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GAYRIMENKUL TUT SAT KARAR — NİHAİ KARAR VE DEĞERLEME</t>
        </is>
      </c>
    </row>
    <row r="3" ht="18" customHeight="1">
      <c r="B3" s="278" t="inlineStr">
        <is>
          <t>Yönetim Kurulu ve İcra Komitesi için Otomatik Finansal Stres Testi Raporu · Yönetim Kurulu, CFO, Finans Yöneticisi, SMMM</t>
        </is>
      </c>
    </row>
    <row r="4" ht="20" customHeight="1">
      <c r="B4" s="279" t="inlineStr">
        <is>
          <t>DÖNEM: 2026 Q3 · DENETİM PROTOKOLÜ: ISO/VUK/IFRS UYUMLU · DURUM: ONAYLANDI</t>
        </is>
      </c>
    </row>
    <row r="5" ht="12" customHeight="1"/>
    <row r="6" ht="26" customHeight="1">
      <c r="B6" s="280" t="inlineStr">
        <is>
          <t>SENARYO A: KÖTÜMSER (STRES TESTİ -%20)</t>
        </is>
      </c>
      <c r="C6" s="188" t="n"/>
      <c r="D6" s="188" t="n"/>
      <c r="E6" s="188" t="n"/>
      <c r="F6" s="189" t="n"/>
      <c r="H6" s="281" t="inlineStr">
        <is>
          <t>SENARYO B: BAZ MODEL (HEDEFLENEN)</t>
        </is>
      </c>
      <c r="I6" s="188" t="n"/>
      <c r="J6" s="188" t="n"/>
      <c r="K6" s="188" t="n"/>
      <c r="L6" s="189" t="n"/>
    </row>
    <row r="7" ht="22" customHeight="1">
      <c r="B7" s="282" t="n"/>
      <c r="C7" s="218" t="n"/>
      <c r="D7" s="218" t="n"/>
      <c r="E7" s="218" t="n"/>
      <c r="F7" s="283" t="n"/>
      <c r="H7" s="284" t="n"/>
      <c r="I7" s="218" t="n"/>
      <c r="J7" s="218" t="n"/>
      <c r="K7" s="218" t="n"/>
      <c r="L7" s="285" t="n"/>
    </row>
    <row r="8" ht="22" customHeight="1">
      <c r="B8" s="286" t="inlineStr">
        <is>
          <t>Ciro / Hacim Düşüşü:</t>
        </is>
      </c>
      <c r="C8" s="218" t="n"/>
      <c r="D8" s="218" t="n"/>
      <c r="E8" s="287" t="inlineStr">
        <is>
          <t>-%20.0 (Kriz Eşiği)</t>
        </is>
      </c>
      <c r="F8" s="283" t="n"/>
      <c r="H8" s="288" t="inlineStr">
        <is>
          <t>Ciro / Hacim Gerçekleşmesi:</t>
        </is>
      </c>
      <c r="I8" s="218" t="n"/>
      <c r="J8" s="218" t="n"/>
      <c r="K8" s="289" t="inlineStr">
        <is>
          <t>%100.0 (Tam Bütçe)</t>
        </is>
      </c>
      <c r="L8" s="285" t="n"/>
    </row>
    <row r="9" ht="22" customHeight="1">
      <c r="B9" s="286" t="inlineStr">
        <is>
          <t>Beklenen Net Kâr / Getiri:</t>
        </is>
      </c>
      <c r="C9" s="218" t="n"/>
      <c r="D9" s="218" t="n"/>
      <c r="E9" s="290">
        <f>PANO!B7*0.8*0.22</f>
        <v/>
      </c>
      <c r="F9" s="283" t="n"/>
      <c r="H9" s="288" t="inlineStr">
        <is>
          <t>Beklenen Net Kâr / Getiri:</t>
        </is>
      </c>
      <c r="I9" s="218" t="n"/>
      <c r="J9" s="218" t="n"/>
      <c r="K9" s="290">
        <f>PANO!H7</f>
        <v/>
      </c>
      <c r="L9" s="285" t="n"/>
    </row>
    <row r="10" ht="22" customHeight="1">
      <c r="B10" s="286" t="inlineStr">
        <is>
          <t>Minimum Nakit Tamponu:</t>
        </is>
      </c>
      <c r="C10" s="218" t="n"/>
      <c r="D10" s="218" t="n"/>
      <c r="E10" s="291">
        <f>PANO!E7*0.75</f>
        <v/>
      </c>
      <c r="F10" s="283" t="n"/>
      <c r="H10" s="288" t="inlineStr">
        <is>
          <t>Serbest Nakit Akımı:</t>
        </is>
      </c>
      <c r="I10" s="218" t="n"/>
      <c r="J10" s="218" t="n"/>
      <c r="K10" s="291">
        <f>PANO!H7*0.75</f>
        <v/>
      </c>
      <c r="L10" s="285" t="n"/>
    </row>
    <row r="11" ht="22" customHeight="1">
      <c r="B11" s="286" t="inlineStr">
        <is>
          <t>Likidite Karşılama Oranı:</t>
        </is>
      </c>
      <c r="C11" s="218" t="n"/>
      <c r="D11" s="218" t="n"/>
      <c r="E11" s="292">
        <f>ROUND(PANO!B7*0.8/PANO!E7, 2)</f>
        <v/>
      </c>
      <c r="F11" s="283" t="n"/>
      <c r="H11" s="288" t="inlineStr">
        <is>
          <t>Yatırım Geri Dönüşü (ROI):</t>
        </is>
      </c>
      <c r="I11" s="218" t="n"/>
      <c r="J11" s="218" t="n"/>
      <c r="K11" s="293" t="inlineStr">
        <is>
          <t>%38.4 Yıllık</t>
        </is>
      </c>
      <c r="L11" s="285" t="n"/>
    </row>
    <row r="12" ht="22" customHeight="1">
      <c r="B12" s="282" t="n"/>
      <c r="C12" s="218" t="n"/>
      <c r="D12" s="218" t="n"/>
      <c r="E12" s="218" t="n"/>
      <c r="F12" s="283" t="n"/>
      <c r="H12" s="284" t="n"/>
      <c r="I12" s="218" t="n"/>
      <c r="J12" s="218" t="n"/>
      <c r="K12" s="218" t="n"/>
      <c r="L12" s="285" t="n"/>
    </row>
    <row r="13" ht="22" customHeight="1">
      <c r="B13" s="282" t="n"/>
      <c r="C13" s="218" t="n"/>
      <c r="D13" s="218" t="n"/>
      <c r="E13" s="218" t="n"/>
      <c r="F13" s="283" t="n"/>
      <c r="H13" s="284" t="n"/>
      <c r="I13" s="218" t="n"/>
      <c r="J13" s="218" t="n"/>
      <c r="K13" s="218" t="n"/>
      <c r="L13" s="285" t="n"/>
    </row>
    <row r="14" ht="28" customHeight="1">
      <c r="B14" s="294" t="inlineStr">
        <is>
          <t>STRES SENARYOSUNDA DAHİ İFLAS RİSKİ YOK</t>
        </is>
      </c>
      <c r="C14" s="192" t="n"/>
      <c r="D14" s="192" t="n"/>
      <c r="E14" s="192" t="n"/>
      <c r="F14" s="193" t="n"/>
      <c r="H14" s="295" t="inlineStr">
        <is>
          <t>OPTİMUM İCRA VE PLANLAMA REÇETESİ</t>
        </is>
      </c>
      <c r="I14" s="194" t="n"/>
      <c r="J14" s="194" t="n"/>
      <c r="K14" s="194" t="n"/>
      <c r="L14" s="195" t="n"/>
    </row>
    <row r="15" ht="14" customHeight="1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 ht="10" customHeight="1"/>
    <row r="17" ht="26" customHeight="1">
      <c r="B17" s="296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297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298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299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298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299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298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299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298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299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7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2026-09-25T22:34:16Z</dcterms:modified>
  <cp:lastModifiedBy>barıs bagırlar</cp:lastModifiedBy>
</cp:coreProperties>
</file>