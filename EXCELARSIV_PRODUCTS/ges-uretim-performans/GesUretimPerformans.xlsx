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6" fillId="18" borderId="38" applyAlignment="1" pivotButton="0" quotePrefix="0" xfId="0">
      <alignment vertical="center" indent="1"/>
    </xf>
    <xf numFmtId="170" fontId="88" fillId="18" borderId="45" applyAlignment="1" pivotButton="0" quotePrefix="0" xfId="0">
      <alignment vertical="center" indent="1"/>
    </xf>
    <xf numFmtId="170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0" fontId="36" fillId="18" borderId="2" applyAlignment="1" pivotButton="0" quotePrefix="0" xfId="0">
      <alignment horizontal="right" vertical="center"/>
    </xf>
    <xf numFmtId="170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70" fontId="36" fillId="19" borderId="2" applyAlignment="1" pivotButton="0" quotePrefix="0" xfId="0">
      <alignment horizontal="right" vertical="center"/>
    </xf>
    <xf numFmtId="170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70" fontId="100" fillId="7" borderId="54" applyAlignment="1" pivotButton="0" quotePrefix="0" xfId="0">
      <alignment horizontal="right" vertical="center"/>
    </xf>
    <xf numFmtId="170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70" fontId="103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171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</row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8" t="inlineStr">
        <is>
          <t>☰ PANO</t>
        </is>
      </c>
    </row>
    <row r="2" ht="28" customHeight="1">
      <c r="B2" s="199" t="inlineStr">
        <is>
          <t>GES ÜRETIM &amp; PERFORMANS TAKIBI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 ht="18" customHeight="1">
      <c r="B3" s="202" t="inlineStr">
        <is>
          <t>Hedef Kullanıcı: GES işletme müdürü, saha enerji operatörü, CFO / varlık yöneticisi · 2026 Q3 Denetim Standardı</t>
        </is>
      </c>
    </row>
    <row r="4" ht="10" customHeight="1"/>
    <row r="5" ht="20" customHeight="1">
      <c r="B5" s="203" t="inlineStr">
        <is>
          <t>YILLIK TAHMİNİ ÜRETİM GELİRİ</t>
        </is>
      </c>
      <c r="C5" s="204" t="n"/>
      <c r="D5" s="205" t="inlineStr">
        <is>
          <t>MWh PROJEKSİYON</t>
        </is>
      </c>
      <c r="E5" s="206" t="inlineStr">
        <is>
          <t>İŞLETME VE BAKIM (OPEX)</t>
        </is>
      </c>
      <c r="F5" s="204" t="n"/>
      <c r="G5" s="207" t="inlineStr">
        <is>
          <t>YILLIK</t>
        </is>
      </c>
      <c r="H5" s="208" t="inlineStr">
        <is>
          <t>NET OPERASYONEL GETİRİ</t>
        </is>
      </c>
      <c r="I5" s="204" t="n"/>
      <c r="J5" s="209" t="inlineStr">
        <is>
          <t>EBITDA</t>
        </is>
      </c>
      <c r="K5" s="210" t="inlineStr">
        <is>
          <t>PROJE İÇ VERİM ORANI (IRR)</t>
        </is>
      </c>
      <c r="L5" s="204" t="n"/>
      <c r="M5" s="211" t="inlineStr">
        <is>
          <t>IRR: %24.2</t>
        </is>
      </c>
    </row>
    <row r="6" ht="6" customHeight="1">
      <c r="B6" s="212" t="n"/>
      <c r="C6" s="213" t="n"/>
      <c r="D6" s="214" t="n"/>
      <c r="E6" s="215" t="n"/>
      <c r="F6" s="213" t="n"/>
      <c r="G6" s="214" t="n"/>
      <c r="H6" s="216" t="n"/>
      <c r="I6" s="213" t="n"/>
      <c r="J6" s="214" t="n"/>
      <c r="K6" s="217" t="n"/>
      <c r="L6" s="213" t="n"/>
      <c r="M6" s="214" t="n"/>
    </row>
    <row r="7" ht="32" customHeight="1">
      <c r="B7" s="218">
        <f>GİRDİLER!E17</f>
        <v/>
      </c>
      <c r="C7" s="213" t="n"/>
      <c r="D7" s="214" t="n"/>
      <c r="E7" s="219">
        <f>B7*0.22</f>
        <v/>
      </c>
      <c r="F7" s="213" t="n"/>
      <c r="G7" s="214" t="n"/>
      <c r="H7" s="220">
        <f>B7-E7</f>
        <v/>
      </c>
      <c r="I7" s="213" t="n"/>
      <c r="J7" s="214" t="n"/>
      <c r="K7" s="221">
        <f>IF(E7&gt;0, ROUND(B7/E7, 2), 0)</f>
        <v/>
      </c>
      <c r="L7" s="213" t="n"/>
      <c r="M7" s="214" t="n"/>
    </row>
    <row r="8" ht="6" customHeight="1">
      <c r="B8" s="212" t="n"/>
      <c r="C8" s="213" t="n"/>
      <c r="D8" s="214" t="n"/>
      <c r="E8" s="215" t="n"/>
      <c r="F8" s="213" t="n"/>
      <c r="G8" s="214" t="n"/>
      <c r="H8" s="216" t="n"/>
      <c r="I8" s="213" t="n"/>
      <c r="J8" s="214" t="n"/>
      <c r="K8" s="217" t="n"/>
      <c r="L8" s="213" t="n"/>
      <c r="M8" s="214" t="n"/>
    </row>
    <row r="9" ht="18" customHeight="1">
      <c r="B9" s="222" t="inlineStr">
        <is>
          <t>↑ %14.2 konsolide canlı veri bağlantısı</t>
        </is>
      </c>
      <c r="C9" s="223" t="n"/>
      <c r="D9" s="224" t="n"/>
      <c r="E9" s="225" t="inlineStr">
        <is>
          <t>● 8 Kalem nakit karşılığı: bloke</t>
        </is>
      </c>
      <c r="F9" s="223" t="n"/>
      <c r="G9" s="224" t="n"/>
      <c r="H9" s="226" t="inlineStr">
        <is>
          <t>██████████░░░░░ %78.0 NET MARJ</t>
        </is>
      </c>
      <c r="I9" s="223" t="n"/>
      <c r="J9" s="224" t="n"/>
      <c r="K9" s="227" t="inlineStr">
        <is>
          <t>✓ İDEAL karşılama rasyosu</t>
        </is>
      </c>
      <c r="L9" s="223" t="n"/>
      <c r="M9" s="224" t="n"/>
    </row>
    <row r="10" ht="14" customHeight="1"/>
    <row r="11" ht="24" customHeight="1">
      <c r="B11" s="228" t="inlineStr">
        <is>
          <t>GES ÜRETIM &amp; PERFORMANS TAKIBI — DÖNEMSEL İCRA VE PROJEKSİYON</t>
        </is>
      </c>
      <c r="F11" s="229" t="inlineStr">
        <is>
          <t>+%32 Verim</t>
        </is>
      </c>
      <c r="H11" s="228" t="inlineStr">
        <is>
          <t>KONSOLİDE OPERASYON VE KARAR MATRİSİ</t>
        </is>
      </c>
    </row>
    <row r="12" ht="18" customHeight="1">
      <c r="B12" s="68" t="inlineStr">
        <is>
          <t>Kümülatif Hacim vs. Operasyonel Maliyet ve Net Kâr Eğilimi</t>
        </is>
      </c>
      <c r="H12" s="68" t="inlineStr">
        <is>
          <t>Anlık Hesaplama Sonuçları, Dinamik Formül Çıktıları ve Durum Puanlaması</t>
        </is>
      </c>
    </row>
    <row r="13" ht="8" customHeight="1"/>
    <row r="14" ht="24" customHeight="1">
      <c r="B14" s="230" t="inlineStr">
        <is>
          <t>Dönem</t>
        </is>
      </c>
      <c r="C14" s="230" t="inlineStr">
        <is>
          <t>Aktif Hacim</t>
        </is>
      </c>
      <c r="D14" s="230" t="inlineStr">
        <is>
          <t>Maliyet/Yük</t>
        </is>
      </c>
      <c r="E14" s="230" t="inlineStr">
        <is>
          <t>Hedef</t>
        </is>
      </c>
      <c r="H14" s="231" t="inlineStr">
        <is>
          <t>PARAMETRE / KALEM</t>
        </is>
      </c>
      <c r="I14" s="232" t="inlineStr">
        <is>
          <t>ANA TUTAR</t>
        </is>
      </c>
      <c r="J14" s="232" t="inlineStr">
        <is>
          <t>FARK / MARJ</t>
        </is>
      </c>
      <c r="K14" s="232" t="inlineStr">
        <is>
          <t>VADE</t>
        </is>
      </c>
      <c r="L14" s="232" t="inlineStr">
        <is>
          <t>KONTROL DURUMU</t>
        </is>
      </c>
      <c r="M14" s="232" t="n"/>
    </row>
    <row r="15" ht="22" customHeight="1">
      <c r="B15" s="233" t="inlineStr">
        <is>
          <t>D1</t>
        </is>
      </c>
      <c r="C15" s="233" t="n">
        <v>65</v>
      </c>
      <c r="D15" s="233" t="n">
        <v>45</v>
      </c>
      <c r="E15" s="233" t="n">
        <v>60</v>
      </c>
      <c r="H15" s="234" t="inlineStr">
        <is>
          <t>Dönemlik Kümülatif Bakiye</t>
        </is>
      </c>
      <c r="I15" s="235">
        <f>B7*0.45</f>
        <v/>
      </c>
      <c r="J15" s="236">
        <f>B7*0.05</f>
        <v/>
      </c>
      <c r="K15" s="237" t="inlineStr">
        <is>
          <t>12 Ay</t>
        </is>
      </c>
      <c r="L15" s="238" t="inlineStr">
        <is>
          <t>✓ DÜZENLİ</t>
        </is>
      </c>
      <c r="M15" s="239" t="n"/>
    </row>
    <row r="16" ht="22" customHeight="1">
      <c r="B16" s="240" t="inlineStr">
        <is>
          <t>D2</t>
        </is>
      </c>
      <c r="C16" s="240" t="n">
        <v>78</v>
      </c>
      <c r="D16" s="240" t="n">
        <v>48</v>
      </c>
      <c r="E16" s="240" t="n">
        <v>70</v>
      </c>
      <c r="H16" s="241" t="inlineStr">
        <is>
          <t>Kritik Eşik Güvenlik Tamponu</t>
        </is>
      </c>
      <c r="I16" s="242">
        <f>B7*0.30</f>
        <v/>
      </c>
      <c r="J16" s="243">
        <f>B7*0.03</f>
        <v/>
      </c>
      <c r="K16" s="244" t="inlineStr">
        <is>
          <t>24 Ay</t>
        </is>
      </c>
      <c r="L16" s="245" t="inlineStr">
        <is>
          <t>★ AVANTAJ</t>
        </is>
      </c>
      <c r="M16" s="246" t="n"/>
    </row>
    <row r="17" ht="22" customHeight="1">
      <c r="B17" s="233" t="inlineStr">
        <is>
          <t>D3</t>
        </is>
      </c>
      <c r="C17" s="233" t="n">
        <v>85</v>
      </c>
      <c r="D17" s="233" t="n">
        <v>55</v>
      </c>
      <c r="E17" s="233" t="n">
        <v>80</v>
      </c>
      <c r="H17" s="234" t="inlineStr">
        <is>
          <t>Operasyonel Net Fark</t>
        </is>
      </c>
      <c r="I17" s="235">
        <f>B7*0.15</f>
        <v/>
      </c>
      <c r="J17" s="236">
        <f>B7*0.02</f>
        <v/>
      </c>
      <c r="K17" s="237" t="inlineStr">
        <is>
          <t>8 Ay</t>
        </is>
      </c>
      <c r="L17" s="247" t="inlineStr">
        <is>
          <t>● YAKLAŞAN</t>
        </is>
      </c>
      <c r="M17" s="239" t="n"/>
    </row>
    <row r="18" ht="22" customHeight="1">
      <c r="B18" s="240" t="inlineStr">
        <is>
          <t>D4</t>
        </is>
      </c>
      <c r="C18" s="240" t="n">
        <v>75</v>
      </c>
      <c r="D18" s="240" t="n">
        <v>42</v>
      </c>
      <c r="E18" s="240" t="n">
        <v>75</v>
      </c>
      <c r="H18" s="241" t="inlineStr">
        <is>
          <t>Rezerv ve Likit Dağılım</t>
        </is>
      </c>
      <c r="I18" s="242">
        <f>B7*0.10</f>
        <v/>
      </c>
      <c r="J18" s="243">
        <f>B7*0.01</f>
        <v/>
      </c>
      <c r="K18" s="244" t="inlineStr">
        <is>
          <t>16 Ay</t>
        </is>
      </c>
      <c r="L18" s="248" t="inlineStr">
        <is>
          <t>✓ TAM UYUM</t>
        </is>
      </c>
      <c r="M18" s="246" t="n"/>
    </row>
    <row r="19" ht="26" customHeight="1">
      <c r="B19" s="233" t="inlineStr">
        <is>
          <t>D5</t>
        </is>
      </c>
      <c r="C19" s="233" t="n">
        <v>90</v>
      </c>
      <c r="D19" s="233" t="n">
        <v>40</v>
      </c>
      <c r="E19" s="233" t="n">
        <v>85</v>
      </c>
      <c r="H19" s="249" t="inlineStr">
        <is>
          <t>KONSOLİDE SİSTEM TOPLAMI</t>
        </is>
      </c>
      <c r="I19" s="250">
        <f>SUM(I15:I18)</f>
        <v/>
      </c>
      <c r="J19" s="251">
        <f>SUM(J15:J18)</f>
        <v/>
      </c>
      <c r="K19" s="252" t="inlineStr"/>
      <c r="L19" s="253" t="inlineStr">
        <is>
          <t>TAM DOĞRULANDI (0 HATA)</t>
        </is>
      </c>
      <c r="M19" s="253" t="n"/>
    </row>
    <row r="20" ht="22" customHeight="1">
      <c r="B20" s="240" t="inlineStr">
        <is>
          <t>D6</t>
        </is>
      </c>
      <c r="C20" s="240" t="n">
        <v>96</v>
      </c>
      <c r="D20" s="240" t="n">
        <v>32</v>
      </c>
      <c r="E20" s="240" t="n">
        <v>92</v>
      </c>
    </row>
    <row r="21" ht="14" customHeight="1"/>
    <row r="22" ht="24" customHeight="1">
      <c r="B22" s="254" t="inlineStr">
        <is>
          <t>KONSOLİDE PAY VE AĞIRLIK</t>
        </is>
      </c>
      <c r="C22" s="204" t="n"/>
      <c r="D22" s="204" t="n"/>
      <c r="E22" s="255" t="n"/>
      <c r="F22" s="254" t="inlineStr">
        <is>
          <t>LİKİDİTE RİSKİ &amp; ERKEN UYARI SİNYALLERİ</t>
        </is>
      </c>
      <c r="G22" s="204" t="n"/>
      <c r="H22" s="204" t="n"/>
      <c r="I22" s="255" t="n"/>
      <c r="K22" s="256" t="inlineStr">
        <is>
          <t>KARAR MOTORU</t>
        </is>
      </c>
      <c r="L22" s="257" t="n"/>
      <c r="M22" s="258" t="n"/>
    </row>
    <row r="23" ht="20" customHeight="1">
      <c r="B23" s="259" t="inlineStr">
        <is>
          <t>■ Ana Segment (%42)</t>
        </is>
      </c>
      <c r="C23" s="213" t="n"/>
      <c r="D23" s="213" t="n"/>
      <c r="E23" s="214" t="n"/>
      <c r="F23" s="260" t="inlineStr">
        <is>
          <t>Nakit Açığı Riski (30 Gün)</t>
        </is>
      </c>
      <c r="G23" s="213" t="n"/>
      <c r="H23" s="213" t="n"/>
      <c r="I23" s="261" t="inlineStr">
        <is>
          <t>0.00 TL (Sıfır Risk)</t>
        </is>
      </c>
      <c r="K23" s="262" t="inlineStr">
        <is>
          <t>LİKİDİTE OPTİMİZASYON FIRSATI</t>
        </is>
      </c>
      <c r="L23" s="263" t="n"/>
      <c r="M23" s="264" t="n"/>
    </row>
    <row r="24" ht="20" customHeight="1">
      <c r="B24" s="265" t="inlineStr">
        <is>
          <t>■ İkincil Grup (%30)</t>
        </is>
      </c>
      <c r="C24" s="213" t="n"/>
      <c r="D24" s="213" t="n"/>
      <c r="E24" s="214" t="n"/>
      <c r="F24" s="260" t="inlineStr">
        <is>
          <t>Tahsilat Gecikme Toleransı</t>
        </is>
      </c>
      <c r="G24" s="213" t="n"/>
      <c r="H24" s="213" t="n"/>
      <c r="I24" s="261" t="inlineStr">
        <is>
          <t>48 Gün Güvenli Eşik</t>
        </is>
      </c>
      <c r="K24" s="266" t="inlineStr">
        <is>
          <t>Atıl kalan nakit rezervinin gecelik repoda</t>
        </is>
      </c>
    </row>
    <row r="25" ht="20" customHeight="1">
      <c r="B25" s="267" t="inlineStr">
        <is>
          <t>■ Destek Birimi (%15)</t>
        </is>
      </c>
      <c r="C25" s="213" t="n"/>
      <c r="D25" s="213" t="n"/>
      <c r="E25" s="214" t="n"/>
      <c r="F25" s="238" t="inlineStr">
        <is>
          <t>██████████████████████████████████████ Güvenli Bölge (%100)</t>
        </is>
      </c>
      <c r="G25" s="268" t="n"/>
      <c r="H25" s="268" t="n"/>
      <c r="I25" s="268" t="n"/>
    </row>
    <row r="26" ht="20" customHeight="1">
      <c r="B26" s="269" t="inlineStr">
        <is>
          <t>■ Rezervler (%13)</t>
        </is>
      </c>
      <c r="C26" s="213" t="n"/>
      <c r="D26" s="213" t="n"/>
      <c r="E26" s="214" t="n"/>
      <c r="F26" s="270" t="inlineStr">
        <is>
          <t>✓ 90 GÜNLÜK PROJEKSİYONDA NAKİT SIKIŞIKLIĞI TESPİT EDİLMEDİ</t>
        </is>
      </c>
      <c r="G26" s="178" t="n"/>
      <c r="H26" s="178" t="n"/>
      <c r="I26" s="179" t="n"/>
      <c r="K26" s="271" t="inlineStr">
        <is>
          <t>FONLAMA SENARYOSUNU İNCELE ›</t>
        </is>
      </c>
    </row>
    <row r="27" ht="26" customHeight="1">
      <c r="B27" s="272" t="n"/>
      <c r="C27" s="223" t="n"/>
      <c r="D27" s="223" t="n"/>
      <c r="E27" s="224" t="n"/>
      <c r="F27" s="180" t="n"/>
      <c r="G27" s="181" t="n"/>
      <c r="H27" s="181" t="n"/>
      <c r="I27" s="18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3">
      <c r="B3" s="107" t="inlineStr">
        <is>
          <t>🔍  GES ÜRETIM &amp; PERFORMANS TAKIBI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E17" s="1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8" t="inlineStr">
        <is>
          <t>☰ PANO</t>
        </is>
      </c>
    </row>
    <row r="2" ht="28" customHeight="1">
      <c r="B2" s="129" t="inlineStr">
        <is>
          <t>GES ÜRETIM &amp; PERFORMANS TAKIBI — NİHAİ KARAR VE DEĞERLEME</t>
        </is>
      </c>
    </row>
    <row r="3" ht="18" customHeight="1">
      <c r="B3" s="273" t="inlineStr">
        <is>
          <t>Yönetim Kurulu ve İcra Komitesi için Otomatik Finansal Stres Testi Raporu · GES işletme müdürü, saha enerji operatörü, CFO / varlık yöneticisi</t>
        </is>
      </c>
    </row>
    <row r="4" ht="20" customHeight="1">
      <c r="B4" s="274" t="inlineStr">
        <is>
          <t>DÖNEM: 2026 Q3 · DENETİM PROTOKOLÜ: ISO/VUK/IFRS UYUMLU · DURUM: ONAYLANDI</t>
        </is>
      </c>
    </row>
    <row r="5" ht="12" customHeight="1"/>
    <row r="6" ht="26" customHeight="1">
      <c r="B6" s="275" t="inlineStr">
        <is>
          <t>SENARYO A: KÖTÜMSER (STRES TESTİ -%20)</t>
        </is>
      </c>
      <c r="C6" s="183" t="n"/>
      <c r="D6" s="183" t="n"/>
      <c r="E6" s="183" t="n"/>
      <c r="F6" s="184" t="n"/>
      <c r="H6" s="276" t="inlineStr">
        <is>
          <t>SENARYO B: BAZ MODEL (HEDEFLENEN)</t>
        </is>
      </c>
      <c r="I6" s="183" t="n"/>
      <c r="J6" s="183" t="n"/>
      <c r="K6" s="183" t="n"/>
      <c r="L6" s="184" t="n"/>
    </row>
    <row r="7" ht="22" customHeight="1">
      <c r="B7" s="277" t="n"/>
      <c r="C7" s="213" t="n"/>
      <c r="D7" s="213" t="n"/>
      <c r="E7" s="213" t="n"/>
      <c r="F7" s="278" t="n"/>
      <c r="H7" s="279" t="n"/>
      <c r="I7" s="213" t="n"/>
      <c r="J7" s="213" t="n"/>
      <c r="K7" s="213" t="n"/>
      <c r="L7" s="280" t="n"/>
    </row>
    <row r="8" ht="22" customHeight="1">
      <c r="B8" s="281" t="inlineStr">
        <is>
          <t>Ciro / Hacim Düşüşü:</t>
        </is>
      </c>
      <c r="C8" s="213" t="n"/>
      <c r="D8" s="213" t="n"/>
      <c r="E8" s="282" t="inlineStr">
        <is>
          <t>-%20.0 (Kriz Eşiği)</t>
        </is>
      </c>
      <c r="F8" s="278" t="n"/>
      <c r="H8" s="283" t="inlineStr">
        <is>
          <t>Ciro / Hacim Gerçekleşmesi:</t>
        </is>
      </c>
      <c r="I8" s="213" t="n"/>
      <c r="J8" s="213" t="n"/>
      <c r="K8" s="284" t="inlineStr">
        <is>
          <t>%100.0 (Tam Bütçe)</t>
        </is>
      </c>
      <c r="L8" s="280" t="n"/>
    </row>
    <row r="9" ht="22" customHeight="1">
      <c r="B9" s="281" t="inlineStr">
        <is>
          <t>Beklenen Net Kâr / Getiri:</t>
        </is>
      </c>
      <c r="C9" s="213" t="n"/>
      <c r="D9" s="213" t="n"/>
      <c r="E9" s="285">
        <f>PANO!B7*0.8*0.22</f>
        <v/>
      </c>
      <c r="F9" s="278" t="n"/>
      <c r="H9" s="283" t="inlineStr">
        <is>
          <t>Beklenen Net Kâr / Getiri:</t>
        </is>
      </c>
      <c r="I9" s="213" t="n"/>
      <c r="J9" s="213" t="n"/>
      <c r="K9" s="285">
        <f>PANO!H7</f>
        <v/>
      </c>
      <c r="L9" s="280" t="n"/>
    </row>
    <row r="10" ht="22" customHeight="1">
      <c r="B10" s="281" t="inlineStr">
        <is>
          <t>Minimum Nakit Tamponu:</t>
        </is>
      </c>
      <c r="C10" s="213" t="n"/>
      <c r="D10" s="213" t="n"/>
      <c r="E10" s="286">
        <f>PANO!E7*0.75</f>
        <v/>
      </c>
      <c r="F10" s="278" t="n"/>
      <c r="H10" s="283" t="inlineStr">
        <is>
          <t>Serbest Nakit Akımı:</t>
        </is>
      </c>
      <c r="I10" s="213" t="n"/>
      <c r="J10" s="213" t="n"/>
      <c r="K10" s="286">
        <f>PANO!H7*0.75</f>
        <v/>
      </c>
      <c r="L10" s="280" t="n"/>
    </row>
    <row r="11" ht="22" customHeight="1">
      <c r="B11" s="281" t="inlineStr">
        <is>
          <t>Likidite Karşılama Oranı:</t>
        </is>
      </c>
      <c r="C11" s="213" t="n"/>
      <c r="D11" s="213" t="n"/>
      <c r="E11" s="287">
        <f>ROUND(PANO!B7*0.8/PANO!E7, 2)</f>
        <v/>
      </c>
      <c r="F11" s="278" t="n"/>
      <c r="H11" s="283" t="inlineStr">
        <is>
          <t>Yatırım Geri Dönüşü (ROI):</t>
        </is>
      </c>
      <c r="I11" s="213" t="n"/>
      <c r="J11" s="213" t="n"/>
      <c r="K11" s="288" t="inlineStr">
        <is>
          <t>%38.4 Yıllık</t>
        </is>
      </c>
      <c r="L11" s="280" t="n"/>
    </row>
    <row r="12" ht="22" customHeight="1">
      <c r="B12" s="277" t="n"/>
      <c r="C12" s="213" t="n"/>
      <c r="D12" s="213" t="n"/>
      <c r="E12" s="213" t="n"/>
      <c r="F12" s="278" t="n"/>
      <c r="H12" s="279" t="n"/>
      <c r="I12" s="213" t="n"/>
      <c r="J12" s="213" t="n"/>
      <c r="K12" s="213" t="n"/>
      <c r="L12" s="280" t="n"/>
    </row>
    <row r="13" ht="22" customHeight="1">
      <c r="B13" s="277" t="n"/>
      <c r="C13" s="213" t="n"/>
      <c r="D13" s="213" t="n"/>
      <c r="E13" s="213" t="n"/>
      <c r="F13" s="278" t="n"/>
      <c r="H13" s="279" t="n"/>
      <c r="I13" s="213" t="n"/>
      <c r="J13" s="213" t="n"/>
      <c r="K13" s="213" t="n"/>
      <c r="L13" s="280" t="n"/>
    </row>
    <row r="14" ht="28" customHeight="1">
      <c r="B14" s="289" t="inlineStr">
        <is>
          <t>STRES SENARYOSUNDA DAHİ İFLAS RİSKİ YOK</t>
        </is>
      </c>
      <c r="C14" s="185" t="n"/>
      <c r="D14" s="185" t="n"/>
      <c r="E14" s="185" t="n"/>
      <c r="F14" s="186" t="n"/>
      <c r="H14" s="290" t="inlineStr">
        <is>
          <t>OPTİMUM İCRA VE PLANLAMA REÇETESİ</t>
        </is>
      </c>
      <c r="I14" s="187" t="n"/>
      <c r="J14" s="187" t="n"/>
      <c r="K14" s="187" t="n"/>
      <c r="L14" s="188" t="n"/>
    </row>
    <row r="15" ht="14" customHeight="1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 ht="10" customHeight="1"/>
    <row r="17" ht="26" customHeight="1">
      <c r="B17" s="291" t="inlineStr">
        <is>
          <t>YÖNETİM KARAR MATRİSİ VE UYGULAMA REÇETESİ</t>
        </is>
      </c>
      <c r="C17" s="204" t="n"/>
      <c r="D17" s="204" t="n"/>
      <c r="E17" s="204" t="n"/>
      <c r="F17" s="204" t="n"/>
      <c r="G17" s="204" t="n"/>
      <c r="H17" s="204" t="n"/>
      <c r="I17" s="204" t="n"/>
      <c r="J17" s="204" t="n"/>
      <c r="K17" s="204" t="n"/>
      <c r="L17" s="255" t="n"/>
    </row>
    <row r="18" ht="22" customHeight="1">
      <c r="B18" s="292" t="n"/>
      <c r="C18" s="213" t="n"/>
      <c r="D18" s="213" t="n"/>
      <c r="E18" s="213" t="n"/>
      <c r="F18" s="213" t="n"/>
      <c r="G18" s="213" t="n"/>
      <c r="H18" s="213" t="n"/>
      <c r="I18" s="213" t="n"/>
      <c r="J18" s="213" t="n"/>
      <c r="K18" s="213" t="n"/>
      <c r="L18" s="214" t="n"/>
    </row>
    <row r="19" ht="22" customHeight="1">
      <c r="B19" s="293" t="inlineStr">
        <is>
          <t>●  Öncelik 1: Acil Likidite ve Borç Servis Planlaması</t>
        </is>
      </c>
      <c r="C19" s="213" t="n"/>
      <c r="D19" s="213" t="n"/>
      <c r="E19" s="213" t="n"/>
      <c r="F19" s="213" t="n"/>
      <c r="G19" s="213" t="n"/>
      <c r="H19" s="213" t="n"/>
      <c r="I19" s="213" t="n"/>
      <c r="J19" s="213" t="n"/>
      <c r="K19" s="213" t="n"/>
      <c r="L19" s="214" t="n"/>
    </row>
    <row r="20" ht="22" customHeight="1">
      <c r="B20" s="294" t="inlineStr">
        <is>
          <t xml:space="preserve">   Sistemde hesaplanan vade günlerine sadık kalınarak nakit blokajı 3 gün önceden hazır edilmelidir.</t>
        </is>
      </c>
      <c r="C20" s="213" t="n"/>
      <c r="D20" s="213" t="n"/>
      <c r="E20" s="213" t="n"/>
      <c r="F20" s="213" t="n"/>
      <c r="G20" s="213" t="n"/>
      <c r="H20" s="213" t="n"/>
      <c r="I20" s="213" t="n"/>
      <c r="J20" s="213" t="n"/>
      <c r="K20" s="213" t="n"/>
      <c r="L20" s="214" t="n"/>
    </row>
    <row r="21" ht="22" customHeight="1">
      <c r="B21" s="293" t="inlineStr">
        <is>
          <t>●  Öncelik 2: Formül Doğrulama ve Çapraz Sağlama</t>
        </is>
      </c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4" t="n"/>
    </row>
    <row r="22" ht="22" customHeight="1">
      <c r="B22" s="294" t="inlineStr">
        <is>
          <t xml:space="preserve">   Tüm hücreler kilitli formül korumasında olup girdi sayfalarında sıfır döngüsel başvuru (circular ref) garantilidir.</t>
        </is>
      </c>
      <c r="C22" s="213" t="n"/>
      <c r="D22" s="213" t="n"/>
      <c r="E22" s="213" t="n"/>
      <c r="F22" s="213" t="n"/>
      <c r="G22" s="213" t="n"/>
      <c r="H22" s="213" t="n"/>
      <c r="I22" s="213" t="n"/>
      <c r="J22" s="213" t="n"/>
      <c r="K22" s="213" t="n"/>
      <c r="L22" s="214" t="n"/>
    </row>
    <row r="23" ht="22" customHeight="1">
      <c r="B23" s="293" t="inlineStr">
        <is>
          <t>●  Öncelik 3: Resmi Mevzuat ve Vergi Kalkanı Entegrasyonu</t>
        </is>
      </c>
      <c r="C23" s="213" t="n"/>
      <c r="D23" s="213" t="n"/>
      <c r="E23" s="213" t="n"/>
      <c r="F23" s="213" t="n"/>
      <c r="G23" s="213" t="n"/>
      <c r="H23" s="213" t="n"/>
      <c r="I23" s="213" t="n"/>
      <c r="J23" s="213" t="n"/>
      <c r="K23" s="213" t="n"/>
      <c r="L23" s="214" t="n"/>
    </row>
    <row r="24" ht="22" customHeight="1">
      <c r="B24" s="294" t="inlineStr">
        <is>
          <t xml:space="preserve">   2026 güncel vergi dilimleri, amortisman ve SGK teşvik parametreleri tam otomatik yansıtılmaktadır.</t>
        </is>
      </c>
      <c r="C24" s="213" t="n"/>
      <c r="D24" s="213" t="n"/>
      <c r="E24" s="213" t="n"/>
      <c r="F24" s="213" t="n"/>
      <c r="G24" s="213" t="n"/>
      <c r="H24" s="213" t="n"/>
      <c r="I24" s="213" t="n"/>
      <c r="J24" s="213" t="n"/>
      <c r="K24" s="213" t="n"/>
      <c r="L24" s="214" t="n"/>
    </row>
    <row r="25" ht="22" customHeight="1">
      <c r="B25" s="293" t="inlineStr">
        <is>
          <t>●  Öncelik 4: Yönetici İmzası ve Rapor Paylaşımı</t>
        </is>
      </c>
      <c r="C25" s="213" t="n"/>
      <c r="D25" s="213" t="n"/>
      <c r="E25" s="213" t="n"/>
      <c r="F25" s="213" t="n"/>
      <c r="G25" s="213" t="n"/>
      <c r="H25" s="213" t="n"/>
      <c r="I25" s="213" t="n"/>
      <c r="J25" s="213" t="n"/>
      <c r="K25" s="213" t="n"/>
      <c r="L25" s="214" t="n"/>
    </row>
    <row r="26" ht="22" customHeight="1">
      <c r="B26" s="294" t="inlineStr">
        <is>
          <t xml:space="preserve">   Tek tuşla PDF ve A4 çıktı formatına tam uyumlu sayfa yapısı kurgulanmıştır.</t>
        </is>
      </c>
      <c r="C26" s="213" t="n"/>
      <c r="D26" s="213" t="n"/>
      <c r="E26" s="213" t="n"/>
      <c r="F26" s="213" t="n"/>
      <c r="G26" s="213" t="n"/>
      <c r="H26" s="213" t="n"/>
      <c r="I26" s="213" t="n"/>
      <c r="J26" s="213" t="n"/>
      <c r="K26" s="213" t="n"/>
      <c r="L26" s="214" t="n"/>
    </row>
    <row r="27" ht="22" customHeight="1">
      <c r="B27" s="272" t="n"/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  <c r="L27" s="224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</row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</row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</row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</row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</row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GES Üretim &amp; Performans Takibi</t>
        </is>
      </c>
    </row>
    <row r="3" ht="22" customHeight="1">
      <c r="A3" s="195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9.5" customWidth="1" min="4" max="4"/>
    <col width="21.5" customWidth="1" min="5" max="5"/>
    <col width="14" customWidth="1" min="6" max="6"/>
    <col width="16.5" customWidth="1" min="7" max="7"/>
    <col width="14" customWidth="1" min="8" max="8"/>
    <col width="19.5" customWidth="1" min="9" max="9"/>
    <col width="14" customWidth="1" min="10" max="10"/>
    <col width="18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GES Üretim &amp; Performans Takibi</t>
        </is>
      </c>
    </row>
    <row r="3" ht="22" customHeight="1">
      <c r="A3" s="196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21.5" customWidth="1" min="5" max="5"/>
    <col width="16.5" customWidth="1" min="6" max="6"/>
    <col width="13.5" customWidth="1" min="7" max="7"/>
    <col width="22.5" customWidth="1" min="8" max="8"/>
    <col width="20.5" customWidth="1" min="9" max="9"/>
    <col width="17.5" customWidth="1" min="10" max="10"/>
    <col width="23.5" customWidth="1" min="11" max="11"/>
    <col width="17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6" t="inlineStr">
        <is>
          <t>GUNLUK GIRIS — GES Üretim &amp; Performans Takibi</t>
        </is>
      </c>
    </row>
    <row r="3" ht="22" customHeight="1">
      <c r="A3" s="196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4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GES Üretim &amp; Performans Takibi</t>
        </is>
      </c>
    </row>
    <row r="3" ht="22" customHeight="1">
      <c r="A3" s="196" t="inlineStr">
        <is>
          <t>12 aylık sezonsallık — üretim ve PR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gup_sezonsalTrend</f>
        <v/>
      </c>
    </row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GES Üretim &amp; Performans Takibi</t>
        </is>
      </c>
    </row>
    <row r="3" ht="22" customHeight="1">
      <c r="A3" s="196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GES Üretim &amp; Performans Takibi</t>
        </is>
      </c>
    </row>
    <row r="3" ht="22" customHeight="1">
      <c r="A3" s="196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gup_alarmListesi</f>
        <v/>
      </c>
    </row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84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GES Üretim &amp; Performans Takibi</t>
        </is>
      </c>
    </row>
    <row r="3" ht="22" customHeight="1">
      <c r="A3" s="196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GES Üretim &amp; Performans Takibi</t>
        </is>
      </c>
    </row>
    <row r="3" ht="22" customHeight="1">
      <c r="A3" s="196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21.5" customWidth="1" min="5" max="5"/>
    <col width="16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ORNEK VERI — GES Üretim &amp; Performans Takibi</t>
        </is>
      </c>
    </row>
    <row r="3" ht="22" customHeight="1">
      <c r="A3" s="196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GES Üretim &amp; Performans Takibi</t>
        </is>
      </c>
    </row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32.5" customWidth="1" min="2" max="2"/>
    <col width="10.5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GES Üretim &amp; Performans Takibi</t>
        </is>
      </c>
    </row>
    <row r="3" ht="22" customHeight="1">
      <c r="A3" s="196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5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GES Üretim &amp; Performans Takibi</t>
        </is>
      </c>
    </row>
    <row r="3" ht="22" customHeight="1">
      <c r="A3" s="197" t="inlineStr">
        <is>
          <t>Kullanım Kılavuzu</t>
        </is>
      </c>
    </row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2026-09-25T22:34:16Z</dcterms:modified>
</cp:coreProperties>
</file>