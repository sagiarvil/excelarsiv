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worksheets/sheet20.xml" ContentType="application/vnd.openxmlformats-officedocument.spreadsheetml.worksheet+xml"/>
  <Override PartName="/xl/comments/comment4.xml" ContentType="application/vnd.openxmlformats-officedocument.spreadsheetml.comments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VARLIKLAR" sheetId="11" state="visible" r:id="rId11"/>
    <sheet xmlns:r="http://schemas.openxmlformats.org/officeDocument/2006/relationships" name="GUNLUK_GIRIS" sheetId="12" state="visible" r:id="rId12"/>
    <sheet xmlns:r="http://schemas.openxmlformats.org/officeDocument/2006/relationships" name="DONEM_ANALIZ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ALARMLAR" sheetId="15" state="visible" r:id="rId15"/>
    <sheet xmlns:r="http://schemas.openxmlformats.org/officeDocument/2006/relationships" name="RAPOR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raporTarihi">AYARLAR!$B$6</definedName>
    <definedName name="gup_varsayilanKapasite">AYARLAR!$B$7</definedName>
    <definedName name="gup_esikPr">AYARLAR!$B$8</definedName>
    <definedName name="gup_esikKayipKwh">AYARLAR!$B$9</definedName>
    <definedName name="gup_esikSaglik">AYARLAR!$B$10</definedName>
    <definedName name="gup_aylikCarpan">AYARLAR!$B$11</definedName>
    <definedName name="gup_senaryoTemkinli">AYARLAR!$B$12</definedName>
    <definedName name="gup_senaryoBaz">AYARLAR!$B$13</definedName>
    <definedName name="gup_senaryoIyimser">AYARLAR!$B$14</definedName>
    <definedName name="gup_tornadoOran">AYARLAR!$B$15</definedName>
    <definedName name="gup_yuzdelikOran">AYARLAR!$B$16</definedName>
    <definedName name="gup_percentileOran">AYARLAR!$B$17</definedName>
    <definedName name="gup_tahminCarpan">AYARLAR!$B$18</definedName>
    <definedName name="gup_olcekHedef">AYARLAR!$B$19</definedName>
    <definedName name="gup_kaliteTaban">AYARLAR!$B$20</definedName>
    <definedName name="gup_kaliteCeza">AYARLAR!$B$21</definedName>
    <definedName name="gup_kaliteSapma">AYARLAR!$B$22</definedName>
    <definedName name="gup_dosyaSurumu">AYARLAR!$B$23</definedName>
    <definedName name="gup_firmaUnvan">AYARLAR!$B$24</definedName>
    <definedName name="gup_alarmEsikMetin">AYARLAR!$B$25</definedName>
    <definedName name="gup_tarifeTlKwh">AYARLAR!$B$26</definedName>
    <definedName name="gup_prReferans">AYARLAR!$B$27</definedName>
    <definedName name="gup_isinimMin">AYARLAR!$B$28</definedName>
    <definedName name="gup_doluKayit">AYARLAR!$I$32</definedName>
    <definedName name="gup_toplamUretim">AYARLAR!$I$33</definedName>
    <definedName name="gup_toplamKayip">AYARLAR!$I$34</definedName>
    <definedName name="gup_prOrani">AYARLAR!$I$35</definedName>
    <definedName name="gup_teorikUretim">AYARLAR!$I$36</definedName>
    <definedName name="gup_kayipPay">AYARLAR!$I$37</definedName>
    <definedName name="gup_gunlukPrOrt">AYARLAR!$I$38</definedName>
    <definedName name="gup_aylikUretimTrend">AYARLAR!$I$39</definedName>
    <definedName name="gup_saglikSkor">AYARLAR!$I$40</definedName>
    <definedName name="gup_alarmAdet">AYARLAR!$I$41</definedName>
    <definedName name="gup_yetimAdet">AYARLAR!$I$42</definedName>
    <definedName name="gup_prSapma">AYARLAR!$I$43</definedName>
    <definedName name="gup_tornadoZirve">AYARLAR!$I$44</definedName>
    <definedName name="gup_senaryoKarsilastirma">AYARLAR!$I$45</definedName>
    <definedName name="gup_hhi">AYARLAR!$I$46</definedName>
    <definedName name="gup_kaliteSkor">AYARLAR!$I$47</definedName>
    <definedName name="gup_senaryoMotor">AYARLAR!$I$48</definedName>
    <definedName name="gup_tahminAralik">AYARLAR!$I$49</definedName>
    <definedName name="gup_yuzdelikP90">AYARLAR!$I$50</definedName>
    <definedName name="gup_kayipKirilim">AYARLAR!$I$51</definedName>
    <definedName name="gup_sezonsalTrend">AYARLAR!$I$52</definedName>
    <definedName name="gup_alarmListesi">AYARLAR!$I$53</definedName>
    <definedName name="gup_kararKapi">AYARLAR!$I$54</definedName>
    <definedName name="gup_kararGerekce">AYARLAR!$I$55</definedName>
    <definedName name="gup_sonrakiKimlik">AYARLAR!$I$56</definedName>
    <definedName name="gup_yorumGunluk">AYARLAR!$I$59</definedName>
    <definedName name="gup_yorumAylik">AYARLAR!$I$60</definedName>
    <definedName name="gup_yorumSapma">AYARLAR!$I$61</definedName>
    <definedName name="gup_yorumTornado">AYARLAR!$I$62</definedName>
    <definedName name="gup_yorumSenaryo">AYARLAR!$I$63</definedName>
    <definedName name="gup_yorumHhi">AYARLAR!$I$64</definedName>
    <definedName name="gup_yorumKalite">AYARLAR!$I$65</definedName>
    <definedName name="gup_yorumSenMotor">AYARLAR!$I$66</definedName>
    <definedName name="gup_yorumTahmin">AYARLAR!$I$67</definedName>
    <definedName name="gup_yorumP90">AYARLAR!$I$68</definedName>
    <definedName name="ListeEvetHayir">LISTELER!$A$7:$A$8</definedName>
    <definedName name="ListeKayipTuru">LISTELER!$C$7:$C$12</definedName>
    <definedName name="ListeSantralTipi">LISTELER!$E$7:$E$8</definedName>
    <definedName name="_xlnm.Print_Area" localSheetId="15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0.0%;[Red](0.0%);-"/>
    <numFmt numFmtId="166" formatCode="dd.mm.yyyy"/>
    <numFmt numFmtId="167" formatCode="₺ #,##0;[Red](₺ #,##0);-"/>
    <numFmt numFmtId="168" formatCode="#,##0 &quot;TL&quot;"/>
    <numFmt numFmtId="169" formatCode="0.0%"/>
    <numFmt numFmtId="170" formatCode="₺#,##0"/>
    <numFmt numFmtId="171" formatCode="0.00&quot;x&quot;"/>
  </numFmts>
  <fonts count="8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6" fontId="8" fillId="5" borderId="0" applyAlignment="1" applyProtection="1" pivotButton="0" quotePrefix="0" xfId="0">
      <alignment horizontal="left" vertical="center"/>
      <protection locked="0" hidden="0"/>
    </xf>
    <xf numFmtId="2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2" fontId="6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6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8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7" borderId="0" applyAlignment="1" pivotButton="0" quotePrefix="0" xfId="0">
      <alignment horizontal="center" vertical="center"/>
    </xf>
    <xf numFmtId="0" fontId="27" fillId="0" borderId="0" pivotButton="0" quotePrefix="0" xfId="0"/>
    <xf numFmtId="168" fontId="27" fillId="0" borderId="0" pivotButton="0" quotePrefix="0" xfId="0"/>
    <xf numFmtId="168" fontId="28" fillId="0" borderId="0" pivotButton="0" quotePrefix="0" xfId="0"/>
    <xf numFmtId="169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/>
    </xf>
    <xf numFmtId="0" fontId="28" fillId="0" borderId="0" pivotButton="0" quotePrefix="0" xfId="0"/>
    <xf numFmtId="0" fontId="32" fillId="9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6" fontId="8" fillId="5" borderId="0" applyAlignment="1" applyProtection="1" pivotButton="0" quotePrefix="0" xfId="0">
      <alignment horizontal="left" vertical="center"/>
      <protection locked="0" hidden="0"/>
    </xf>
    <xf numFmtId="166" fontId="6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35" fillId="0" borderId="0" pivotButton="0" quotePrefix="0" xfId="0"/>
    <xf numFmtId="0" fontId="36" fillId="0" borderId="2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3" pivotButton="0" quotePrefix="0" xfId="0"/>
    <xf numFmtId="0" fontId="0" fillId="0" borderId="2" pivotButton="0" quotePrefix="0" xfId="0"/>
    <xf numFmtId="0" fontId="37" fillId="11" borderId="2" applyAlignment="1" pivotButton="0" quotePrefix="0" xfId="0">
      <alignment horizontal="center"/>
    </xf>
    <xf numFmtId="0" fontId="23" fillId="0" borderId="4" pivotButton="0" quotePrefix="0" xfId="0"/>
    <xf numFmtId="0" fontId="39" fillId="12" borderId="2" applyAlignment="1" pivotButton="0" quotePrefix="0" xfId="0">
      <alignment horizontal="center"/>
    </xf>
    <xf numFmtId="0" fontId="38" fillId="13" borderId="2" applyAlignment="1" pivotButton="0" quotePrefix="0" xfId="0">
      <alignment horizontal="center"/>
    </xf>
    <xf numFmtId="0" fontId="2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9" fillId="0" borderId="3" pivotButton="0" quotePrefix="0" xfId="0"/>
    <xf numFmtId="0" fontId="40" fillId="0" borderId="4" pivotButton="0" quotePrefix="0" xfId="0"/>
    <xf numFmtId="0" fontId="41" fillId="0" borderId="5" pivotButton="0" quotePrefix="0" xfId="0"/>
    <xf numFmtId="0" fontId="38" fillId="0" borderId="3" pivotButton="0" quotePrefix="0" xfId="0"/>
    <xf numFmtId="0" fontId="33" fillId="0" borderId="4" pivotButton="0" quotePrefix="0" xfId="0"/>
    <xf numFmtId="0" fontId="38" fillId="0" borderId="5" pivotButton="0" quotePrefix="0" xfId="0"/>
    <xf numFmtId="0" fontId="42" fillId="14" borderId="0" applyAlignment="1" pivotButton="0" quotePrefix="0" xfId="0">
      <alignment horizontal="center"/>
    </xf>
    <xf numFmtId="0" fontId="43" fillId="0" borderId="0" pivotButton="0" quotePrefix="0" xfId="0"/>
    <xf numFmtId="0" fontId="42" fillId="15" borderId="0" applyAlignment="1" pivotButton="0" quotePrefix="0" xfId="0">
      <alignment horizontal="center" vertical="center"/>
    </xf>
    <xf numFmtId="0" fontId="43" fillId="0" borderId="2" pivotButton="0" quotePrefix="0" xfId="0"/>
    <xf numFmtId="0" fontId="44" fillId="0" borderId="2" pivotButton="0" quotePrefix="0" xfId="0"/>
    <xf numFmtId="0" fontId="45" fillId="0" borderId="2" pivotButton="0" quotePrefix="0" xfId="0"/>
    <xf numFmtId="0" fontId="46" fillId="16" borderId="2" applyAlignment="1" pivotButton="0" quotePrefix="0" xfId="0">
      <alignment horizontal="center"/>
    </xf>
    <xf numFmtId="0" fontId="42" fillId="7" borderId="0" pivotButton="0" quotePrefix="0" xfId="0"/>
    <xf numFmtId="0" fontId="47" fillId="7" borderId="0" pivotButton="0" quotePrefix="0" xfId="0"/>
    <xf numFmtId="0" fontId="48" fillId="7" borderId="0" pivotButton="0" quotePrefix="0" xfId="0"/>
    <xf numFmtId="0" fontId="0" fillId="7" borderId="0" pivotButton="0" quotePrefix="0" xfId="0"/>
    <xf numFmtId="0" fontId="20" fillId="7" borderId="0" applyAlignment="1" pivotButton="0" quotePrefix="0" xfId="0">
      <alignment horizontal="center"/>
    </xf>
    <xf numFmtId="0" fontId="36" fillId="0" borderId="0" pivotButton="0" quotePrefix="0" xfId="0"/>
    <xf numFmtId="0" fontId="51" fillId="17" borderId="0" pivotButton="0" quotePrefix="0" xfId="0"/>
    <xf numFmtId="0" fontId="0" fillId="17" borderId="0" pivotButton="0" quotePrefix="0" xfId="0"/>
    <xf numFmtId="0" fontId="38" fillId="0" borderId="0" pivotButton="0" quotePrefix="0" xfId="0"/>
    <xf numFmtId="0" fontId="26" fillId="17" borderId="0" pivotButton="0" quotePrefix="0" xfId="0"/>
    <xf numFmtId="0" fontId="52" fillId="17" borderId="0" applyAlignment="1" pivotButton="0" quotePrefix="0" xfId="0">
      <alignment wrapText="1"/>
    </xf>
    <xf numFmtId="0" fontId="49" fillId="0" borderId="0" pivotButton="0" quotePrefix="0" xfId="0"/>
    <xf numFmtId="0" fontId="50" fillId="0" borderId="0" pivotButton="0" quotePrefix="0" xfId="0"/>
    <xf numFmtId="0" fontId="38" fillId="13" borderId="6" applyAlignment="1" pivotButton="0" quotePrefix="0" xfId="0">
      <alignment horizontal="center" vertical="center"/>
    </xf>
    <xf numFmtId="0" fontId="53" fillId="18" borderId="0" applyAlignment="1" pivotButton="0" quotePrefix="0" xfId="0">
      <alignment horizontal="center" vertical="center"/>
    </xf>
    <xf numFmtId="0" fontId="17" fillId="19" borderId="2" applyAlignment="1" pivotButton="0" quotePrefix="0" xfId="0">
      <alignment vertical="center"/>
    </xf>
    <xf numFmtId="0" fontId="37" fillId="11" borderId="0" applyAlignment="1" pivotButton="0" quotePrefix="0" xfId="0">
      <alignment horizontal="center" vertical="center"/>
    </xf>
    <xf numFmtId="0" fontId="38" fillId="13" borderId="0" applyAlignment="1" pivotButton="0" quotePrefix="0" xfId="0">
      <alignment horizontal="center" vertical="center"/>
    </xf>
    <xf numFmtId="0" fontId="54" fillId="7" borderId="0" applyAlignment="1" pivotButton="0" quotePrefix="0" xfId="0">
      <alignment horizontal="center" vertical="center"/>
    </xf>
    <xf numFmtId="0" fontId="55" fillId="19" borderId="2" applyAlignment="1" pivotButton="0" quotePrefix="0" xfId="0">
      <alignment horizontal="center"/>
    </xf>
    <xf numFmtId="0" fontId="56" fillId="19" borderId="2" applyAlignment="1" pivotButton="0" quotePrefix="0" xfId="0">
      <alignment horizontal="center"/>
    </xf>
    <xf numFmtId="0" fontId="55" fillId="19" borderId="2" pivotButton="0" quotePrefix="0" xfId="0"/>
    <xf numFmtId="170" fontId="56" fillId="19" borderId="2" applyAlignment="1" pivotButton="0" quotePrefix="0" xfId="0">
      <alignment horizontal="right"/>
    </xf>
    <xf numFmtId="9" fontId="55" fillId="19" borderId="2" applyAlignment="1" pivotButton="0" quotePrefix="0" xfId="0">
      <alignment horizontal="center"/>
    </xf>
    <xf numFmtId="170" fontId="55" fillId="19" borderId="2" applyAlignment="1" pivotButton="0" quotePrefix="0" xfId="0">
      <alignment horizontal="right"/>
    </xf>
    <xf numFmtId="0" fontId="38" fillId="19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6" fillId="18" borderId="2" applyAlignment="1" pivotButton="0" quotePrefix="0" xfId="0">
      <alignment horizontal="center"/>
    </xf>
    <xf numFmtId="0" fontId="55" fillId="18" borderId="2" pivotButton="0" quotePrefix="0" xfId="0"/>
    <xf numFmtId="170" fontId="56" fillId="18" borderId="2" applyAlignment="1" pivotButton="0" quotePrefix="0" xfId="0">
      <alignment horizontal="right"/>
    </xf>
    <xf numFmtId="9" fontId="55" fillId="18" borderId="2" applyAlignment="1" pivotButton="0" quotePrefix="0" xfId="0">
      <alignment horizontal="center"/>
    </xf>
    <xf numFmtId="170" fontId="55" fillId="18" borderId="2" applyAlignment="1" pivotButton="0" quotePrefix="0" xfId="0">
      <alignment horizontal="right"/>
    </xf>
    <xf numFmtId="0" fontId="43" fillId="18" borderId="2" applyAlignment="1" pivotButton="0" quotePrefix="0" xfId="0">
      <alignment horizontal="center"/>
    </xf>
    <xf numFmtId="0" fontId="38" fillId="18" borderId="2" applyAlignment="1" pivotButton="0" quotePrefix="0" xfId="0">
      <alignment horizontal="center"/>
    </xf>
    <xf numFmtId="0" fontId="39" fillId="18" borderId="2" applyAlignment="1" pivotButton="0" quotePrefix="0" xfId="0">
      <alignment horizontal="center"/>
    </xf>
    <xf numFmtId="0" fontId="26" fillId="7" borderId="0" applyAlignment="1" pivotButton="0" quotePrefix="0" xfId="0">
      <alignment vertical="center" indent="1"/>
    </xf>
    <xf numFmtId="170" fontId="57" fillId="7" borderId="0" applyAlignment="1" pivotButton="0" quotePrefix="0" xfId="0">
      <alignment horizontal="right" vertical="center"/>
    </xf>
    <xf numFmtId="0" fontId="58" fillId="0" borderId="7" pivotButton="0" quotePrefix="0" xfId="0"/>
    <xf numFmtId="0" fontId="59" fillId="0" borderId="7" pivotButton="0" quotePrefix="0" xfId="0"/>
    <xf numFmtId="0" fontId="60" fillId="0" borderId="7" pivotButton="0" quotePrefix="0" xfId="0"/>
    <xf numFmtId="0" fontId="61" fillId="20" borderId="2" applyAlignment="1" pivotButton="0" quotePrefix="0" xfId="0">
      <alignment horizontal="center" vertical="center"/>
    </xf>
    <xf numFmtId="0" fontId="65" fillId="11" borderId="2" applyAlignment="1" pivotButton="0" quotePrefix="0" xfId="0">
      <alignment horizontal="center" vertical="center"/>
    </xf>
    <xf numFmtId="0" fontId="62" fillId="0" borderId="2" pivotButton="0" quotePrefix="0" xfId="0"/>
    <xf numFmtId="0" fontId="61" fillId="0" borderId="2" applyAlignment="1" pivotButton="0" quotePrefix="0" xfId="0">
      <alignment horizontal="right"/>
    </xf>
    <xf numFmtId="0" fontId="65" fillId="0" borderId="2" applyAlignment="1" pivotButton="0" quotePrefix="0" xfId="0">
      <alignment horizontal="right"/>
    </xf>
    <xf numFmtId="0" fontId="36" fillId="0" borderId="2" applyAlignment="1" pivotButton="0" quotePrefix="0" xfId="0">
      <alignment horizontal="right"/>
    </xf>
    <xf numFmtId="0" fontId="63" fillId="0" borderId="2" applyAlignment="1" pivotButton="0" quotePrefix="0" xfId="0">
      <alignment horizontal="right"/>
    </xf>
    <xf numFmtId="0" fontId="64" fillId="12" borderId="8" applyAlignment="1" pivotButton="0" quotePrefix="0" xfId="0">
      <alignment horizontal="center" vertical="center"/>
    </xf>
    <xf numFmtId="0" fontId="66" fillId="11" borderId="9" applyAlignment="1" pivotButton="0" quotePrefix="0" xfId="0">
      <alignment horizontal="center" vertical="center"/>
    </xf>
    <xf numFmtId="0" fontId="62" fillId="0" borderId="0" pivotButton="0" quotePrefix="0" xfId="0"/>
    <xf numFmtId="0" fontId="67" fillId="21" borderId="0" applyAlignment="1" pivotButton="0" quotePrefix="0" xfId="0">
      <alignment horizontal="left" vertical="center" wrapText="1"/>
    </xf>
    <xf numFmtId="0" fontId="68" fillId="22" borderId="0" applyAlignment="1" pivotButton="0" quotePrefix="0" xfId="0">
      <alignment vertical="center" wrapText="1"/>
    </xf>
    <xf numFmtId="0" fontId="69" fillId="23" borderId="0" applyAlignment="1" pivotButton="0" quotePrefix="0" xfId="0">
      <alignment vertical="top" wrapText="1"/>
    </xf>
    <xf numFmtId="0" fontId="70" fillId="0" borderId="0" applyAlignment="1" pivotButton="0" quotePrefix="0" xfId="0">
      <alignment vertical="top" wrapText="1"/>
    </xf>
    <xf numFmtId="0" fontId="71" fillId="21" borderId="0" applyAlignment="1" pivotButton="0" quotePrefix="0" xfId="0">
      <alignment horizontal="left" vertical="center" wrapText="1"/>
    </xf>
    <xf numFmtId="0" fontId="67" fillId="24" borderId="0" applyAlignment="1" pivotButton="0" quotePrefix="0" xfId="0">
      <alignment horizontal="left" vertical="center" wrapText="1"/>
    </xf>
    <xf numFmtId="0" fontId="68" fillId="24" borderId="0" applyAlignment="1" pivotButton="0" quotePrefix="0" xfId="0">
      <alignment vertical="center" wrapText="1"/>
    </xf>
    <xf numFmtId="0" fontId="72" fillId="25" borderId="0" applyAlignment="1" pivotButton="0" quotePrefix="0" xfId="0">
      <alignment vertical="top" wrapText="1"/>
    </xf>
    <xf numFmtId="0" fontId="67" fillId="26" borderId="0" applyAlignment="1" pivotButton="0" quotePrefix="0" xfId="0">
      <alignment horizontal="left" vertical="center" wrapText="1"/>
    </xf>
    <xf numFmtId="0" fontId="68" fillId="26" borderId="0" applyAlignment="1" pivotButton="0" quotePrefix="0" xfId="0">
      <alignment vertical="center" wrapText="1"/>
    </xf>
    <xf numFmtId="0" fontId="73" fillId="27" borderId="0" applyAlignment="1" pivotButton="0" quotePrefix="0" xfId="0">
      <alignment vertical="top" wrapText="1"/>
    </xf>
    <xf numFmtId="0" fontId="74" fillId="25" borderId="0" applyAlignment="1" pivotButton="0" quotePrefix="0" xfId="0">
      <alignment vertical="top" wrapText="1"/>
    </xf>
    <xf numFmtId="0" fontId="75" fillId="0" borderId="0" applyAlignment="1" pivotButton="0" quotePrefix="0" xfId="0">
      <alignment vertical="top" wrapText="1"/>
    </xf>
    <xf numFmtId="0" fontId="67" fillId="28" borderId="0" applyAlignment="1" pivotButton="0" quotePrefix="0" xfId="0">
      <alignment horizontal="left" vertical="center"/>
    </xf>
    <xf numFmtId="0" fontId="68" fillId="28" borderId="0" applyAlignment="1" pivotButton="0" quotePrefix="0" xfId="0">
      <alignment vertical="center" wrapText="1"/>
    </xf>
    <xf numFmtId="0" fontId="76" fillId="29" borderId="0" applyAlignment="1" pivotButton="0" quotePrefix="0" xfId="0">
      <alignment vertical="top" wrapText="1"/>
    </xf>
    <xf numFmtId="0" fontId="77" fillId="30" borderId="0" applyAlignment="1" pivotButton="0" quotePrefix="0" xfId="0">
      <alignment vertical="top" wrapText="1"/>
    </xf>
    <xf numFmtId="0" fontId="67" fillId="31" borderId="0" applyAlignment="1" pivotButton="0" quotePrefix="0" xfId="0">
      <alignment horizontal="left" vertical="center"/>
    </xf>
    <xf numFmtId="0" fontId="68" fillId="31" borderId="0" applyAlignment="1" pivotButton="0" quotePrefix="0" xfId="0">
      <alignment vertical="center" wrapText="1"/>
    </xf>
    <xf numFmtId="0" fontId="78" fillId="30" borderId="0" applyAlignment="1" pivotButton="0" quotePrefix="0" xfId="0">
      <alignment vertical="top" wrapText="1"/>
    </xf>
    <xf numFmtId="0" fontId="67" fillId="32" borderId="0" applyAlignment="1" pivotButton="0" quotePrefix="0" xfId="0">
      <alignment horizontal="left" vertical="center"/>
    </xf>
    <xf numFmtId="0" fontId="68" fillId="32" borderId="0" applyAlignment="1" pivotButton="0" quotePrefix="0" xfId="0">
      <alignment vertical="center" wrapText="1"/>
    </xf>
    <xf numFmtId="0" fontId="79" fillId="33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170" fontId="19" fillId="0" borderId="3" pivotButton="0" quotePrefix="0" xfId="0"/>
    <xf numFmtId="170" fontId="40" fillId="0" borderId="4" pivotButton="0" quotePrefix="0" xfId="0"/>
    <xf numFmtId="170" fontId="43" fillId="0" borderId="2" pivotButton="0" quotePrefix="0" xfId="0"/>
    <xf numFmtId="170" fontId="44" fillId="0" borderId="2" pivotButton="0" quotePrefix="0" xfId="0"/>
    <xf numFmtId="170" fontId="47" fillId="7" borderId="0" pivotButton="0" quotePrefix="0" xfId="0"/>
    <xf numFmtId="170" fontId="48" fillId="7" borderId="0" pivotButton="0" quotePrefix="0" xfId="0"/>
    <xf numFmtId="170" fontId="66" fillId="9" borderId="2" applyAlignment="1" pivotButton="0" quotePrefix="0" xfId="0">
      <alignment horizontal="right"/>
    </xf>
    <xf numFmtId="170" fontId="36" fillId="0" borderId="2" applyAlignment="1" pivotButton="0" quotePrefix="0" xfId="0">
      <alignment horizontal="right"/>
    </xf>
    <xf numFmtId="170" fontId="63" fillId="0" borderId="2" applyAlignment="1" pivotButton="0" quotePrefix="0" xfId="0">
      <alignment horizontal="right"/>
    </xf>
    <xf numFmtId="171" fontId="63" fillId="0" borderId="2" applyAlignment="1" pivotButton="0" quotePrefix="0" xfId="0">
      <alignment horizontal="right"/>
    </xf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Üretim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'DONEM_ANALIZ'!$C$6:$C$17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PR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'DONEM_ANALIZ'!$E$6:$E$17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GES-00009 | Risk: Elle çakışma</t>
      </text>
    </comment>
    <comment ref="A6" authorId="0" shapeId="0">
      <text>
        <t>Tanım: Varlık Kimliği | Neden önemli: GES PR ve kayıp analizini etkiler | Doğru kullanım: GES-##### formatında | Örnek: hücredeki örnek değere bakın | Risk: Yanlış giriş hatalı karar üretir</t>
      </text>
    </comment>
    <comment ref="B6" authorId="0" shapeId="0">
      <text>
        <t>Tanım: Santral Adı | Neden önemli: GES PR ve kayıp analizini etkiler | Doğru kullanım: Santral / saha adı | Örnek: hücredeki örnek değere bakın | Risk: Yanlış giriş hatalı karar üretir</t>
      </text>
    </comment>
    <comment ref="C6" authorId="0" shapeId="0">
      <text>
        <t>Tanım: Tip | Neden önemli: GES PR ve kayıp analizini etkiler | Doğru kullanım: Cati veya Saha | Örnek: hücredeki örnek değere bakın | Risk: Yanlış giriş hatalı karar üretir</t>
      </text>
    </comment>
    <comment ref="D6" authorId="0" shapeId="0">
      <text>
        <t>Tanım: Kapasite [kWp] | Neden önemli: GES PR ve kayıp analizini etkiler | Doğru kullanım: STC kapasite kWp | Örnek: hücredeki örnek değere bakın | Risk: Yanlış giriş hatalı karar üretir</t>
      </text>
    </comment>
    <comment ref="E6" authorId="0" shapeId="0">
      <text>
        <t>Tanım: İnverter Adet | Neden önemli: GES PR ve kayıp analizini etkiler | Doğru kullanım: İnverter sayısı | Örnek: hücredeki örnek değere bakın | Risk: Yanlış giriş hatalı karar üretir</t>
      </text>
    </comment>
    <comment ref="F6" authorId="0" shapeId="0">
      <text>
        <t>Tanım: Konum | Neden önemli: GES PR ve kayıp analizini etkiler | Doğru kullanım: İl / saha konumu | Örnek: hücredeki örnek değere bakın | Risk: Yanlış giriş hatalı karar üretir</t>
      </text>
    </comment>
    <comment ref="G6" authorId="0" shapeId="0">
      <text>
        <t>Tanım: Hedef PR | Neden önemli: GES PR ve kayıp analizini etkiler | Doğru kullanım: Hedef performans oranı | Örnek: hücredeki örnek değere bakın | Risk: Yanlış giriş hatalı karar üretir</t>
      </text>
    </comment>
    <comment ref="H6" authorId="0" shapeId="0">
      <text>
        <t>Tanım: Aktif | Neden önemli: GES PR ve kayıp analizini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GES PR ve kayıp analizini etkiler | Doğru kullanım: GES-##### formatında | Örnek: hücredeki örnek değere bakın | Risk: Yanlış giriş hatalı karar üretir</t>
      </text>
    </comment>
    <comment ref="B7" authorId="0" shapeId="0">
      <text>
        <t>Tanım: Santral Adı | Neden önemli: GES PR ve kayıp analizini etkiler | Doğru kullanım: Santral / saha adı | Örnek: hücredeki örnek değere bakın | Risk: Yanlış giriş hatalı karar üretir</t>
      </text>
    </comment>
    <comment ref="C7" authorId="0" shapeId="0">
      <text>
        <t>Tanım: Tip | Neden önemli: GES PR ve kayıp analizini etkiler | Doğru kullanım: Cati veya Saha | Örnek: hücredeki örnek değere bakın | Risk: Yanlış giriş hatalı karar üretir</t>
      </text>
    </comment>
    <comment ref="D7" authorId="0" shapeId="0">
      <text>
        <t>Tanım: Kapasite [kWp] | Neden önemli: GES PR ve kayıp analizini etkiler | Doğru kullanım: STC kapasite kWp | Örnek: hücredeki örnek değere bakın | Risk: Yanlış giriş hatalı karar üretir</t>
      </text>
    </comment>
    <comment ref="E7" authorId="0" shapeId="0">
      <text>
        <t>Tanım: İnverter Adet | Neden önemli: GES PR ve kayıp analizini etkiler | Doğru kullanım: İnverter sayısı | Örnek: hücredeki örnek değere bakın | Risk: Yanlış giriş hatalı karar üretir</t>
      </text>
    </comment>
    <comment ref="F7" authorId="0" shapeId="0">
      <text>
        <t>Tanım: Konum | Neden önemli: GES PR ve kayıp analizini etkiler | Doğru kullanım: İl / saha konumu | Örnek: hücredeki örnek değere bakın | Risk: Yanlış giriş hatalı karar üretir</t>
      </text>
    </comment>
    <comment ref="G7" authorId="0" shapeId="0">
      <text>
        <t>Tanım: Hedef PR | Neden önemli: GES PR ve kayıp analizini etkiler | Doğru kullanım: Hedef performans oranı | Örnek: hücredeki örnek değere bakın | Risk: Yanlış giriş hatalı karar üretir</t>
      </text>
    </comment>
    <comment ref="H7" authorId="0" shapeId="0">
      <text>
        <t>Tanım: Aktif | Neden önemli: GES PR ve kayıp analizini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GES PR ve kayıp analizini etkiler | Doğru kullanım: GES-##### formatında | Örnek: hücredeki örnek değere bakın | Risk: Yanlış giriş hatalı karar üretir</t>
      </text>
    </comment>
    <comment ref="B8" authorId="0" shapeId="0">
      <text>
        <t>Tanım: Santral Adı | Neden önemli: GES PR ve kayıp analizini etkiler | Doğru kullanım: Santral / saha adı | Örnek: hücredeki örnek değere bakın | Risk: Yanlış giriş hatalı karar üretir</t>
      </text>
    </comment>
    <comment ref="C8" authorId="0" shapeId="0">
      <text>
        <t>Tanım: Tip | Neden önemli: GES PR ve kayıp analizini etkiler | Doğru kullanım: Cati veya Saha | Örnek: hücredeki örnek değere bakın | Risk: Yanlış giriş hatalı karar üretir</t>
      </text>
    </comment>
    <comment ref="D8" authorId="0" shapeId="0">
      <text>
        <t>Tanım: Kapasite [kWp] | Neden önemli: GES PR ve kayıp analizini etkiler | Doğru kullanım: STC kapasite kWp | Örnek: hücredeki örnek değere bakın | Risk: Yanlış giriş hatalı karar üretir</t>
      </text>
    </comment>
    <comment ref="E8" authorId="0" shapeId="0">
      <text>
        <t>Tanım: İnverter Adet | Neden önemli: GES PR ve kayıp analizini etkiler | Doğru kullanım: İnverter sayısı | Örnek: hücredeki örnek değere bakın | Risk: Yanlış giriş hatalı karar üretir</t>
      </text>
    </comment>
    <comment ref="F8" authorId="0" shapeId="0">
      <text>
        <t>Tanım: Konum | Neden önemli: GES PR ve kayıp analizini etkiler | Doğru kullanım: İl / saha konumu | Örnek: hücredeki örnek değere bakın | Risk: Yanlış giriş hatalı karar üretir</t>
      </text>
    </comment>
    <comment ref="G8" authorId="0" shapeId="0">
      <text>
        <t>Tanım: Hedef PR | Neden önemli: GES PR ve kayıp analizini etkiler | Doğru kullanım: Hedef performans oranı | Örnek: hücredeki örnek değere bakın | Risk: Yanlış giriş hatalı karar üretir</t>
      </text>
    </comment>
    <comment ref="H8" authorId="0" shapeId="0">
      <text>
        <t>Tanım: Aktif | Neden önemli: GES PR ve kayıp analizini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GES PR ve kayıp analizini etkiler | Doğru kullanım: GES-##### formatında | Örnek: hücredeki örnek değere bakın | Risk: Yanlış giriş hatalı karar üretir</t>
      </text>
    </comment>
    <comment ref="B9" authorId="0" shapeId="0">
      <text>
        <t>Tanım: Santral Adı | Neden önemli: GES PR ve kayıp analizini etkiler | Doğru kullanım: Santral / saha adı | Örnek: hücredeki örnek değere bakın | Risk: Yanlış giriş hatalı karar üretir</t>
      </text>
    </comment>
    <comment ref="C9" authorId="0" shapeId="0">
      <text>
        <t>Tanım: Tip | Neden önemli: GES PR ve kayıp analizini etkiler | Doğru kullanım: Cati veya Saha | Örnek: hücredeki örnek değere bakın | Risk: Yanlış giriş hatalı karar üretir</t>
      </text>
    </comment>
    <comment ref="D9" authorId="0" shapeId="0">
      <text>
        <t>Tanım: Kapasite [kWp] | Neden önemli: GES PR ve kayıp analizini etkiler | Doğru kullanım: STC kapasite kWp | Örnek: hücredeki örnek değere bakın | Risk: Yanlış giriş hatalı karar üretir</t>
      </text>
    </comment>
    <comment ref="E9" authorId="0" shapeId="0">
      <text>
        <t>Tanım: İnverter Adet | Neden önemli: GES PR ve kayıp analizini etkiler | Doğru kullanım: İnverter sayısı | Örnek: hücredeki örnek değere bakın | Risk: Yanlış giriş hatalı karar üretir</t>
      </text>
    </comment>
    <comment ref="F9" authorId="0" shapeId="0">
      <text>
        <t>Tanım: Konum | Neden önemli: GES PR ve kayıp analizini etkiler | Doğru kullanım: İl / saha konumu | Örnek: hücredeki örnek değere bakın | Risk: Yanlış giriş hatalı karar üretir</t>
      </text>
    </comment>
    <comment ref="G9" authorId="0" shapeId="0">
      <text>
        <t>Tanım: Hedef PR | Neden önemli: GES PR ve kayıp analizini etkiler | Doğru kullanım: Hedef performans oranı | Örnek: hücredeki örnek değere bakın | Risk: Yanlış giriş hatalı karar üretir</t>
      </text>
    </comment>
    <comment ref="H9" authorId="0" shapeId="0">
      <text>
        <t>Tanım: Aktif | Neden önemli: GES PR ve kayıp analizini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GES PR ve kayıp analizini etkiler | Doğru kullanım: GES-##### formatında | Örnek: hücredeki örnek değere bakın | Risk: Yanlış giriş hatalı karar üretir</t>
      </text>
    </comment>
    <comment ref="B10" authorId="0" shapeId="0">
      <text>
        <t>Tanım: Santral Adı | Neden önemli: GES PR ve kayıp analizini etkiler | Doğru kullanım: Santral / saha adı | Örnek: hücredeki örnek değere bakın | Risk: Yanlış giriş hatalı karar üretir</t>
      </text>
    </comment>
    <comment ref="C10" authorId="0" shapeId="0">
      <text>
        <t>Tanım: Tip | Neden önemli: GES PR ve kayıp analizini etkiler | Doğru kullanım: Cati veya Saha | Örnek: hücredeki örnek değere bakın | Risk: Yanlış giriş hatalı karar üretir</t>
      </text>
    </comment>
    <comment ref="D10" authorId="0" shapeId="0">
      <text>
        <t>Tanım: Kapasite [kWp] | Neden önemli: GES PR ve kayıp analizini etkiler | Doğru kullanım: STC kapasite kWp | Örnek: hücredeki örnek değere bakın | Risk: Yanlış giriş hatalı karar üretir</t>
      </text>
    </comment>
    <comment ref="E10" authorId="0" shapeId="0">
      <text>
        <t>Tanım: İnverter Adet | Neden önemli: GES PR ve kayıp analizini etkiler | Doğru kullanım: İnverter sayısı | Örnek: hücredeki örnek değere bakın | Risk: Yanlış giriş hatalı karar üretir</t>
      </text>
    </comment>
    <comment ref="F10" authorId="0" shapeId="0">
      <text>
        <t>Tanım: Konum | Neden önemli: GES PR ve kayıp analizini etkiler | Doğru kullanım: İl / saha konumu | Örnek: hücredeki örnek değere bakın | Risk: Yanlış giriş hatalı karar üretir</t>
      </text>
    </comment>
    <comment ref="G10" authorId="0" shapeId="0">
      <text>
        <t>Tanım: Hedef PR | Neden önemli: GES PR ve kayıp analizini etkiler | Doğru kullanım: Hedef performans oranı | Örnek: hücredeki örnek değere bakın | Risk: Yanlış giriş hatalı karar üretir</t>
      </text>
    </comment>
    <comment ref="H10" authorId="0" shapeId="0">
      <text>
        <t>Tanım: Aktif | Neden önemli: GES PR ve kayıp analizini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GES PR ve kayıp analizini etkiler | Doğru kullanım: GES-##### formatında | Örnek: hücredeki örnek değere bakın | Risk: Yanlış giriş hatalı karar üretir</t>
      </text>
    </comment>
    <comment ref="B11" authorId="0" shapeId="0">
      <text>
        <t>Tanım: Santral Adı | Neden önemli: GES PR ve kayıp analizini etkiler | Doğru kullanım: Santral / saha adı | Örnek: hücredeki örnek değere bakın | Risk: Yanlış giriş hatalı karar üretir</t>
      </text>
    </comment>
    <comment ref="C11" authorId="0" shapeId="0">
      <text>
        <t>Tanım: Tip | Neden önemli: GES PR ve kayıp analizini etkiler | Doğru kullanım: Cati veya Saha | Örnek: hücredeki örnek değere bakın | Risk: Yanlış giriş hatalı karar üretir</t>
      </text>
    </comment>
    <comment ref="D11" authorId="0" shapeId="0">
      <text>
        <t>Tanım: Kapasite [kWp] | Neden önemli: GES PR ve kayıp analizini etkiler | Doğru kullanım: STC kapasite kWp | Örnek: hücredeki örnek değere bakın | Risk: Yanlış giriş hatalı karar üretir</t>
      </text>
    </comment>
    <comment ref="E11" authorId="0" shapeId="0">
      <text>
        <t>Tanım: İnverter Adet | Neden önemli: GES PR ve kayıp analizini etkiler | Doğru kullanım: İnverter sayısı | Örnek: hücredeki örnek değere bakın | Risk: Yanlış giriş hatalı karar üretir</t>
      </text>
    </comment>
    <comment ref="F11" authorId="0" shapeId="0">
      <text>
        <t>Tanım: Konum | Neden önemli: GES PR ve kayıp analizini etkiler | Doğru kullanım: İl / saha konumu | Örnek: hücredeki örnek değere bakın | Risk: Yanlış giriş hatalı karar üretir</t>
      </text>
    </comment>
    <comment ref="G11" authorId="0" shapeId="0">
      <text>
        <t>Tanım: Hedef PR | Neden önemli: GES PR ve kayıp analizini etkiler | Doğru kullanım: Hedef performans oranı | Örnek: hücredeki örnek değere bakın | Risk: Yanlış giriş hatalı karar üretir</t>
      </text>
    </comment>
    <comment ref="H11" authorId="0" shapeId="0">
      <text>
        <t>Tanım: Aktif | Neden önemli: GES PR ve kayıp analizini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GES PR ve kayıp analizini etkiler | Doğru kullanım: GES-##### formatında | Örnek: hücredeki örnek değere bakın | Risk: Yanlış giriş hatalı karar üretir</t>
      </text>
    </comment>
    <comment ref="B12" authorId="0" shapeId="0">
      <text>
        <t>Tanım: Santral Adı | Neden önemli: GES PR ve kayıp analizini etkiler | Doğru kullanım: Santral / saha adı | Örnek: hücredeki örnek değere bakın | Risk: Yanlış giriş hatalı karar üretir</t>
      </text>
    </comment>
    <comment ref="C12" authorId="0" shapeId="0">
      <text>
        <t>Tanım: Tip | Neden önemli: GES PR ve kayıp analizini etkiler | Doğru kullanım: Cati veya Saha | Örnek: hücredeki örnek değere bakın | Risk: Yanlış giriş hatalı karar üretir</t>
      </text>
    </comment>
    <comment ref="D12" authorId="0" shapeId="0">
      <text>
        <t>Tanım: Kapasite [kWp] | Neden önemli: GES PR ve kayıp analizini etkiler | Doğru kullanım: STC kapasite kWp | Örnek: hücredeki örnek değere bakın | Risk: Yanlış giriş hatalı karar üretir</t>
      </text>
    </comment>
    <comment ref="E12" authorId="0" shapeId="0">
      <text>
        <t>Tanım: İnverter Adet | Neden önemli: GES PR ve kayıp analizini etkiler | Doğru kullanım: İnverter sayısı | Örnek: hücredeki örnek değere bakın | Risk: Yanlış giriş hatalı karar üretir</t>
      </text>
    </comment>
    <comment ref="F12" authorId="0" shapeId="0">
      <text>
        <t>Tanım: Konum | Neden önemli: GES PR ve kayıp analizini etkiler | Doğru kullanım: İl / saha konumu | Örnek: hücredeki örnek değere bakın | Risk: Yanlış giriş hatalı karar üretir</t>
      </text>
    </comment>
    <comment ref="G12" authorId="0" shapeId="0">
      <text>
        <t>Tanım: Hedef PR | Neden önemli: GES PR ve kayıp analizini etkiler | Doğru kullanım: Hedef performans oranı | Örnek: hücredeki örnek değere bakın | Risk: Yanlış giriş hatalı karar üretir</t>
      </text>
    </comment>
    <comment ref="H12" authorId="0" shapeId="0">
      <text>
        <t>Tanım: Aktif | Neden önemli: GES PR ve kayıp analizini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GES PR ve kayıp analizini etkiler | Doğru kullanım: GES-##### formatında | Örnek: hücredeki örnek değere bakın | Risk: Yanlış giriş hatalı karar üretir</t>
      </text>
    </comment>
    <comment ref="B13" authorId="0" shapeId="0">
      <text>
        <t>Tanım: Santral Adı | Neden önemli: GES PR ve kayıp analizini etkiler | Doğru kullanım: Santral / saha adı | Örnek: hücredeki örnek değere bakın | Risk: Yanlış giriş hatalı karar üretir</t>
      </text>
    </comment>
    <comment ref="C13" authorId="0" shapeId="0">
      <text>
        <t>Tanım: Tip | Neden önemli: GES PR ve kayıp analizini etkiler | Doğru kullanım: Cati veya Saha | Örnek: hücredeki örnek değere bakın | Risk: Yanlış giriş hatalı karar üretir</t>
      </text>
    </comment>
    <comment ref="D13" authorId="0" shapeId="0">
      <text>
        <t>Tanım: Kapasite [kWp] | Neden önemli: GES PR ve kayıp analizini etkiler | Doğru kullanım: STC kapasite kWp | Örnek: hücredeki örnek değere bakın | Risk: Yanlış giriş hatalı karar üretir</t>
      </text>
    </comment>
    <comment ref="E13" authorId="0" shapeId="0">
      <text>
        <t>Tanım: İnverter Adet | Neden önemli: GES PR ve kayıp analizini etkiler | Doğru kullanım: İnverter sayısı | Örnek: hücredeki örnek değere bakın | Risk: Yanlış giriş hatalı karar üretir</t>
      </text>
    </comment>
    <comment ref="F13" authorId="0" shapeId="0">
      <text>
        <t>Tanım: Konum | Neden önemli: GES PR ve kayıp analizini etkiler | Doğru kullanım: İl / saha konumu | Örnek: hücredeki örnek değere bakın | Risk: Yanlış giriş hatalı karar üretir</t>
      </text>
    </comment>
    <comment ref="G13" authorId="0" shapeId="0">
      <text>
        <t>Tanım: Hedef PR | Neden önemli: GES PR ve kayıp analizini etkiler | Doğru kullanım: Hedef performans oranı | Örnek: hücredeki örnek değere bakın | Risk: Yanlış giriş hatalı karar üretir</t>
      </text>
    </comment>
    <comment ref="H13" authorId="0" shapeId="0">
      <text>
        <t>Tanım: Aktif | Neden önemli: GES PR ve kayıp analizini etkiler | Doğru kullanım: EVET veya HAYIR | Örnek: hücredeki örnek değere bakın | Risk: Yanlış giriş hatalı karar üretir</t>
      </text>
    </comment>
    <comment ref="A1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3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3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3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3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3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3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3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3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4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4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4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4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4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4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4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4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5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5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5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5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5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5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5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5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6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6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6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6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6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6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6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6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7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7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7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7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7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7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7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7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8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8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8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8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8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8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8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8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9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9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9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9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9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9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9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9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0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0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0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0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0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0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0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0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1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1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1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1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1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1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1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1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2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2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2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2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2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2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2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2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3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3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3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3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3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3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3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3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4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4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4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4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4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4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4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4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5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5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5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5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5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5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5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5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6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6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6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6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6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6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6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6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7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7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7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7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7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7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7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7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8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8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8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8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8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8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8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8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19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19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19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19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19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19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19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19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0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0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0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0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0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0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0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0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1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1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1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1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1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1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1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1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2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2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2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2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2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2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2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2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3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3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3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3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3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3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3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3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5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6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6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6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6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6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6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6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7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7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7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7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7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7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7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8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8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8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8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8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8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8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4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49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49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49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49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49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49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49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5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50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50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50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50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50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50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50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5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51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51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51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51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51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51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51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5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52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52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52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52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52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52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52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5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53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53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53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53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53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53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53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5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54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54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54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54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54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54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54" authorId="0" shapeId="0">
      <text>
        <t>Tanım: Aktif | Neden önemli: GES PR ve kayıp analizini etkiler | Doğru kullanım: Manuel giriş | Örnek: hücredeki örnek değere bakın | Risk: Yanlış giriş hatalı karar üretir</t>
      </text>
    </comment>
    <comment ref="A25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B255" authorId="0" shapeId="0">
      <text>
        <t>Tanım: SantralAd | Neden önemli: GES PR ve kayıp analizini etkiler | Doğru kullanım: Manuel giriş | Örnek: hücredeki örnek değere bakın | Risk: Yanlış giriş hatalı karar üretir</t>
      </text>
    </comment>
    <comment ref="C255" authorId="0" shapeId="0">
      <text>
        <t>Tanım: Tip | Neden önemli: GES PR ve kayıp analizini etkiler | Doğru kullanım: Manuel giriş | Örnek: hücredeki örnek değere bakın | Risk: Yanlış giriş hatalı karar üretir</t>
      </text>
    </comment>
    <comment ref="D255" authorId="0" shapeId="0">
      <text>
        <t>Tanım: KapasiteKwp_kwp | Neden önemli: GES PR ve kayıp analizini etkiler | Doğru kullanım: Manuel giriş | Örnek: hücredeki örnek değere bakın | Risk: Yanlış giriş hatalı karar üretir</t>
      </text>
    </comment>
    <comment ref="E255" authorId="0" shapeId="0">
      <text>
        <t>Tanım: InverterAdet_adet | Neden önemli: GES PR ve kayıp analizini etkiler | Doğru kullanım: Manuel giriş | Örnek: hücredeki örnek değere bakın | Risk: Yanlış giriş hatalı karar üretir</t>
      </text>
    </comment>
    <comment ref="F255" authorId="0" shapeId="0">
      <text>
        <t>Tanım: Konum | Neden önemli: GES PR ve kayıp analizini etkiler | Doğru kullanım: Manuel giriş | Örnek: hücredeki örnek değere bakın | Risk: Yanlış giriş hatalı karar üretir</t>
      </text>
    </comment>
    <comment ref="G255" authorId="0" shapeId="0">
      <text>
        <t>Tanım: HedefPr_oran | Neden önemli: GES PR ve kayıp analizini etkiler | Doğru kullanım: Manuel giriş | Örnek: hücredeki örnek değere bakın | Risk: Yanlış giriş hatalı karar üretir</t>
      </text>
    </comment>
    <comment ref="H255" authorId="0" shapeId="0">
      <text>
        <t>Tanım: Aktif | Neden önemli: GES PR ve kayıp analizini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6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6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6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6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6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6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7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7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7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7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7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7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7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8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8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8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8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8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8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8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9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9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9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9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9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9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9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0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0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0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0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0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0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0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1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1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1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1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1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1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1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2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2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2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2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2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2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2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3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3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3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3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3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3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3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4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4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4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4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4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4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4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5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5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5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5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5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5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5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6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6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6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6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6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6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6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7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7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7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7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7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7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7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8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8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8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8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8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8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8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19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19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19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19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19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19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19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0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0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0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0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0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0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0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1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1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1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1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1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1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1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2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2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2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2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2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2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2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3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3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3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3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3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3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3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4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4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4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4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4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4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4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5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5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5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5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5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5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5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6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6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6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6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6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6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6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7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7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7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7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7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7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7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8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8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8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8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8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8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8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29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29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29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29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29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29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29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0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0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0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0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0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0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0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1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1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1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1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1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1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1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2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2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2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2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2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2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2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3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3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3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3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3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3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3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4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4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4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4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4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4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4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5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5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5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5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5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5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5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6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6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6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6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6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6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6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7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7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7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7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7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7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7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8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8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8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8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8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8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8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39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39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39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39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39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39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39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40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40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40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40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40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40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40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41" authorId="0" shapeId="0">
      <text>
        <t>Tanım: Günlük Kimlik | Neden önemli: GES PR ve kayıp analizini etkiler | Doğru kullanım: GUP-##### | Örnek: hücredeki örnek değere bakın | Risk: Yanlış giriş hatalı karar üretir</t>
      </text>
    </comment>
    <comment ref="B41" authorId="0" shapeId="0">
      <text>
        <t>Tanım: Varlık Kimliği | Neden önemli: GES PR ve kayıp analizini etkiler | Doğru kullanım: GES listesinden | Örnek: hücredeki örnek değere bakın | Risk: Yanlış giriş hatalı karar üretir</t>
      </text>
    </comment>
    <comment ref="C41" authorId="0" shapeId="0">
      <text>
        <t>Tanım: Tarih | Neden önemli: GES PR ve kayıp analizini etkiler | Doğru kullanım: GG.AA.YYYY | Örnek: hücredeki örnek değere bakın | Risk: Yanlış giriş hatalı karar üretir</t>
      </text>
    </comment>
    <comment ref="D41" authorId="0" shapeId="0">
      <text>
        <t>Tanım: Üretim [kWh] | Neden önemli: GES PR ve kayıp analizini etkiler | Doğru kullanım: Günlük AC üretim | Örnek: hücredeki örnek değere bakın | Risk: Yanlış giriş hatalı karar üretir</t>
      </text>
    </comment>
    <comment ref="E41" authorId="0" shapeId="0">
      <text>
        <t>Tanım: Işınım [kWh/m2] | Neden önemli: GES PR ve kayıp analizini etkiler | Doğru kullanım: Günlük ışınım | Örnek: hücredeki örnek değere bakın | Risk: Yanlış giriş hatalı karar üretir</t>
      </text>
    </comment>
    <comment ref="F41" authorId="0" shapeId="0">
      <text>
        <t>Tanım: Kayıp [kWh] | Neden önemli: GES PR ve kayıp analizini etkiler | Doğru kullanım: Tahmini kayıp | Örnek: hücredeki örnek değere bakın | Risk: Yanlış giriş hatalı karar üretir</t>
      </text>
    </comment>
    <comment ref="G41" authorId="0" shapeId="0">
      <text>
        <t>Tanım: Kayıp Türü | Neden önemli: GES PR ve kayıp analizini etkiler | Doğru kullanım: Listeden seçin | Örnek: hücredeki örnek değere bakın | Risk: Yanlış giriş hatalı karar üretir</t>
      </text>
    </comment>
    <comment ref="A4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4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4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4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4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4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4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4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4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4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4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4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4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4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4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4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4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4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4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4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4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4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4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4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4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4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4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4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4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4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4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4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4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4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4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4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4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4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4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4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4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4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4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4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4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4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4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4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4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4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4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4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4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4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4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4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5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5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5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5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5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5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5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6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6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6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6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6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6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6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7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7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7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7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7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7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7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8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8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8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8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8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8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8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9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9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9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9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9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9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9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0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0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0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0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0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0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0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1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1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1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1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1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1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1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2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2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2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2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2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2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2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3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3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3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3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3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3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3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4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4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4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4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4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4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4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5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5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5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5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5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5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5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6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6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6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6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6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6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6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7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7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7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7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7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7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7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8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8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8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8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8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8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8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19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19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19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19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19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19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19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0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0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0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0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0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0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0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1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1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1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1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1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1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1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2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2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2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2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2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2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2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3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3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3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3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3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3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3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6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6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6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6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6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6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6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7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7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7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7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7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7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7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8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8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8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8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8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8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8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49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49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49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49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49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49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49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50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50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50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50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50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50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50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51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51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51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51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51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51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51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52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52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52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52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52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52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52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53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53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53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53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53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53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53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54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54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54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54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54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54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54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  <comment ref="A255" authorId="0" shapeId="0">
      <text>
        <t>Tanım: SatirId | Neden önemli: GES PR ve kayıp analizini etkiler | Doğru kullanım: Manuel giriş | Örnek: hücredeki örnek değere bakın | Risk: Yanlış giriş hatalı karar üretir</t>
      </text>
    </comment>
    <comment ref="B255" authorId="0" shapeId="0">
      <text>
        <t>Tanım: VarlikId | Neden önemli: GES PR ve kayıp analizini etkiler | Doğru kullanım: Manuel giriş | Örnek: hücredeki örnek değere bakın | Risk: Yanlış giriş hatalı karar üretir</t>
      </text>
    </comment>
    <comment ref="C255" authorId="0" shapeId="0">
      <text>
        <t>Tanım: Tarih | Neden önemli: GES PR ve kayıp analizini etkiler | Doğru kullanım: Manuel giriş | Örnek: hücredeki örnek değere bakın | Risk: Yanlış giriş hatalı karar üretir</t>
      </text>
    </comment>
    <comment ref="D255" authorId="0" shapeId="0">
      <text>
        <t>Tanım: UretimKwh_kwh | Neden önemli: GES PR ve kayıp analizini etkiler | Doğru kullanım: Manuel giriş | Örnek: hücredeki örnek değere bakın | Risk: Yanlış giriş hatalı karar üretir</t>
      </text>
    </comment>
    <comment ref="E255" authorId="0" shapeId="0">
      <text>
        <t>Tanım: IsinimKwhm2_kwhm2 | Neden önemli: GES PR ve kayıp analizini etkiler | Doğru kullanım: Manuel giriş | Örnek: hücredeki örnek değere bakın | Risk: Yanlış giriş hatalı karar üretir</t>
      </text>
    </comment>
    <comment ref="F255" authorId="0" shapeId="0">
      <text>
        <t>Tanım: KayipKwh_kwh | Neden önemli: GES PR ve kayıp analizini etkiler | Doğru kullanım: Manuel giriş | Örnek: hücredeki örnek değere bakın | Risk: Yanlış giriş hatalı karar üretir</t>
      </text>
    </comment>
    <comment ref="G255" authorId="0" shapeId="0">
      <text>
        <t>Tanım: KayipTuru | Neden önemli: GES PR ve kayıp analizini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GES PR ve kayıp analizini etkiler | Doğru kullanım: EVET/HAYIR | Örnek: hücredeki örnek değere bakın | Risk: Yanlış giriş hatalı karar üretir</t>
      </text>
    </comment>
    <comment ref="C7" authorId="0" shapeId="0">
      <text>
        <t>Tanım: Kayıp | Neden önemli: GES PR ve kayıp analizini etkiler | Doğru kullanım: Kayıp türü | Örnek: hücredeki örnek değere bakın | Risk: Yanlış giriş hatalı karar üretir</t>
      </text>
    </comment>
    <comment ref="E7" authorId="0" shapeId="0">
      <text>
        <t>Tanım: Tip | Neden önemli: GES PR ve kayıp analizini etkiler | Doğru kullanım: Santral tipi | Örnek: hücredeki örnek değere bakın | Risk: Yanlış giriş hatalı karar üretir</t>
      </text>
    </comment>
    <comment ref="A8" authorId="0" shapeId="0">
      <text>
        <t>Tanım: Seçim | Neden önemli: GES PR ve kayıp analizini etkiler | Doğru kullanım: EVET/HAYIR | Örnek: hücredeki örnek değere bakın | Risk: Yanlış giriş hatalı karar üretir</t>
      </text>
    </comment>
    <comment ref="C8" authorId="0" shapeId="0">
      <text>
        <t>Tanım: Kayıp | Neden önemli: GES PR ve kayıp analizini etkiler | Doğru kullanım: Kayıp türü | Örnek: hücredeki örnek değere bakın | Risk: Yanlış giriş hatalı karar üretir</t>
      </text>
    </comment>
    <comment ref="E8" authorId="0" shapeId="0">
      <text>
        <t>Tanım: Tip | Neden önemli: GES PR ve kayıp analizini etkiler | Doğru kullanım: Santral tipi | Örnek: hücredeki örnek değere bakın | Risk: Yanlış giriş hatalı karar üretir</t>
      </text>
    </comment>
    <comment ref="C9" authorId="0" shapeId="0">
      <text>
        <t>Tanım: Kayıp | Neden önemli: GES PR ve kayıp analizini etkiler | Doğru kullanım: Kayıp türü | Örnek: hücredeki örnek değere bakın | Risk: Yanlış giriş hatalı karar üretir</t>
      </text>
    </comment>
    <comment ref="C10" authorId="0" shapeId="0">
      <text>
        <t>Tanım: Kayıp | Neden önemli: GES PR ve kayıp analizini etkiler | Doğru kullanım: Kayıp türü | Örnek: hücredeki örnek değere bakın | Risk: Yanlış giriş hatalı karar üretir</t>
      </text>
    </comment>
    <comment ref="C11" authorId="0" shapeId="0">
      <text>
        <t>Tanım: Kayıp | Neden önemli: GES PR ve kayıp analizini etkiler | Doğru kullanım: Kayıp türü | Örnek: hücredeki örnek değere bakın | Risk: Yanlış giriş hatalı karar üretir</t>
      </text>
    </comment>
    <comment ref="C12" authorId="0" shapeId="0">
      <text>
        <t>Tanım: Kayıp | Neden önemli: GES PR ve kayıp analizini etkiler | Doğru kullanım: Kayıp türü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GES PR ve kayıp analizini etkiler | Doğru kullanım: Rapor tarihi (TODAY yok) | Örnek: hücredeki örnek değere bakın | Risk: Yanlış giriş hatalı karar üretir</t>
      </text>
    </comment>
    <comment ref="B7" authorId="0" shapeId="0">
      <text>
        <t>Tanım: gup_varsayilanKapasite | Neden önemli: GES PR ve kayıp analizini etkiler | Doğru kullanım: Varsayılan kapasite kWp | Örnek: hücredeki örnek değere bakın | Risk: Yanlış giriş hatalı karar üretir</t>
      </text>
    </comment>
    <comment ref="B8" authorId="0" shapeId="0">
      <text>
        <t>Tanım: gup_esikPr | Neden önemli: GES PR ve kayıp analizini etkiler | Doğru kullanım: PR alt alarm eşiği | Örnek: hücredeki örnek değere bakın | Risk: Yanlış giriş hatalı karar üretir</t>
      </text>
    </comment>
    <comment ref="B9" authorId="0" shapeId="0">
      <text>
        <t>Tanım: gup_esikKayipKwh | Neden önemli: GES PR ve kayıp analizini etkiler | Doğru kullanım: Günlük kayıp alarm eşiği | Örnek: hücredeki örnek değere bakın | Risk: Yanlış giriş hatalı karar üretir</t>
      </text>
    </comment>
    <comment ref="B10" authorId="0" shapeId="0">
      <text>
        <t>Tanım: gup_esikSaglik | Neden önemli: GES PR ve kayıp analizini etkiler | Doğru kullanım: Sağlık skor alt eşiği | Örnek: hücredeki örnek değere bakın | Risk: Yanlış giriş hatalı karar üretir</t>
      </text>
    </comment>
    <comment ref="B11" authorId="0" shapeId="0">
      <text>
        <t>Tanım: gup_aylikCarpan | Neden önemli: GES PR ve kayıp analizini etkiler | Doğru kullanım: Aylık üretim çarpan | Örnek: hücredeki örnek değere bakın | Risk: Yanlış giriş hatalı karar üretir</t>
      </text>
    </comment>
    <comment ref="B12" authorId="0" shapeId="0">
      <text>
        <t>Tanım: gup_senaryoTemkinli | Neden önemli: GES PR ve kayıp analizini etkiler | Doğru kullanım: Temkinli çarpan | Örnek: hücredeki örnek değere bakın | Risk: Yanlış giriş hatalı karar üretir</t>
      </text>
    </comment>
    <comment ref="B13" authorId="0" shapeId="0">
      <text>
        <t>Tanım: gup_senaryoBaz | Neden önemli: GES PR ve kayıp analizini etkiler | Doğru kullanım: Baz çarpan | Örnek: hücredeki örnek değere bakın | Risk: Yanlış giriş hatalı karar üretir</t>
      </text>
    </comment>
    <comment ref="B14" authorId="0" shapeId="0">
      <text>
        <t>Tanım: gup_senaryoIyimser | Neden önemli: GES PR ve kayıp analizini etkiler | Doğru kullanım: İyimser çarpan | Örnek: hücredeki örnek değere bakın | Risk: Yanlış giriş hatalı karar üretir</t>
      </text>
    </comment>
    <comment ref="B15" authorId="0" shapeId="0">
      <text>
        <t>Tanım: gup_tornadoOran | Neden önemli: GES PR ve kayıp analizini etkiler | Doğru kullanım: Tornado etki oranı | Örnek: hücredeki örnek değere bakın | Risk: Yanlış giriş hatalı karar üretir</t>
      </text>
    </comment>
    <comment ref="B16" authorId="0" shapeId="0">
      <text>
        <t>Tanım: gup_yuzdelikOran | Neden önemli: GES PR ve kayıp analizini etkiler | Doğru kullanım: P90 çarpan proxy | Örnek: hücredeki örnek değere bakın | Risk: Yanlış giriş hatalı karar üretir</t>
      </text>
    </comment>
    <comment ref="B17" authorId="0" shapeId="0">
      <text>
        <t>Tanım: gup_percentileOran | Neden önemli: GES PR ve kayıp analizini etkiler | Doğru kullanım: Yüzdelik dilim | Örnek: hücredeki örnek değere bakın | Risk: Yanlış giriş hatalı karar üretir</t>
      </text>
    </comment>
    <comment ref="B18" authorId="0" shapeId="0">
      <text>
        <t>Tanım: gup_tahminCarpan | Neden önemli: GES PR ve kayıp analizini etkiler | Doğru kullanım: Tahmin aralık çarpan | Örnek: hücredeki örnek değere bakın | Risk: Yanlış giriş hatalı karar üretir</t>
      </text>
    </comment>
    <comment ref="B19" authorId="0" shapeId="0">
      <text>
        <t>Tanım: gup_olcekHedef | Neden önemli: GES PR ve kayıp analizini etkiler | Doğru kullanım: Ölçek sözleşmesi | Örnek: hücredeki örnek değere bakın | Risk: Yanlış giriş hatalı karar üretir</t>
      </text>
    </comment>
    <comment ref="B20" authorId="0" shapeId="0">
      <text>
        <t>Tanım: gup_kaliteTaban | Neden önemli: GES PR ve kayıp analizini etkiler | Doğru kullanım: Taban puan | Örnek: hücredeki örnek değere bakın | Risk: Yanlış giriş hatalı karar üretir</t>
      </text>
    </comment>
    <comment ref="B21" authorId="0" shapeId="0">
      <text>
        <t>Tanım: gup_kaliteCeza | Neden önemli: GES PR ve kayıp analizini etkiler | Doğru kullanım: Eşik aşım cezası | Örnek: hücredeki örnek değere bakın | Risk: Yanlış giriş hatalı karar üretir</t>
      </text>
    </comment>
    <comment ref="B22" authorId="0" shapeId="0">
      <text>
        <t>Tanım: gup_kaliteSapma | Neden önemli: GES PR ve kayıp analizini etkiler | Doğru kullanım: Sapma / alarm cezası | Örnek: hücredeki örnek değere bakın | Risk: Yanlış giriş hatalı karar üretir</t>
      </text>
    </comment>
    <comment ref="B23" authorId="0" shapeId="0">
      <text>
        <t>Tanım: gup_dosyaSurumu | Neden önemli: GES PR ve kayıp analizini etkiler | Doğru kullanım: Ürün sürümü | Örnek: hücredeki örnek değere bakın | Risk: Yanlış giriş hatalı karar üretir</t>
      </text>
    </comment>
    <comment ref="B24" authorId="0" shapeId="0">
      <text>
        <t>Tanım: gup_firmaUnvan | Neden önemli: GES PR ve kayıp analizini etkiler | Doğru kullanım: Firma unvanı | Örnek: hücredeki örnek değere bakın | Risk: Yanlış giriş hatalı karar üretir</t>
      </text>
    </comment>
    <comment ref="B25" authorId="0" shapeId="0">
      <text>
        <t>Tanım: gup_alarmEsikMetin | Neden önemli: GES PR ve kayıp analizini etkiler | Doğru kullanım: Alarm eşiği tanımı | Örnek: hücredeki örnek değere bakın | Risk: Yanlış giriş hatalı karar üretir</t>
      </text>
    </comment>
    <comment ref="B26" authorId="0" shapeId="0">
      <text>
        <t>Tanım: gup_tarifeTlKwh | Neden önemli: GES PR ve kayıp analizini etkiler | Doğru kullanım: Üretim değeri TL/kWh (iç) | Örnek: hücredeki örnek değere bakın | Risk: Yanlış giriş hatalı karar üretir</t>
      </text>
    </comment>
    <comment ref="B27" authorId="0" shapeId="0">
      <text>
        <t>Tanım: gup_prReferans | Neden önemli: GES PR ve kayıp analizini etkiler | Doğru kullanım: Referans PR hedefi | Örnek: hücredeki örnek değere bakın | Risk: Yanlış giriş hatalı karar üretir</t>
      </text>
    </comment>
    <comment ref="B28" authorId="0" shapeId="0">
      <text>
        <t>Tanım: gup_isinimMin | Neden önemli: GES PR ve kayıp analizini etkiler | Doğru kullanım: Minimum günlük ışınım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arliklar" displayName="tblVarliklar" ref="A5:L255" headerRowCount="1">
  <tableColumns count="12">
    <tableColumn id="1" name="VarlikId"/>
    <tableColumn id="2" name="SantralAd"/>
    <tableColumn id="3" name="Tip"/>
    <tableColumn id="4" name="KapasiteKwp_kwp"/>
    <tableColumn id="5" name="InverterAdet_adet"/>
    <tableColumn id="6" name="Konum"/>
    <tableColumn id="7" name="HedefPr_oran"/>
    <tableColumn id="8" name="Aktif"/>
    <tableColumn id="9" name="ToplamUretimKwh">
      <calculatedColumnFormula>IF(tblVarliklar[[#This Row],[VarlikId]]="","",SUMIF(tblGunluk[VarlikId],tblVarliklar[[#This Row],[VarlikId]],tblGunluk[UretimKwh_kwh]))</calculatedColumnFormula>
    </tableColumn>
    <tableColumn id="10" name="OrtPr">
      <calculatedColumnFormula>IF(tblVarliklar[[#This Row],[VarlikId]]="","",IFERROR(AVERAGEIF(tblGunluk[VarlikId],tblVarliklar[[#This Row],[VarlikId]],tblGunluk[FormulPr_oran]),0))</calculatedColumnFormula>
    </tableColumn>
    <tableColumn id="11" name="ToplamKayipKwh">
      <calculatedColumnFormula>IF(tblVarliklar[[#This Row],[VarlikId]]="","",SUMIF(tblGunluk[VarlikId],tblVarliklar[[#This Row],[VarlikId]],tblGunluk[KayipKwh_kwh]))</calculatedColumnFormula>
    </tableColumn>
    <tableColumn id="12" name="SaglikSkor">
      <calculatedColumnFormula>IF(tblVarliklar[[#This Row],[VarlikId]]="","",MAX(0,MIN(100,gup_kaliteTaban-IF(tblVarliklar[[#This Row],[OrtPr]]&lt;gup_esikPr,gup_kaliteCeza,0)-COUNTIFS(tblGunluk[VarlikId],tblVarliklar[[#This Row],[VarlikId]],tblGunluk[AlarmBayrak],"ALARM")*gup_kaliteSapma-IF(tblVarliklar[[#This Row],[Aktif]]="HAYIR",gup_kaliteCeza,0))))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Gunluk" displayName="tblGunluk" ref="A5:P255" headerRowCount="1">
  <tableColumns count="16">
    <tableColumn id="1" name="SatirId"/>
    <tableColumn id="2" name="VarlikId"/>
    <tableColumn id="3" name="Tarih"/>
    <tableColumn id="4" name="UretimKwh_kwh"/>
    <tableColumn id="5" name="IsinimKwhm2_kwhm2"/>
    <tableColumn id="6" name="KayipKwh_kwh"/>
    <tableColumn id="7" name="KayipTuru"/>
    <tableColumn id="8" name="FormulKapasite_kwp">
      <calculatedColumnFormula>IF(tblGunluk[[#This Row],[SatirId]]="","",IFERROR(SUMIF(tblVarliklar[VarlikId],tblGunluk[[#This Row],[VarlikId]],tblVarliklar[KapasiteKwp_kwp]),gup_varsayilanKapasite))</calculatedColumnFormula>
    </tableColumn>
    <tableColumn id="9" name="FormulTeorik_kwh">
      <calculatedColumnFormula>IF(tblGunluk[[#This Row],[SatirId]]="","",tblGunluk[[#This Row],[IsinimKwhm2_kwhm2]]*tblGunluk[[#This Row],[FormulKapasite_kwp]])</calculatedColumnFormula>
    </tableColumn>
    <tableColumn id="10" name="FormulPr_oran">
      <calculatedColumnFormula>IF(OR(tblGunluk[[#This Row],[SatirId]]="",tblGunluk[[#This Row],[FormulTeorik_kwh]]=0),"",tblGunluk[[#This Row],[UretimKwh_kwh]]/tblGunluk[[#This Row],[FormulTeorik_kwh]])</calculatedColumnFormula>
    </tableColumn>
    <tableColumn id="11" name="FormulKayipPay_oran">
      <calculatedColumnFormula>IF(OR(tblGunluk[[#This Row],[SatirId]]="",tblGunluk[[#This Row],[FormulTeorik_kwh]]=0),"",tblGunluk[[#This Row],[KayipKwh_kwh]]/tblGunluk[[#This Row],[FormulTeorik_kwh]])</calculatedColumnFormula>
    </tableColumn>
    <tableColumn id="12" name="FormulNet_kwh">
      <calculatedColumnFormula>IF(tblGunluk[[#This Row],[SatirId]]="","",tblGunluk[[#This Row],[UretimKwh_kwh]])</calculatedColumnFormula>
    </tableColumn>
    <tableColumn id="13" name="SaglikSkor_puan">
      <calculatedColumnFormula>IF(tblGunluk[[#This Row],[SatirId]]="","",MAX(0,MIN(100,gup_kaliteTaban-IF(tblGunluk[[#This Row],[FormulPr_oran]]&lt;gup_esikPr,gup_kaliteCeza,0)-IF(tblGunluk[[#This Row],[KayipKwh_kwh]]&gt;gup_esikKayipKwh,gup_kaliteSapma,0)-IF(tblGunluk[[#This Row],[FormulYetim]]="YETIM",gup_kaliteCeza,0))))</calculatedColumnFormula>
    </tableColumn>
    <tableColumn id="14" name="AlarmBayrak">
      <calculatedColumnFormula>IF(tblGunluk[[#This Row],[SatirId]]="","",IF(OR(tblGunluk[[#This Row],[FormulPr_oran]]&lt;gup_esikPr,tblGunluk[[#This Row],[KayipKwh_kwh]]&gt;gup_esikKayipKwh,tblGunluk[[#This Row],[SaglikSkor_puan]]&lt;gup_esikSaglik),"ALARM","UYGUN"))</calculatedColumnFormula>
    </tableColumn>
    <tableColumn id="15" name="FormulKayitDolu">
      <calculatedColumnFormula>IF(tblGunluk[[#This Row],[SatirId]]="","",1)</calculatedColumnFormula>
    </tableColumn>
    <tableColumn id="16" name="FormulYetim">
      <calculatedColumnFormula>IF(tblGunluk[[#This Row],[SatirId]]="","",IF(OR(tblGunluk[[#This Row],[VarlikId]]="",COUNTIF(tblVarliklar[VarlikId],tblGunluk[[#This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42" t="inlineStr">
        <is>
          <t>EXCELARŞİV KARAR SİSTEMİ v15.1 — ÜRETİM REFERANSI</t>
        </is>
      </c>
    </row>
    <row r="3" ht="24" customHeight="1">
      <c r="A3" s="143" t="inlineStr">
        <is>
          <t>Konu</t>
        </is>
      </c>
      <c r="B3" s="143" t="inlineStr">
        <is>
          <t>Bağlayıcı Standart</t>
        </is>
      </c>
    </row>
    <row r="4">
      <c r="A4" s="144" t="inlineStr">
        <is>
          <t>Amaç</t>
        </is>
      </c>
      <c r="B4" s="145" t="inlineStr">
        <is>
          <t>Kanıta dayalı, hatada kapalı çalışan Excel üretim ve denetim sistemi</t>
        </is>
      </c>
    </row>
    <row r="5">
      <c r="A5" s="144" t="inlineStr">
        <is>
          <t>Öncelik</t>
        </is>
      </c>
      <c r="B5" s="145" t="inlineStr">
        <is>
          <t>Kullanıcının açık iş talebi ve gerçek kullanım senaryosu</t>
        </is>
      </c>
    </row>
    <row r="6">
      <c r="A6" s="144" t="inlineStr">
        <is>
          <t>Ana akış</t>
        </is>
      </c>
      <c r="B6" s="145" t="inlineStr">
        <is>
          <t>Uygunluk → Yönetişim → Sözleşmeler → Üretim → Test → Kanıt → Kullanıcı Kabulü → Yayın</t>
        </is>
      </c>
    </row>
    <row r="7">
      <c r="A7" s="144" t="inlineStr">
        <is>
          <t>Yayın ilkesi</t>
        </is>
      </c>
      <c r="B7" s="145" t="inlineStr">
        <is>
          <t>Üst aşamada hata varsa alt aşama GEÇTİ üretilemez</t>
        </is>
      </c>
    </row>
    <row r="8">
      <c r="A8" s="144" t="inlineStr">
        <is>
          <t>Kullanıcı kabulü</t>
        </is>
      </c>
      <c r="B8" s="145" t="inlineStr">
        <is>
          <t>Excel masaüstü görünümü test edilmediyse DIŞ_KABUL_GEREKLİ</t>
        </is>
      </c>
    </row>
    <row r="9">
      <c r="A9" s="144" t="inlineStr">
        <is>
          <t>Nihai yayın</t>
        </is>
      </c>
      <c r="B9" s="145" t="inlineStr">
        <is>
          <t>Yalnız uygulanabilir modüller GEÇTİ veya gerekçeli UYGULANMAZ</t>
        </is>
      </c>
    </row>
    <row r="10">
      <c r="A10" s="144" t="inlineStr">
        <is>
          <t>Ticari ayrım</t>
        </is>
      </c>
      <c r="B10" s="145" t="inlineStr">
        <is>
          <t>Ekonomik olarak savunulabilir fiyat, gerçek pazar kabulü ile aynı değildir</t>
        </is>
      </c>
    </row>
    <row r="11">
      <c r="A11" s="144" t="inlineStr">
        <is>
          <t>Karmaşıklık</t>
        </is>
      </c>
      <c r="B11" s="145" t="inlineStr">
        <is>
          <t>Karar değeri, eklenen karmaşıklığın maliyetinden büyük olmalıdır</t>
        </is>
      </c>
    </row>
    <row r="12">
      <c r="A12" s="144" t="inlineStr">
        <is>
          <t>Excel sınırı</t>
        </is>
      </c>
      <c r="B12" s="145" t="inlineStr">
        <is>
          <t>Veritabanı, kurumsal yetkilendirme, değiştirilemez kayıt sistemi veya gerçek zamanlı olay platformu değildir</t>
        </is>
      </c>
    </row>
    <row r="13">
      <c r="A13" s="144" t="inlineStr">
        <is>
          <t>Dil standardı</t>
        </is>
      </c>
      <c r="B13" s="145" t="inlineStr">
        <is>
          <t>Kullanıcıya görünen tüm sayfa, tablo, başlık, açıklama, uyarı ve karar metinleri saf Türkçe olmalıdır</t>
        </is>
      </c>
    </row>
    <row r="14">
      <c r="A14" s="144" t="inlineStr">
        <is>
          <t>Muhasebe standardı</t>
        </is>
      </c>
      <c r="B14" s="145" t="inlineStr">
        <is>
          <t>Finansal ürünlerde Türkiye Tekdüzen Hesap Planı ve Türk muhasebe kullanım alışkanlıkları esas alınır</t>
        </is>
      </c>
    </row>
    <row r="15">
      <c r="A15" s="144" t="inlineStr">
        <is>
          <t>Görsel standart</t>
        </is>
      </c>
      <c r="B15" s="145" t="inlineStr">
        <is>
          <t>Her sayfa başlıklı, renk kodlu, sıkı kolon düzenli ve premium kurumsal görünümde olmalıdır</t>
        </is>
      </c>
    </row>
    <row r="16">
      <c r="A16" s="144" t="inlineStr">
        <is>
          <t>Grafik standardı</t>
        </is>
      </c>
      <c r="B16" s="145" t="inlineStr">
        <is>
          <t>Grafikler karar üretmeli; dekoratif, 3B, anlamsız renkli veya varsayılan Excel grafiği kullanılamaz</t>
        </is>
      </c>
    </row>
    <row r="17">
      <c r="A17" s="144" t="inlineStr">
        <is>
          <t>Hata standardı</t>
        </is>
      </c>
      <c r="B17" s="145" t="inlineStr">
        <is>
          <t>#AD? / #BAŞV! / #DEĞER! / #SAYI/0! / #YOK gibi hatalar GEÇTİ sonucuyla birlikte bulunamaz</t>
        </is>
      </c>
    </row>
    <row r="18">
      <c r="A18" s="144" t="inlineStr">
        <is>
          <t>Karar standardı</t>
        </is>
      </c>
      <c r="B18" s="145" t="inlineStr">
        <is>
          <t>Her kritik çıktı: ne oldu, neden oldu, parasal etki, ne yapılmalı, ne zamana kadar sorularını cevaplar</t>
        </is>
      </c>
    </row>
    <row r="19">
      <c r="A19" s="144" t="inlineStr">
        <is>
          <t>Satış standardı</t>
        </is>
      </c>
      <c r="B19" s="145" t="inlineStr">
        <is>
          <t>Ürün 5 saniyede anlaşılmalı; pahalı problemi, ekonomik sonucu, kanıtı ve satın alma gerekçesini göstermelidir</t>
        </is>
      </c>
    </row>
    <row r="20">
      <c r="A20" s="144" t="inlineStr">
        <is>
          <t>Güven standardı</t>
        </is>
      </c>
      <c r="B20" s="145" t="inlineStr">
        <is>
          <t>Kanıtsız 'premium', 'kusursuz', 'sıfır hata' veya yüksek fiyat iddiası kullanılamaz</t>
        </is>
      </c>
    </row>
    <row r="21">
      <c r="A21" s="144" t="inlineStr">
        <is>
          <t>Kaynak</t>
        </is>
      </c>
      <c r="B21" s="145" t="inlineStr">
        <is>
          <t>Teknik Python çekirdeği 99_TEKNIK_KAYNAK sayfasında saklanır; kullanıcı arayüzü değildir</t>
        </is>
      </c>
    </row>
    <row r="22">
      <c r="A22" s="144" t="inlineStr">
        <is>
          <t>Bağlayıcı standart</t>
        </is>
      </c>
      <c r="B22" s="145" t="inlineStr">
        <is>
          <t>Teknik kaynak içindeki üretim sözleşmesi + bu çalışma kitabındaki Türkçe operasyon standartları</t>
        </is>
      </c>
    </row>
    <row r="23">
      <c r="A23" s="144" t="inlineStr">
        <is>
          <t>Çıktı disiplini</t>
        </is>
      </c>
      <c r="B23" s="145" t="inlineStr">
        <is>
          <t>Kanıtsız GEÇTİ / NİHAİ / TİCARİ / PAZAR_DOĞRULANDI statüsü yasaktır</t>
        </is>
      </c>
    </row>
    <row r="24">
      <c r="A24" s="144" t="inlineStr">
        <is>
          <t>Uyarlanabilirlik</t>
        </is>
      </c>
      <c r="B24" s="145" t="inlineStr">
        <is>
          <t>Gereksiz modül yalnız prestij amacıyla eklenmez</t>
        </is>
      </c>
    </row>
    <row r="26" ht="16" customHeight="1">
      <c r="A26" s="146" t="inlineStr">
        <is>
          <t>TEK KAYNAK MİMARİSİ</t>
        </is>
      </c>
      <c r="B26" s="146" t="inlineStr">
        <is>
          <t>İKİ DOSYALI / TEK SİSTEM</t>
        </is>
      </c>
    </row>
    <row r="27" ht="28" customHeight="1">
      <c r="A27" s="145" t="inlineStr">
        <is>
          <t>MASTER Excel</t>
        </is>
      </c>
      <c r="B27" s="145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5" t="inlineStr">
        <is>
          <t>Runtime Python</t>
        </is>
      </c>
      <c r="B28" s="145" t="inlineStr">
        <is>
          <t>EXCELARSIV_DECISION_OS_V15_1_RUNTIME_KERNEL.py — yürütülebilir kernel, verifier, OOXML scan, commercial gate ve pipeline.</t>
        </is>
      </c>
    </row>
    <row r="29">
      <c r="A29" s="145" t="inlineStr">
        <is>
          <t>Python SHA-256</t>
        </is>
      </c>
      <c r="B29" s="145" t="inlineStr">
        <is>
          <t>babe066ab599199123e53d01944bcd9d75648a579ade69ab9303dd675962f481</t>
        </is>
      </c>
    </row>
    <row r="30">
      <c r="A30" s="145" t="inlineStr">
        <is>
          <t>Sürüm Eşleşmesi</t>
        </is>
      </c>
      <c r="B30" s="145" t="inlineStr">
        <is>
          <t>Her iki dosya v15.1 sistemine aittir. Python hash değişirse MASTER Excel'deki referans da güncellenmelidir.</t>
        </is>
      </c>
    </row>
    <row r="31" ht="28" customHeight="1">
      <c r="A31" s="145" t="inlineStr">
        <is>
          <t>Sahte PASS Yasağı</t>
        </is>
      </c>
      <c r="B31" s="145" t="inlineStr">
        <is>
          <t>Kanıt yoksa PASS yok; hata=FAIL, ölçülemiyorsa=BLOCKED, Excel GUI gerekiyorsa=HARİCİ KABUL GEREKLİ.</t>
        </is>
      </c>
    </row>
    <row r="32">
      <c r="A32" s="145" t="inlineStr">
        <is>
          <t>Dil</t>
        </is>
      </c>
      <c r="B32" s="145" t="inlineStr">
        <is>
          <t>Kullanıcı yüzeyi safkan Türkçe; teknik kavramların Türkçe karşılığı ana terimdir.</t>
        </is>
      </c>
    </row>
    <row r="33">
      <c r="A33" s="145" t="inlineStr">
        <is>
          <t>Muhasebe</t>
        </is>
      </c>
      <c r="B33" s="145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46" t="inlineStr">
        <is>
          <t>☰ PANO</t>
        </is>
      </c>
    </row>
    <row r="2">
      <c r="B2" s="65" t="inlineStr">
        <is>
          <t>GES ÜRETIM &amp; PERFORMANS TAKIBI</t>
        </is>
      </c>
      <c r="L2" s="66" t="inlineStr">
        <is>
          <t>Dönem: 2026 / Tam ▼</t>
        </is>
      </c>
      <c r="M2" s="67" t="inlineStr">
        <is>
          <t>★ DOĞRULANMIŞ</t>
        </is>
      </c>
    </row>
    <row r="3">
      <c r="B3" s="68" t="inlineStr">
        <is>
          <t>Hedef Kullanıcı: GES işletme müdürü, saha enerji operatörü, CFO / varlık yöneticisi · 2026 Q3 Denetim Standardı</t>
        </is>
      </c>
    </row>
    <row r="5">
      <c r="B5" s="69" t="inlineStr">
        <is>
          <t>YILLIK TAHMİNİ ÜRETİM GELİRİ</t>
        </is>
      </c>
      <c r="C5" s="70" t="n"/>
      <c r="D5" s="71" t="inlineStr">
        <is>
          <t>MWh PROJEKSİYON</t>
        </is>
      </c>
      <c r="E5" s="72" t="inlineStr">
        <is>
          <t>İŞLETME VE BAKIM (OPEX)</t>
        </is>
      </c>
      <c r="F5" s="70" t="n"/>
      <c r="G5" s="73" t="inlineStr">
        <is>
          <t>YILLIK</t>
        </is>
      </c>
      <c r="H5" s="69" t="inlineStr">
        <is>
          <t>NET OPERASYONEL GETİRİ</t>
        </is>
      </c>
      <c r="I5" s="70" t="n"/>
      <c r="J5" s="74" t="inlineStr">
        <is>
          <t>EBITDA</t>
        </is>
      </c>
      <c r="K5" s="75" t="inlineStr">
        <is>
          <t>PROJE İÇ VERİM ORANI (IRR)</t>
        </is>
      </c>
      <c r="L5" s="70" t="n"/>
      <c r="M5" s="71" t="inlineStr">
        <is>
          <t>IRR: %24.2</t>
        </is>
      </c>
    </row>
    <row r="6">
      <c r="B6" s="76" t="n"/>
      <c r="C6" s="70" t="n"/>
      <c r="D6" s="70" t="n"/>
      <c r="E6" s="77" t="n"/>
      <c r="F6" s="70" t="n"/>
      <c r="G6" s="70" t="n"/>
      <c r="H6" s="76" t="n"/>
      <c r="I6" s="70" t="n"/>
      <c r="J6" s="70" t="n"/>
      <c r="K6" s="78" t="n"/>
      <c r="L6" s="70" t="n"/>
      <c r="M6" s="70" t="n"/>
    </row>
    <row r="7">
      <c r="B7" s="166">
        <f>GİRDİLER!E17</f>
        <v/>
      </c>
      <c r="C7" s="70" t="n"/>
      <c r="D7" s="70" t="n"/>
      <c r="E7" s="167">
        <f>B7*0.22</f>
        <v/>
      </c>
      <c r="F7" s="70" t="n"/>
      <c r="G7" s="70" t="n"/>
      <c r="H7" s="166">
        <f>B7-E7</f>
        <v/>
      </c>
      <c r="I7" s="70" t="n"/>
      <c r="J7" s="70" t="n"/>
      <c r="K7" s="81">
        <f>EĞER(E7&gt;0; YUVARLA(B7/E7; 2); 0)</f>
        <v/>
      </c>
      <c r="L7" s="70" t="n"/>
      <c r="M7" s="70" t="n"/>
    </row>
    <row r="8">
      <c r="B8" s="76" t="n"/>
      <c r="C8" s="70" t="n"/>
      <c r="D8" s="70" t="n"/>
      <c r="E8" s="77" t="n"/>
      <c r="F8" s="70" t="n"/>
      <c r="G8" s="70" t="n"/>
      <c r="H8" s="76" t="n"/>
      <c r="I8" s="70" t="n"/>
      <c r="J8" s="70" t="n"/>
      <c r="K8" s="78" t="n"/>
      <c r="L8" s="70" t="n"/>
      <c r="M8" s="70" t="n"/>
    </row>
    <row r="9">
      <c r="B9" s="82" t="inlineStr">
        <is>
          <t>↑ %14.2 konsolide canlı veri bağlantısı</t>
        </is>
      </c>
      <c r="C9" s="70" t="n"/>
      <c r="D9" s="70" t="n"/>
      <c r="E9" s="83" t="inlineStr">
        <is>
          <t>● 8 Kalem nakit karşılığı: bloke</t>
        </is>
      </c>
      <c r="F9" s="70" t="n"/>
      <c r="G9" s="70" t="n"/>
      <c r="H9" s="82" t="inlineStr">
        <is>
          <t>██████████░░░░░ %78.0 NET MARJ</t>
        </is>
      </c>
      <c r="I9" s="70" t="n"/>
      <c r="J9" s="70" t="n"/>
      <c r="K9" s="84" t="inlineStr">
        <is>
          <t>✓ İDEAL karşılama rasyosu</t>
        </is>
      </c>
      <c r="L9" s="70" t="n"/>
      <c r="M9" s="70" t="n"/>
    </row>
    <row r="11">
      <c r="B11" s="60" t="inlineStr">
        <is>
          <t>GES ÜRETIM &amp; PERFORMANS TAKIBI — DÖNEMSEL İCRA VE PROJEKSİYON</t>
        </is>
      </c>
      <c r="F11" s="85" t="inlineStr">
        <is>
          <t>+%32 Verim</t>
        </is>
      </c>
      <c r="H11" s="60" t="inlineStr">
        <is>
          <t>KONSOLİDE OPERASYON VE KARAR MATRİSİ</t>
        </is>
      </c>
    </row>
    <row r="12">
      <c r="B12" s="59" t="inlineStr">
        <is>
          <t>Kümülatif Hacim vs. Operasyonel Maliyet ve Net Kâr Eğilimi</t>
        </is>
      </c>
      <c r="H12" s="59" t="inlineStr">
        <is>
          <t>Anlık Hesaplama Sonuçları, Dinamik Formül Çıktıları ve Durum Puanlaması</t>
        </is>
      </c>
    </row>
    <row r="14">
      <c r="B14" s="86" t="inlineStr">
        <is>
          <t>Dönem</t>
        </is>
      </c>
      <c r="C14" s="86" t="inlineStr">
        <is>
          <t>Aktif Hacim</t>
        </is>
      </c>
      <c r="D14" s="86" t="inlineStr">
        <is>
          <t>Maliyet/Yük</t>
        </is>
      </c>
      <c r="E14" s="86" t="inlineStr">
        <is>
          <t>Hedef</t>
        </is>
      </c>
      <c r="H14" s="87" t="inlineStr">
        <is>
          <t>PARAMETRE / KALEM</t>
        </is>
      </c>
      <c r="I14" s="87" t="inlineStr">
        <is>
          <t>ANA TUTAR</t>
        </is>
      </c>
      <c r="J14" s="87" t="inlineStr">
        <is>
          <t>FARK / MARJ</t>
        </is>
      </c>
      <c r="K14" s="87" t="inlineStr">
        <is>
          <t>VADE</t>
        </is>
      </c>
      <c r="L14" s="87" t="inlineStr">
        <is>
          <t>KONTROL DURUMU</t>
        </is>
      </c>
    </row>
    <row r="15">
      <c r="B15" s="59" t="inlineStr">
        <is>
          <t>D1</t>
        </is>
      </c>
      <c r="C15" s="59" t="n">
        <v>65</v>
      </c>
      <c r="D15" s="59" t="n">
        <v>45</v>
      </c>
      <c r="E15" s="59" t="n">
        <v>60</v>
      </c>
      <c r="H15" s="88" t="inlineStr">
        <is>
          <t>Dönemlik Kümülatif Bakiye</t>
        </is>
      </c>
      <c r="I15" s="168">
        <f>B7*0.45</f>
        <v/>
      </c>
      <c r="J15" s="169">
        <f>B7*0.05</f>
        <v/>
      </c>
      <c r="K15" s="90" t="inlineStr">
        <is>
          <t>12 Ay</t>
        </is>
      </c>
      <c r="L15" s="74" t="inlineStr">
        <is>
          <t>✓ DÜZENLİ</t>
        </is>
      </c>
    </row>
    <row r="16">
      <c r="B16" s="59" t="inlineStr">
        <is>
          <t>D2</t>
        </is>
      </c>
      <c r="C16" s="59" t="n">
        <v>78</v>
      </c>
      <c r="D16" s="59" t="n">
        <v>48</v>
      </c>
      <c r="E16" s="59" t="n">
        <v>70</v>
      </c>
      <c r="H16" s="88" t="inlineStr">
        <is>
          <t>Kritik Eşik Güvenlik Tamponu</t>
        </is>
      </c>
      <c r="I16" s="168">
        <f>B7*0.30</f>
        <v/>
      </c>
      <c r="J16" s="169">
        <f>B7*0.03</f>
        <v/>
      </c>
      <c r="K16" s="90" t="inlineStr">
        <is>
          <t>24 Ay</t>
        </is>
      </c>
      <c r="L16" s="71" t="inlineStr">
        <is>
          <t>★ AVANTAJ</t>
        </is>
      </c>
    </row>
    <row r="17">
      <c r="B17" s="59" t="inlineStr">
        <is>
          <t>D3</t>
        </is>
      </c>
      <c r="C17" s="59" t="n">
        <v>85</v>
      </c>
      <c r="D17" s="59" t="n">
        <v>55</v>
      </c>
      <c r="E17" s="59" t="n">
        <v>80</v>
      </c>
      <c r="H17" s="88" t="inlineStr">
        <is>
          <t>Operasyonel Net Fark</t>
        </is>
      </c>
      <c r="I17" s="168">
        <f>B7*0.15</f>
        <v/>
      </c>
      <c r="J17" s="169">
        <f>B7*0.02</f>
        <v/>
      </c>
      <c r="K17" s="90" t="inlineStr">
        <is>
          <t>8 Ay</t>
        </is>
      </c>
      <c r="L17" s="91" t="inlineStr">
        <is>
          <t>● YAKLAŞAN</t>
        </is>
      </c>
    </row>
    <row r="18">
      <c r="B18" s="59" t="inlineStr">
        <is>
          <t>D4</t>
        </is>
      </c>
      <c r="C18" s="59" t="n">
        <v>75</v>
      </c>
      <c r="D18" s="59" t="n">
        <v>42</v>
      </c>
      <c r="E18" s="59" t="n">
        <v>75</v>
      </c>
      <c r="H18" s="88" t="inlineStr">
        <is>
          <t>Rezerv ve Likit Dağılım</t>
        </is>
      </c>
      <c r="I18" s="168">
        <f>B7*0.10</f>
        <v/>
      </c>
      <c r="J18" s="169">
        <f>B7*0.01</f>
        <v/>
      </c>
      <c r="K18" s="90" t="inlineStr">
        <is>
          <t>16 Ay</t>
        </is>
      </c>
      <c r="L18" s="74" t="inlineStr">
        <is>
          <t>✓ TAM UYUM</t>
        </is>
      </c>
    </row>
    <row r="19">
      <c r="B19" s="59" t="inlineStr">
        <is>
          <t>D5</t>
        </is>
      </c>
      <c r="C19" s="59" t="n">
        <v>90</v>
      </c>
      <c r="D19" s="59" t="n">
        <v>40</v>
      </c>
      <c r="E19" s="59" t="n">
        <v>85</v>
      </c>
      <c r="H19" s="92" t="inlineStr">
        <is>
          <t>KONSOLİDE SİSTEM TOPLAMI</t>
        </is>
      </c>
      <c r="I19" s="170">
        <f>TOPLA(I15:I18)</f>
        <v/>
      </c>
      <c r="J19" s="171">
        <f>TOPLA(J15:J18)</f>
        <v/>
      </c>
      <c r="K19" s="95" t="inlineStr"/>
      <c r="L19" s="96" t="inlineStr">
        <is>
          <t>TAM DOĞRULANDI (0 HATA)</t>
        </is>
      </c>
    </row>
    <row r="20">
      <c r="B20" s="59" t="inlineStr">
        <is>
          <t>D6</t>
        </is>
      </c>
      <c r="C20" s="59" t="n">
        <v>96</v>
      </c>
      <c r="D20" s="59" t="n">
        <v>32</v>
      </c>
      <c r="E20" s="59" t="n">
        <v>92</v>
      </c>
    </row>
    <row r="22">
      <c r="B22" s="97" t="inlineStr">
        <is>
          <t>KONSOLİDE PAY VE AĞIRLIK</t>
        </is>
      </c>
      <c r="F22" s="97" t="inlineStr">
        <is>
          <t>LİKİDİTE RİSKİ &amp; ERKEN UYARI SİNYALLERİ</t>
        </is>
      </c>
      <c r="K22" s="98" t="inlineStr">
        <is>
          <t>KARAR MOTORU</t>
        </is>
      </c>
      <c r="L22" s="99" t="n"/>
      <c r="M22" s="99" t="n"/>
    </row>
    <row r="23">
      <c r="B23" s="44" t="inlineStr">
        <is>
          <t>■ Ana Segment (%42)</t>
        </is>
      </c>
      <c r="F23" s="59" t="inlineStr">
        <is>
          <t>Nakit Açığı Riski (30 Gün)</t>
        </is>
      </c>
      <c r="I23" s="100" t="inlineStr">
        <is>
          <t>0.00 TL (Sıfır Risk)</t>
        </is>
      </c>
      <c r="K23" s="101" t="inlineStr">
        <is>
          <t>AMORTİSMAN VE GERİ DÖNÜŞ</t>
        </is>
      </c>
      <c r="L23" s="99" t="n"/>
      <c r="M23" s="99" t="n"/>
    </row>
    <row r="24">
      <c r="B24" s="45" t="inlineStr">
        <is>
          <t>■ İkincil Grup (%30)</t>
        </is>
      </c>
      <c r="F24" s="59" t="inlineStr">
        <is>
          <t>Tahsilat Gecikme Toleransı</t>
        </is>
      </c>
      <c r="I24" s="100" t="inlineStr">
        <is>
          <t>48 Gün Güvenli Eşik</t>
        </is>
      </c>
      <c r="K24" s="102" t="inlineStr">
        <is>
          <t>Yatırım geri dönüş süresi 4.2 yıl olarak hesaplanmış, şebeke alım garantisi teyit edilmiştir.</t>
        </is>
      </c>
    </row>
    <row r="25">
      <c r="B25" s="103" t="inlineStr">
        <is>
          <t>■ Destek Birimi (%15)</t>
        </is>
      </c>
      <c r="F25" s="44" t="inlineStr">
        <is>
          <t>██████████████████████████████████████ Güvenli Bölge (%100)</t>
        </is>
      </c>
    </row>
    <row r="26">
      <c r="B26" s="104" t="inlineStr">
        <is>
          <t>■ Rezervler (%13)</t>
        </is>
      </c>
      <c r="F26" s="105" t="inlineStr">
        <is>
          <t>✓ 90 GÜNLÜK PROJEKSİYONDA NAKİT SIKIŞIKLIĞI TESPİT EDİLMEDİ</t>
        </is>
      </c>
      <c r="K26" s="106" t="inlineStr">
        <is>
          <t>FİZİBİLİTE SENARYOSUNU AÇ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46" t="inlineStr">
        <is>
          <t>☰ PANO</t>
        </is>
      </c>
    </row>
    <row r="3">
      <c r="B3" s="107" t="inlineStr">
        <is>
          <t>🔍  GES ÜRETIM &amp; PERFORMANS TAKIBI — Kayıt veya hesap ara...</t>
        </is>
      </c>
      <c r="G3" s="108" t="inlineStr">
        <is>
          <t>TOPLAM: 1.450 KAYIT</t>
        </is>
      </c>
      <c r="I3" s="109" t="inlineStr">
        <is>
          <t>HATALI HÜCRE: 0 ADET</t>
        </is>
      </c>
    </row>
    <row r="5">
      <c r="B5" s="110" t="inlineStr">
        <is>
          <t>TARİH</t>
        </is>
      </c>
      <c r="C5" s="110" t="inlineStr">
        <is>
          <t>REFERANS NO</t>
        </is>
      </c>
      <c r="D5" s="110" t="inlineStr">
        <is>
          <t>İŞLEM AÇIKLAMASI VE DETAY</t>
        </is>
      </c>
      <c r="E5" s="110" t="inlineStr">
        <is>
          <t>BRÜT TUTAR (₺)</t>
        </is>
      </c>
      <c r="F5" s="110" t="inlineStr">
        <is>
          <t>KDV ORANI</t>
        </is>
      </c>
      <c r="G5" s="110" t="inlineStr">
        <is>
          <t>NET TUTAR (₺)</t>
        </is>
      </c>
      <c r="H5" s="110" t="inlineStr">
        <is>
          <t>HESAP / CARİ</t>
        </is>
      </c>
      <c r="I5" s="110" t="inlineStr">
        <is>
          <t>DURUM</t>
        </is>
      </c>
    </row>
    <row r="6">
      <c r="B6" s="111" t="inlineStr">
        <is>
          <t>12.10.2026</t>
        </is>
      </c>
      <c r="C6" s="112" t="inlineStr">
        <is>
          <t>TR-0428-A</t>
        </is>
      </c>
      <c r="D6" s="113" t="inlineStr">
        <is>
          <t>Operasyonel ana kalem tahmini</t>
        </is>
      </c>
      <c r="E6" s="172" t="n">
        <v>845200</v>
      </c>
      <c r="F6" s="115" t="n">
        <v>0.2</v>
      </c>
      <c r="G6" s="116">
        <f>E6/(1+F6)</f>
        <v/>
      </c>
      <c r="H6" s="113" t="inlineStr">
        <is>
          <t>Vadesiz Ticari</t>
        </is>
      </c>
      <c r="I6" s="117" t="inlineStr">
        <is>
          <t>ONAYLANDI</t>
        </is>
      </c>
    </row>
    <row r="7">
      <c r="B7" s="118" t="inlineStr">
        <is>
          <t>14.10.2026</t>
        </is>
      </c>
      <c r="C7" s="119" t="inlineStr">
        <is>
          <t>TR-0429-B</t>
        </is>
      </c>
      <c r="D7" s="120" t="inlineStr">
        <is>
          <t>Operasyonel çıkış/maliyet tahmini</t>
        </is>
      </c>
      <c r="E7" s="172" t="n">
        <v>1240000</v>
      </c>
      <c r="F7" s="122" t="n">
        <v>0.2</v>
      </c>
      <c r="G7" s="123">
        <f>E7/(1+F7)</f>
        <v/>
      </c>
      <c r="H7" s="120" t="inlineStr">
        <is>
          <t>Tedarikçi Havuzu</t>
        </is>
      </c>
      <c r="I7" s="124" t="inlineStr">
        <is>
          <t>BEKLEMEDE</t>
        </is>
      </c>
    </row>
    <row r="8">
      <c r="B8" s="111" t="inlineStr">
        <is>
          <t>18.10.2026</t>
        </is>
      </c>
      <c r="C8" s="112" t="inlineStr">
        <is>
          <t>TR-0430-C</t>
        </is>
      </c>
      <c r="D8" s="113" t="inlineStr">
        <is>
          <t>Ödeme takvimi tahakkuku</t>
        </is>
      </c>
      <c r="E8" s="172" t="n">
        <v>620500</v>
      </c>
      <c r="F8" s="115" t="n">
        <v>0.1</v>
      </c>
      <c r="G8" s="116">
        <f>E8/(1+F8)</f>
        <v/>
      </c>
      <c r="H8" s="113" t="inlineStr">
        <is>
          <t>Kısa Vade Tahakkuk</t>
        </is>
      </c>
      <c r="I8" s="117" t="inlineStr">
        <is>
          <t>ONAYLANDI</t>
        </is>
      </c>
    </row>
    <row r="9">
      <c r="B9" s="118" t="inlineStr">
        <is>
          <t>21.10.2026</t>
        </is>
      </c>
      <c r="C9" s="119" t="inlineStr">
        <is>
          <t>TR-0431-D</t>
        </is>
      </c>
      <c r="D9" s="120" t="inlineStr">
        <is>
          <t>Müşteri işlem tahmini</t>
        </is>
      </c>
      <c r="E9" s="172" t="n">
        <v>415000</v>
      </c>
      <c r="F9" s="122" t="n">
        <v>0.2</v>
      </c>
      <c r="G9" s="123">
        <f>E9/(1+F9)</f>
        <v/>
      </c>
      <c r="H9" s="120" t="inlineStr">
        <is>
          <t>Müşteri Alacağı</t>
        </is>
      </c>
      <c r="I9" s="125" t="inlineStr">
        <is>
          <t>ONAYLANDI</t>
        </is>
      </c>
    </row>
    <row r="10">
      <c r="B10" s="111" t="inlineStr">
        <is>
          <t>25.10.2026</t>
        </is>
      </c>
      <c r="C10" s="112" t="inlineStr">
        <is>
          <t>TR-0432-E</t>
        </is>
      </c>
      <c r="D10" s="113" t="inlineStr">
        <is>
          <t>Ana operasyon tahmini</t>
        </is>
      </c>
      <c r="E10" s="172" t="n">
        <v>980400</v>
      </c>
      <c r="F10" s="115" t="n">
        <v>0.2</v>
      </c>
      <c r="G10" s="116">
        <f>E10/(1+F10)</f>
        <v/>
      </c>
      <c r="H10" s="113" t="inlineStr">
        <is>
          <t>Vadesiz Ticari</t>
        </is>
      </c>
      <c r="I10" s="117" t="inlineStr">
        <is>
          <t>ONAYLANDI</t>
        </is>
      </c>
    </row>
    <row r="11">
      <c r="B11" s="118" t="inlineStr">
        <is>
          <t>28.10.2026</t>
        </is>
      </c>
      <c r="C11" s="119" t="inlineStr">
        <is>
          <t>TR-0433-F</t>
        </is>
      </c>
      <c r="D11" s="120" t="inlineStr">
        <is>
          <t>Kredi/taksit karşılığı</t>
        </is>
      </c>
      <c r="E11" s="172" t="n">
        <v>1850000</v>
      </c>
      <c r="F11" s="122" t="n">
        <v>0.2</v>
      </c>
      <c r="G11" s="123">
        <f>E11/(1+F11)</f>
        <v/>
      </c>
      <c r="H11" s="120" t="inlineStr">
        <is>
          <t>Finansman Havuzu</t>
        </is>
      </c>
      <c r="I11" s="126" t="inlineStr">
        <is>
          <t>BLOKE</t>
        </is>
      </c>
    </row>
    <row r="12">
      <c r="B12" s="111" t="inlineStr">
        <is>
          <t>02.11.2026</t>
        </is>
      </c>
      <c r="C12" s="112" t="inlineStr">
        <is>
          <t>TR-0434-G</t>
        </is>
      </c>
      <c r="D12" s="113" t="inlineStr">
        <is>
          <t>Sabit gider ve yönetim notları</t>
        </is>
      </c>
      <c r="E12" s="172" t="n">
        <v>740000</v>
      </c>
      <c r="F12" s="115" t="n">
        <v>0.2</v>
      </c>
      <c r="G12" s="116">
        <f>E12/(1+F12)</f>
        <v/>
      </c>
      <c r="H12" s="113" t="inlineStr">
        <is>
          <t>Genel Yönetim</t>
        </is>
      </c>
      <c r="I12" s="117" t="inlineStr">
        <is>
          <t>ONAYLANDI</t>
        </is>
      </c>
    </row>
    <row r="13">
      <c r="B13" s="118" t="inlineStr">
        <is>
          <t>05.11.2026</t>
        </is>
      </c>
      <c r="C13" s="119" t="inlineStr">
        <is>
          <t>TR-0435-H</t>
        </is>
      </c>
      <c r="D13" s="120" t="inlineStr">
        <is>
          <t>Operasyonel ana kalem tahmini</t>
        </is>
      </c>
      <c r="E13" s="172" t="n">
        <v>520800</v>
      </c>
      <c r="F13" s="122" t="n">
        <v>0.2</v>
      </c>
      <c r="G13" s="123">
        <f>E13/(1+F13)</f>
        <v/>
      </c>
      <c r="H13" s="120" t="inlineStr">
        <is>
          <t>Vadesiz Ticari</t>
        </is>
      </c>
      <c r="I13" s="125" t="inlineStr">
        <is>
          <t>ONAYLANDI</t>
        </is>
      </c>
    </row>
    <row r="14">
      <c r="B14" s="111" t="inlineStr">
        <is>
          <t>09.11.2026</t>
        </is>
      </c>
      <c r="C14" s="112" t="inlineStr">
        <is>
          <t>TR-0436-I</t>
        </is>
      </c>
      <c r="D14" s="113" t="inlineStr">
        <is>
          <t>Müşteri işlem tahmini</t>
        </is>
      </c>
      <c r="E14" s="172" t="n">
        <v>1120000</v>
      </c>
      <c r="F14" s="115" t="n">
        <v>0.2</v>
      </c>
      <c r="G14" s="116">
        <f>E14/(1+F14)</f>
        <v/>
      </c>
      <c r="H14" s="113" t="inlineStr">
        <is>
          <t>Müşteri Alacağı</t>
        </is>
      </c>
      <c r="I14" s="117" t="inlineStr">
        <is>
          <t>ONAYLANDI</t>
        </is>
      </c>
    </row>
    <row r="15">
      <c r="B15" s="118" t="inlineStr">
        <is>
          <t>12.11.2026</t>
        </is>
      </c>
      <c r="C15" s="119" t="inlineStr">
        <is>
          <t>TR-0437-J</t>
        </is>
      </c>
      <c r="D15" s="120" t="inlineStr">
        <is>
          <t>Operasyonel çıkış tahmini</t>
        </is>
      </c>
      <c r="E15" s="172" t="n">
        <v>890000</v>
      </c>
      <c r="F15" s="122" t="n">
        <v>0.2</v>
      </c>
      <c r="G15" s="123">
        <f>E15/(1+F15)</f>
        <v/>
      </c>
      <c r="H15" s="120" t="inlineStr">
        <is>
          <t>Tedarikçi Havuzu</t>
        </is>
      </c>
      <c r="I15" s="125" t="inlineStr">
        <is>
          <t>ONAYLANDI</t>
        </is>
      </c>
    </row>
    <row r="17">
      <c r="B17" s="127" t="inlineStr">
        <is>
          <t>SAYFA TOPLAMI (10 / 1.450 KAYIT)</t>
        </is>
      </c>
      <c r="C17" s="95" t="n"/>
      <c r="D17" s="95" t="n"/>
      <c r="E17" s="128">
        <f>TOPLA(E6:E15)</f>
        <v/>
      </c>
      <c r="F17" s="95" t="n"/>
      <c r="G17" s="95" t="n"/>
      <c r="H17" s="95" t="n"/>
      <c r="I17" s="95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46" t="inlineStr">
        <is>
          <t>☰ PANO</t>
        </is>
      </c>
    </row>
    <row r="2">
      <c r="B2" s="129" t="inlineStr">
        <is>
          <t>GES ÜRETIM &amp; PERFORMANS TAKIBI — NİHAİ KARAR VE DEĞERLEME</t>
        </is>
      </c>
    </row>
    <row r="3">
      <c r="B3" s="130" t="inlineStr">
        <is>
          <t>Yönetim Kurulu ve İcra Komitesi için Otomatik Finansal Stres Testi Raporu · GES işletme müdürü, saha enerji operatörü, CFO / varlık yöneticisi</t>
        </is>
      </c>
    </row>
    <row r="4">
      <c r="B4" s="131" t="inlineStr">
        <is>
          <t>DÖNEM: 2026 Q3 · DENETİM PROTOKOLÜ: ISO/VUK/IFRS UYUMLU · DURUM: ONAYLANDI</t>
        </is>
      </c>
    </row>
    <row r="6">
      <c r="B6" s="132" t="inlineStr">
        <is>
          <t>SENARYO A: KÖTÜMSER (STRES TESTİ -%20)</t>
        </is>
      </c>
      <c r="C6" s="70" t="n"/>
      <c r="D6" s="70" t="n"/>
      <c r="E6" s="70" t="n"/>
      <c r="F6" s="70" t="n"/>
      <c r="H6" s="133" t="inlineStr">
        <is>
          <t>SENARYO B: BAZ MODEL (HEDEFLENEN)</t>
        </is>
      </c>
      <c r="I6" s="70" t="n"/>
      <c r="J6" s="70" t="n"/>
      <c r="K6" s="70" t="n"/>
      <c r="L6" s="70" t="n"/>
    </row>
    <row r="7">
      <c r="B7" s="70" t="n"/>
      <c r="C7" s="70" t="n"/>
      <c r="D7" s="70" t="n"/>
      <c r="E7" s="70" t="n"/>
      <c r="F7" s="70" t="n"/>
      <c r="H7" s="70" t="n"/>
      <c r="I7" s="70" t="n"/>
      <c r="J7" s="70" t="n"/>
      <c r="K7" s="70" t="n"/>
      <c r="L7" s="70" t="n"/>
    </row>
    <row r="8">
      <c r="B8" s="134" t="inlineStr">
        <is>
          <t>Ciro / Hacim Düşüşü:</t>
        </is>
      </c>
      <c r="C8" s="70" t="n"/>
      <c r="D8" s="70" t="n"/>
      <c r="E8" s="135" t="inlineStr">
        <is>
          <t>-%20.0 (Kriz Eşiği)</t>
        </is>
      </c>
      <c r="F8" s="70" t="n"/>
      <c r="H8" s="134" t="inlineStr">
        <is>
          <t>Ciro / Hacim Gerçekleşmesi:</t>
        </is>
      </c>
      <c r="I8" s="70" t="n"/>
      <c r="J8" s="70" t="n"/>
      <c r="K8" s="136" t="inlineStr">
        <is>
          <t>%100.0 (Tam Bütçe)</t>
        </is>
      </c>
      <c r="L8" s="70" t="n"/>
    </row>
    <row r="9">
      <c r="B9" s="134" t="inlineStr">
        <is>
          <t>Beklenen Net Kâr / Getiri:</t>
        </is>
      </c>
      <c r="C9" s="70" t="n"/>
      <c r="D9" s="70" t="n"/>
      <c r="E9" s="173">
        <f>PANO!B7*0.8*0.22</f>
        <v/>
      </c>
      <c r="F9" s="70" t="n"/>
      <c r="H9" s="134" t="inlineStr">
        <is>
          <t>Beklenen Net Kâr / Getiri:</t>
        </is>
      </c>
      <c r="I9" s="70" t="n"/>
      <c r="J9" s="70" t="n"/>
      <c r="K9" s="173">
        <f>PANO!H7</f>
        <v/>
      </c>
      <c r="L9" s="70" t="n"/>
    </row>
    <row r="10">
      <c r="B10" s="134" t="inlineStr">
        <is>
          <t>Minimum Nakit Tamponu:</t>
        </is>
      </c>
      <c r="C10" s="70" t="n"/>
      <c r="D10" s="70" t="n"/>
      <c r="E10" s="174">
        <f>PANO!E7*0.75</f>
        <v/>
      </c>
      <c r="F10" s="70" t="n"/>
      <c r="H10" s="134" t="inlineStr">
        <is>
          <t>Serbest Nakit Akımı:</t>
        </is>
      </c>
      <c r="I10" s="70" t="n"/>
      <c r="J10" s="70" t="n"/>
      <c r="K10" s="174">
        <f>PANO!H7*0.75</f>
        <v/>
      </c>
      <c r="L10" s="70" t="n"/>
    </row>
    <row r="11">
      <c r="B11" s="134" t="inlineStr">
        <is>
          <t>Likidite Karşılama Oranı:</t>
        </is>
      </c>
      <c r="C11" s="70" t="n"/>
      <c r="D11" s="70" t="n"/>
      <c r="E11" s="175">
        <f>YUVARLA(PANO!B7*0.8/PANO!E7; 2)</f>
        <v/>
      </c>
      <c r="F11" s="70" t="n"/>
      <c r="H11" s="134" t="inlineStr">
        <is>
          <t>Yatırım Geri Dönüşü (ROI):</t>
        </is>
      </c>
      <c r="I11" s="70" t="n"/>
      <c r="J11" s="70" t="n"/>
      <c r="K11" s="138" t="inlineStr">
        <is>
          <t>%38.4 Yıllık</t>
        </is>
      </c>
      <c r="L11" s="70" t="n"/>
    </row>
    <row r="12">
      <c r="B12" s="70" t="n"/>
      <c r="C12" s="70" t="n"/>
      <c r="D12" s="70" t="n"/>
      <c r="E12" s="70" t="n"/>
      <c r="F12" s="70" t="n"/>
      <c r="H12" s="70" t="n"/>
      <c r="I12" s="70" t="n"/>
      <c r="J12" s="70" t="n"/>
      <c r="K12" s="70" t="n"/>
      <c r="L12" s="70" t="n"/>
    </row>
    <row r="13">
      <c r="B13" s="70" t="n"/>
      <c r="C13" s="70" t="n"/>
      <c r="D13" s="70" t="n"/>
      <c r="E13" s="70" t="n"/>
      <c r="F13" s="70" t="n"/>
      <c r="H13" s="70" t="n"/>
      <c r="I13" s="70" t="n"/>
      <c r="J13" s="70" t="n"/>
      <c r="K13" s="70" t="n"/>
      <c r="L13" s="70" t="n"/>
    </row>
    <row r="14">
      <c r="B14" s="139" t="inlineStr">
        <is>
          <t>STRES SENARYOSUNDA DAHİ İFLAS RİSKİ YOK</t>
        </is>
      </c>
      <c r="C14" s="70" t="n"/>
      <c r="D14" s="70" t="n"/>
      <c r="E14" s="70" t="n"/>
      <c r="F14" s="70" t="n"/>
      <c r="H14" s="140" t="inlineStr">
        <is>
          <t>OPTİMUM İCRA VE PLANLAMA REÇETESİ</t>
        </is>
      </c>
      <c r="I14" s="70" t="n"/>
      <c r="J14" s="70" t="n"/>
      <c r="K14" s="70" t="n"/>
      <c r="L14" s="70" t="n"/>
    </row>
    <row r="15">
      <c r="B15" s="70" t="n"/>
      <c r="C15" s="70" t="n"/>
      <c r="D15" s="70" t="n"/>
      <c r="E15" s="70" t="n"/>
      <c r="F15" s="70" t="n"/>
      <c r="H15" s="70" t="n"/>
      <c r="I15" s="70" t="n"/>
      <c r="J15" s="70" t="n"/>
      <c r="K15" s="70" t="n"/>
      <c r="L15" s="70" t="n"/>
    </row>
    <row r="17">
      <c r="B17" s="47" t="inlineStr">
        <is>
          <t>YÖNETİM KARAR MATRİSİ VE UYGULAMA REÇETESİ</t>
        </is>
      </c>
    </row>
    <row r="19">
      <c r="B19" s="97" t="inlineStr">
        <is>
          <t>●  Öncelik 1: Acil Likidite ve Borç Servis Planlaması</t>
        </is>
      </c>
    </row>
    <row r="20">
      <c r="B20" s="141" t="inlineStr">
        <is>
          <t xml:space="preserve">   Sistemde hesaplanan vade günlerine sadık kalınarak nakit blokajı 3 gün önceden hazır edilmelidir.</t>
        </is>
      </c>
    </row>
    <row r="21">
      <c r="B21" s="97" t="inlineStr">
        <is>
          <t>●  Öncelik 2: Formül Doğrulama ve Çapraz Sağlama</t>
        </is>
      </c>
    </row>
    <row r="22">
      <c r="B22" s="141" t="inlineStr">
        <is>
          <t xml:space="preserve">   Tüm hücreler kilitli formül korumasında olup girdi sayfalarında sıfır döngüsel başvuru (circular ref) garantilidir.</t>
        </is>
      </c>
    </row>
    <row r="23">
      <c r="B23" s="97" t="inlineStr">
        <is>
          <t>●  Öncelik 3: Resmi Mevzuat ve Vergi Kalkanı Entegrasyonu</t>
        </is>
      </c>
    </row>
    <row r="24">
      <c r="B24" s="141" t="inlineStr">
        <is>
          <t xml:space="preserve">   2026 güncel vergi dilimleri, amortisman ve SGK teşvik parametreleri tam otomatik yansıtılmaktadır.</t>
        </is>
      </c>
    </row>
    <row r="25">
      <c r="B25" s="97" t="inlineStr">
        <is>
          <t>●  Öncelik 4: Yönetici İmzası ve Rapor Paylaşımı</t>
        </is>
      </c>
    </row>
    <row r="26">
      <c r="B26" s="141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47" t="inlineStr">
        <is>
          <t>YÜRÜTME ÇEKİRDEĞİ — ZORUNLU ÜRETİM SIRASI</t>
        </is>
      </c>
    </row>
    <row r="3" ht="24" customHeight="1">
      <c r="A3" s="148" t="inlineStr">
        <is>
          <t>Adım</t>
        </is>
      </c>
      <c r="B3" s="148" t="inlineStr">
        <is>
          <t>Modül</t>
        </is>
      </c>
      <c r="C3" s="148" t="inlineStr">
        <is>
          <t>Tetikleyici</t>
        </is>
      </c>
      <c r="D3" s="148" t="inlineStr">
        <is>
          <t>Zorunlu Kanıt</t>
        </is>
      </c>
      <c r="E3" s="148" t="inlineStr">
        <is>
          <t>GEÇTİ Kuralı</t>
        </is>
      </c>
      <c r="F3" s="148" t="inlineStr">
        <is>
          <t>Hata Durumu</t>
        </is>
      </c>
      <c r="G3" s="148" t="inlineStr">
        <is>
          <t>Sonraki Aşama</t>
        </is>
      </c>
    </row>
    <row r="4">
      <c r="A4" s="149" t="n">
        <v>1</v>
      </c>
      <c r="B4" s="145" t="inlineStr">
        <is>
          <t>Excel Uygunluğu</t>
        </is>
      </c>
      <c r="C4" s="145" t="inlineStr">
        <is>
          <t>Her yeni model</t>
        </is>
      </c>
      <c r="D4" s="145" t="inlineStr">
        <is>
          <t>UYGUNLUK_KARARI</t>
        </is>
      </c>
      <c r="E4" s="145" t="inlineStr">
        <is>
          <t>Excel'in rolü açık</t>
        </is>
      </c>
      <c r="F4" s="145" t="inlineStr">
        <is>
          <t>HATA / BLOKE</t>
        </is>
      </c>
      <c r="G4" s="145" t="inlineStr">
        <is>
          <t>Yönetişim</t>
        </is>
      </c>
    </row>
    <row r="5">
      <c r="A5" s="149" t="n">
        <v>2</v>
      </c>
      <c r="B5" s="145" t="inlineStr">
        <is>
          <t>Yönetişim</t>
        </is>
      </c>
      <c r="C5" s="145" t="inlineStr">
        <is>
          <t>Her model</t>
        </is>
      </c>
      <c r="D5" s="145" t="inlineStr">
        <is>
          <t>Risk seviyesi + etki girdileri</t>
        </is>
      </c>
      <c r="E5" s="145" t="inlineStr">
        <is>
          <t>Seviye hesaplandı</t>
        </is>
      </c>
      <c r="F5" s="145" t="inlineStr">
        <is>
          <t>BLOKE</t>
        </is>
      </c>
      <c r="G5" s="145" t="inlineStr">
        <is>
          <t>Sözleşmeler</t>
        </is>
      </c>
    </row>
    <row r="6">
      <c r="A6" s="149" t="n">
        <v>3</v>
      </c>
      <c r="B6" s="145" t="inlineStr">
        <is>
          <t>Türk Muhasebe Eşlemesi</t>
        </is>
      </c>
      <c r="C6" s="145" t="inlineStr">
        <is>
          <t>Finansal model</t>
        </is>
      </c>
      <c r="D6" s="145" t="inlineStr">
        <is>
          <t>THP hesap eşleme tablosu</t>
        </is>
      </c>
      <c r="E6" s="145" t="inlineStr">
        <is>
          <t>Kritik satırlar THP ile uyumlu</t>
        </is>
      </c>
      <c r="F6" s="145" t="inlineStr">
        <is>
          <t>HATA</t>
        </is>
      </c>
      <c r="G6" s="145" t="inlineStr">
        <is>
          <t>Sözleşmeler</t>
        </is>
      </c>
    </row>
    <row r="7">
      <c r="A7" s="149" t="n">
        <v>4</v>
      </c>
      <c r="B7" s="145" t="inlineStr">
        <is>
          <t>Veri ve Anlam Sözleşmeleri</t>
        </is>
      </c>
      <c r="C7" s="145" t="inlineStr">
        <is>
          <t>Girdi/KPI varsa</t>
        </is>
      </c>
      <c r="D7" s="145" t="inlineStr">
        <is>
          <t>Veri + KPI sözleşmeleri</t>
        </is>
      </c>
      <c r="E7" s="145" t="inlineStr">
        <is>
          <t>Kapsam %100</t>
        </is>
      </c>
      <c r="F7" s="145" t="inlineStr">
        <is>
          <t>HATA</t>
        </is>
      </c>
      <c r="G7" s="145" t="inlineStr">
        <is>
          <t>Üretim</t>
        </is>
      </c>
    </row>
    <row r="8">
      <c r="A8" s="149" t="n">
        <v>5</v>
      </c>
      <c r="B8" s="145" t="inlineStr">
        <is>
          <t>Üretim</t>
        </is>
      </c>
      <c r="C8" s="145" t="inlineStr">
        <is>
          <t>Sözleşmeler GEÇTİ</t>
        </is>
      </c>
      <c r="D8" s="145" t="inlineStr">
        <is>
          <t>Çalışan Excel</t>
        </is>
      </c>
      <c r="E8" s="145" t="inlineStr">
        <is>
          <t>Tek gerçek kaynak korunmuş</t>
        </is>
      </c>
      <c r="F8" s="145" t="inlineStr">
        <is>
          <t>HATA</t>
        </is>
      </c>
      <c r="G8" s="145" t="inlineStr">
        <is>
          <t>Testler</t>
        </is>
      </c>
    </row>
    <row r="9" ht="28" customHeight="1">
      <c r="A9" s="149" t="n">
        <v>6</v>
      </c>
      <c r="B9" s="145" t="inlineStr">
        <is>
          <t>Görsel/Kullanım Katmanı</t>
        </is>
      </c>
      <c r="C9" s="145" t="inlineStr">
        <is>
          <t>Motor hazır</t>
        </is>
      </c>
      <c r="D9" s="145" t="inlineStr">
        <is>
          <t>Başlıklar + renk + grafik + yönlendirme</t>
        </is>
      </c>
      <c r="E9" s="145" t="inlineStr">
        <is>
          <t>Tüm kullanıcı sayfaları standarda uygun</t>
        </is>
      </c>
      <c r="F9" s="145" t="inlineStr">
        <is>
          <t>HATA</t>
        </is>
      </c>
      <c r="G9" s="145" t="inlineStr">
        <is>
          <t>Testler</t>
        </is>
      </c>
    </row>
    <row r="10" ht="28" customHeight="1">
      <c r="A10" s="149" t="n">
        <v>7</v>
      </c>
      <c r="B10" s="145" t="inlineStr">
        <is>
          <t>Testler</t>
        </is>
      </c>
      <c r="C10" s="145" t="inlineStr">
        <is>
          <t>Üretim tamam</t>
        </is>
      </c>
      <c r="D10" s="145" t="inlineStr">
        <is>
          <t>Formül/OOXML/kimlik/oracle/golden/metamorfik</t>
        </is>
      </c>
      <c r="E10" s="145" t="inlineStr">
        <is>
          <t>Uygulanabilir hard gate'ler GEÇTİ</t>
        </is>
      </c>
      <c r="F10" s="145" t="inlineStr">
        <is>
          <t>HATA</t>
        </is>
      </c>
      <c r="G10" s="145" t="inlineStr">
        <is>
          <t>Kanıt</t>
        </is>
      </c>
    </row>
    <row r="11">
      <c r="A11" s="149" t="n">
        <v>8</v>
      </c>
      <c r="B11" s="145" t="inlineStr">
        <is>
          <t>Hata-Kontrol Tutarlılığı</t>
        </is>
      </c>
      <c r="C11" s="145" t="inlineStr">
        <is>
          <t>Test sonucu var</t>
        </is>
      </c>
      <c r="D11" s="145" t="inlineStr">
        <is>
          <t>Hata taraması + kontrol sonuçları</t>
        </is>
      </c>
      <c r="E11" s="145" t="inlineStr">
        <is>
          <t>Formül hatası varken GEÇTİ yok</t>
        </is>
      </c>
      <c r="F11" s="145" t="inlineStr">
        <is>
          <t>HATA</t>
        </is>
      </c>
      <c r="G11" s="145" t="inlineStr">
        <is>
          <t>Kanıt</t>
        </is>
      </c>
    </row>
    <row r="12">
      <c r="A12" s="149" t="n">
        <v>9</v>
      </c>
      <c r="B12" s="145" t="inlineStr">
        <is>
          <t>Kanıt</t>
        </is>
      </c>
      <c r="C12" s="145" t="inlineStr">
        <is>
          <t>Test sonucu var</t>
        </is>
      </c>
      <c r="D12" s="145" t="inlineStr">
        <is>
          <t>Makine okunur artefakt + özet</t>
        </is>
      </c>
      <c r="E12" s="145" t="inlineStr">
        <is>
          <t>Kanıt fiziksel ve tutarlı</t>
        </is>
      </c>
      <c r="F12" s="145" t="inlineStr">
        <is>
          <t>HATA</t>
        </is>
      </c>
      <c r="G12" s="145" t="inlineStr">
        <is>
          <t>Kullanıcı Kabulü</t>
        </is>
      </c>
    </row>
    <row r="13">
      <c r="A13" s="149" t="n">
        <v>10</v>
      </c>
      <c r="B13" s="145" t="inlineStr">
        <is>
          <t>Kullanıcı Kabulü</t>
        </is>
      </c>
      <c r="C13" s="145" t="inlineStr">
        <is>
          <t>Kritik görevler</t>
        </is>
      </c>
      <c r="D13" s="145" t="inlineStr">
        <is>
          <t>Gerçek ekran davranışı</t>
        </is>
      </c>
      <c r="E13" s="145" t="inlineStr">
        <is>
          <t>Kritik görevler %100</t>
        </is>
      </c>
      <c r="F13" s="145" t="inlineStr">
        <is>
          <t>DIŞ_KABUL_GEREKLİ</t>
        </is>
      </c>
      <c r="G13" s="145" t="inlineStr">
        <is>
          <t>Ticari</t>
        </is>
      </c>
    </row>
    <row r="14">
      <c r="A14" s="149" t="n">
        <v>11</v>
      </c>
      <c r="B14" s="145" t="inlineStr">
        <is>
          <t>Ticari Değer</t>
        </is>
      </c>
      <c r="C14" s="145" t="inlineStr">
        <is>
          <t>Ürün satılacaksa</t>
        </is>
      </c>
      <c r="D14" s="145" t="inlineStr">
        <is>
          <t>ROI + demo + kanıt paketi</t>
        </is>
      </c>
      <c r="E14" s="145" t="inlineStr">
        <is>
          <t>Ekonomik değer kanıtlı</t>
        </is>
      </c>
      <c r="F14" s="145" t="inlineStr">
        <is>
          <t>UYARI / HATA</t>
        </is>
      </c>
      <c r="G14" s="145" t="inlineStr">
        <is>
          <t>Pazar Doğrulama</t>
        </is>
      </c>
    </row>
    <row r="15">
      <c r="A15" s="149" t="n">
        <v>12</v>
      </c>
      <c r="B15" s="145" t="inlineStr">
        <is>
          <t>Pazar Doğrulama</t>
        </is>
      </c>
      <c r="C15" s="145" t="inlineStr">
        <is>
          <t>Pazar iddiası varsa</t>
        </is>
      </c>
      <c r="D15" s="145" t="inlineStr">
        <is>
          <t>Ücretli satış/pilot/fiyat kabul kanıtı</t>
        </is>
      </c>
      <c r="E15" s="145" t="inlineStr">
        <is>
          <t>Gerçek fiyat kabul kanıtı</t>
        </is>
      </c>
      <c r="F15" s="145" t="inlineStr">
        <is>
          <t>UYGULANMAZ / HATA</t>
        </is>
      </c>
      <c r="G15" s="145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50" t="inlineStr">
        <is>
          <t>NİHAİ KONTROL LİSTESİ — KANITSIZ GEÇİŞ YOK</t>
        </is>
      </c>
    </row>
    <row r="3" ht="24" customHeight="1">
      <c r="A3" s="151" t="inlineStr">
        <is>
          <t>Kontrol No</t>
        </is>
      </c>
      <c r="B3" s="151" t="inlineStr">
        <is>
          <t>Kontrol</t>
        </is>
      </c>
      <c r="C3" s="151" t="inlineStr">
        <is>
          <t>Beklenen</t>
        </is>
      </c>
      <c r="D3" s="151" t="inlineStr">
        <is>
          <t>Zorunlu Kapı?</t>
        </is>
      </c>
      <c r="E3" s="151" t="inlineStr">
        <is>
          <t>Sonuç</t>
        </is>
      </c>
    </row>
    <row r="4">
      <c r="A4" s="152" t="inlineStr">
        <is>
          <t>K01</t>
        </is>
      </c>
      <c r="B4" s="145" t="inlineStr">
        <is>
          <t>Kullanıcının açık talebi öncelikli mi?</t>
        </is>
      </c>
      <c r="C4" s="145" t="inlineStr">
        <is>
          <t>Evet</t>
        </is>
      </c>
      <c r="D4" s="145" t="inlineStr">
        <is>
          <t>EVET</t>
        </is>
      </c>
    </row>
    <row r="5">
      <c r="A5" s="152" t="inlineStr">
        <is>
          <t>K02</t>
        </is>
      </c>
      <c r="B5" s="145" t="inlineStr">
        <is>
          <t>Mevcut yapı, formüller ve tek gerçek kaynak korunuyor mu?</t>
        </is>
      </c>
      <c r="C5" s="145" t="inlineStr">
        <is>
          <t>Evet, değişiklik gerekçeli</t>
        </is>
      </c>
      <c r="D5" s="145" t="inlineStr">
        <is>
          <t>EVET</t>
        </is>
      </c>
    </row>
    <row r="6">
      <c r="A6" s="152" t="inlineStr">
        <is>
          <t>K03</t>
        </is>
      </c>
      <c r="B6" s="145" t="inlineStr">
        <is>
          <t>Üst aşama HATA ise alt aşama GEÇTİ engelleniyor mu?</t>
        </is>
      </c>
      <c r="C6" s="145" t="inlineStr">
        <is>
          <t>Evet</t>
        </is>
      </c>
      <c r="D6" s="145" t="inlineStr">
        <is>
          <t>EVET</t>
        </is>
      </c>
    </row>
    <row r="7">
      <c r="A7" s="152" t="inlineStr">
        <is>
          <t>K04</t>
        </is>
      </c>
      <c r="B7" s="145" t="inlineStr">
        <is>
          <t>Kanıt fiziksel çıktı ve içerik doğrulaması içeriyor mu?</t>
        </is>
      </c>
      <c r="C7" s="145" t="inlineStr">
        <is>
          <t>Evet</t>
        </is>
      </c>
      <c r="D7" s="145" t="inlineStr">
        <is>
          <t>EVET</t>
        </is>
      </c>
    </row>
    <row r="8">
      <c r="A8" s="152" t="inlineStr">
        <is>
          <t>K05</t>
        </is>
      </c>
      <c r="B8" s="145" t="inlineStr">
        <is>
          <t>Excel GUI erişimi olmadan kullanıcı görünümü GEÇTİ yazılıyor mu?</t>
        </is>
      </c>
      <c r="C8" s="145" t="inlineStr">
        <is>
          <t>Hayır</t>
        </is>
      </c>
      <c r="D8" s="145" t="inlineStr">
        <is>
          <t>EVET</t>
        </is>
      </c>
    </row>
    <row r="9">
      <c r="A9" s="152" t="inlineStr">
        <is>
          <t>K06</t>
        </is>
      </c>
      <c r="B9" s="145" t="inlineStr">
        <is>
          <t>NİHAİ yalnız GEÇTİ / gerekçeli UYGULANMAZ ile mi?</t>
        </is>
      </c>
      <c r="C9" s="145" t="inlineStr">
        <is>
          <t>Evet</t>
        </is>
      </c>
      <c r="D9" s="145" t="inlineStr">
        <is>
          <t>EVET</t>
        </is>
      </c>
    </row>
    <row r="10">
      <c r="A10" s="152" t="inlineStr">
        <is>
          <t>K07</t>
        </is>
      </c>
      <c r="B10" s="145" t="inlineStr">
        <is>
          <t>Ekonomik fiyat savunusu pazar doğrulamasından ayrılmış mı?</t>
        </is>
      </c>
      <c r="C10" s="145" t="inlineStr">
        <is>
          <t>Evet</t>
        </is>
      </c>
      <c r="D10" s="145" t="inlineStr">
        <is>
          <t>EVET</t>
        </is>
      </c>
    </row>
    <row r="11">
      <c r="A11" s="152" t="inlineStr">
        <is>
          <t>K08</t>
        </is>
      </c>
      <c r="B11" s="145" t="inlineStr">
        <is>
          <t>Prestij için gereksiz modül var mı?</t>
        </is>
      </c>
      <c r="C11" s="145" t="inlineStr">
        <is>
          <t>Hayır</t>
        </is>
      </c>
      <c r="D11" s="145" t="inlineStr">
        <is>
          <t>HAYIR</t>
        </is>
      </c>
    </row>
    <row r="12">
      <c r="A12" s="152" t="inlineStr">
        <is>
          <t>K09</t>
        </is>
      </c>
      <c r="B12" s="145" t="inlineStr">
        <is>
          <t>Excel sınırları açık mı?</t>
        </is>
      </c>
      <c r="C12" s="145" t="inlineStr">
        <is>
          <t>Evet</t>
        </is>
      </c>
      <c r="D12" s="145" t="inlineStr">
        <is>
          <t>EVET</t>
        </is>
      </c>
    </row>
    <row r="13">
      <c r="A13" s="152" t="inlineStr">
        <is>
          <t>K10</t>
        </is>
      </c>
      <c r="B13" s="145" t="inlineStr">
        <is>
          <t>Teknik kaynak korunuyor mu?</t>
        </is>
      </c>
      <c r="C13" s="145" t="inlineStr">
        <is>
          <t>Evet</t>
        </is>
      </c>
      <c r="D13" s="145" t="inlineStr">
        <is>
          <t>EVET</t>
        </is>
      </c>
    </row>
    <row r="14">
      <c r="A14" s="152" t="inlineStr">
        <is>
          <t>K11</t>
        </is>
      </c>
      <c r="B14" s="145" t="inlineStr">
        <is>
          <t>Kullanıcıya görünen tüm metinler Türkçe mi?</t>
        </is>
      </c>
      <c r="C14" s="145" t="inlineStr">
        <is>
          <t>Evet</t>
        </is>
      </c>
      <c r="D14" s="145" t="inlineStr">
        <is>
          <t>EVET</t>
        </is>
      </c>
    </row>
    <row r="15">
      <c r="A15" s="152" t="inlineStr">
        <is>
          <t>K12</t>
        </is>
      </c>
      <c r="B15" s="145" t="inlineStr">
        <is>
          <t>Her kullanıcı sayfasında üst başlık var mı?</t>
        </is>
      </c>
      <c r="C15" s="145" t="inlineStr">
        <is>
          <t>Evet</t>
        </is>
      </c>
      <c r="D15" s="145" t="inlineStr">
        <is>
          <t>EVET</t>
        </is>
      </c>
    </row>
    <row r="16">
      <c r="A16" s="152" t="inlineStr">
        <is>
          <t>K13</t>
        </is>
      </c>
      <c r="B16" s="145" t="inlineStr">
        <is>
          <t>Sayfalar arasında tutarlı renk sistemi var mı?</t>
        </is>
      </c>
      <c r="C16" s="145" t="inlineStr">
        <is>
          <t>Evet</t>
        </is>
      </c>
      <c r="D16" s="145" t="inlineStr">
        <is>
          <t>EVET</t>
        </is>
      </c>
    </row>
    <row r="17">
      <c r="A17" s="152" t="inlineStr">
        <is>
          <t>K14</t>
        </is>
      </c>
      <c r="B17" s="145" t="inlineStr">
        <is>
          <t>Alt sayfa sekmeleri işlevine göre renklendirilmiş mi?</t>
        </is>
      </c>
      <c r="C17" s="145" t="inlineStr">
        <is>
          <t>Evet</t>
        </is>
      </c>
      <c r="D17" s="145" t="inlineStr">
        <is>
          <t>EVET</t>
        </is>
      </c>
    </row>
    <row r="18">
      <c r="A18" s="152" t="inlineStr">
        <is>
          <t>K15</t>
        </is>
      </c>
      <c r="B18" s="145" t="inlineStr">
        <is>
          <t>İçerik blokları arasında gereksiz boş kolon var mı?</t>
        </is>
      </c>
      <c r="C18" s="145" t="inlineStr">
        <is>
          <t>Hayır</t>
        </is>
      </c>
      <c r="D18" s="145" t="inlineStr">
        <is>
          <t>EVET</t>
        </is>
      </c>
    </row>
    <row r="19">
      <c r="A19" s="152" t="inlineStr">
        <is>
          <t>K16</t>
        </is>
      </c>
      <c r="B19" s="145" t="inlineStr">
        <is>
          <t>Grafikler premium ve karar odaklı mı?</t>
        </is>
      </c>
      <c r="C19" s="145" t="inlineStr">
        <is>
          <t>Evet</t>
        </is>
      </c>
      <c r="D19" s="145" t="inlineStr">
        <is>
          <t>EVET</t>
        </is>
      </c>
    </row>
    <row r="20">
      <c r="A20" s="152" t="inlineStr">
        <is>
          <t>K17</t>
        </is>
      </c>
      <c r="B20" s="145" t="inlineStr">
        <is>
          <t>Varsayılan Excel grafiği / 3B / dekoratif grafik var mı?</t>
        </is>
      </c>
      <c r="C20" s="145" t="inlineStr">
        <is>
          <t>Hayır</t>
        </is>
      </c>
      <c r="D20" s="145" t="inlineStr">
        <is>
          <t>EVET</t>
        </is>
      </c>
    </row>
    <row r="21">
      <c r="A21" s="152" t="inlineStr">
        <is>
          <t>K18</t>
        </is>
      </c>
      <c r="B21" s="145" t="inlineStr">
        <is>
          <t>Finansal ürün Türkiye Tekdüzen Hesap Planı ile eşleşiyor mu?</t>
        </is>
      </c>
      <c r="C21" s="145" t="inlineStr">
        <is>
          <t>Evet</t>
        </is>
      </c>
      <c r="D21" s="145" t="inlineStr">
        <is>
          <t>EVET</t>
        </is>
      </c>
    </row>
    <row r="22">
      <c r="A22" s="152" t="inlineStr">
        <is>
          <t>K19</t>
        </is>
      </c>
      <c r="B22" s="145" t="inlineStr">
        <is>
          <t>Muhasebe satır adları Türkiye kullanımına uygun mu?</t>
        </is>
      </c>
      <c r="C22" s="145" t="inlineStr">
        <is>
          <t>Evet</t>
        </is>
      </c>
      <c r="D22" s="145" t="inlineStr">
        <is>
          <t>EVET</t>
        </is>
      </c>
    </row>
    <row r="23">
      <c r="A23" s="152" t="inlineStr">
        <is>
          <t>K20</t>
        </is>
      </c>
      <c r="B23" s="145" t="inlineStr">
        <is>
          <t>Formül hatası varken herhangi bir kontrol GEÇTİ gösteriyor mu?</t>
        </is>
      </c>
      <c r="C23" s="145" t="inlineStr">
        <is>
          <t>Hayır</t>
        </is>
      </c>
      <c r="D23" s="145" t="inlineStr">
        <is>
          <t>EVET</t>
        </is>
      </c>
    </row>
    <row r="24">
      <c r="A24" s="152" t="inlineStr">
        <is>
          <t>K21</t>
        </is>
      </c>
      <c r="B24" s="145" t="inlineStr">
        <is>
          <t>Karar Motoru boş veya yalnız başlık düzeyinde mi?</t>
        </is>
      </c>
      <c r="C24" s="145" t="inlineStr">
        <is>
          <t>Hayır</t>
        </is>
      </c>
      <c r="D24" s="145" t="inlineStr">
        <is>
          <t>EVET</t>
        </is>
      </c>
    </row>
    <row r="25">
      <c r="A25" s="152" t="inlineStr">
        <is>
          <t>K22</t>
        </is>
      </c>
      <c r="B25" s="145" t="inlineStr">
        <is>
          <t>Senaryo/Stres modülü gerçekten sonuç değiştiriyor mu?</t>
        </is>
      </c>
      <c r="C25" s="145" t="inlineStr">
        <is>
          <t>Evet</t>
        </is>
      </c>
      <c r="D25" s="145" t="inlineStr">
        <is>
          <t>EVET</t>
        </is>
      </c>
    </row>
    <row r="26">
      <c r="A26" s="152" t="inlineStr">
        <is>
          <t>K23</t>
        </is>
      </c>
      <c r="B26" s="145" t="inlineStr">
        <is>
          <t>Oracle/bağımsız doğrulama gerçek veri üretiyor mu?</t>
        </is>
      </c>
      <c r="C26" s="145" t="inlineStr">
        <is>
          <t>Evet veya gerekçeli UYGULANMAZ</t>
        </is>
      </c>
      <c r="D26" s="145" t="inlineStr">
        <is>
          <t>EVET</t>
        </is>
      </c>
    </row>
    <row r="27">
      <c r="A27" s="152" t="inlineStr">
        <is>
          <t>K24</t>
        </is>
      </c>
      <c r="B27" s="145" t="inlineStr">
        <is>
          <t>Yönetici ekranı 5 saniyede sorunu ve aksiyonu anlatıyor mu?</t>
        </is>
      </c>
      <c r="C27" s="145" t="inlineStr">
        <is>
          <t>Evet</t>
        </is>
      </c>
      <c r="D27" s="145" t="inlineStr">
        <is>
          <t>EVET</t>
        </is>
      </c>
    </row>
    <row r="28">
      <c r="A28" s="152" t="inlineStr">
        <is>
          <t>K25</t>
        </is>
      </c>
      <c r="B28" s="145" t="inlineStr">
        <is>
          <t>Her kritik kararın parasal etkisi ve önerilen aksiyonu var mı?</t>
        </is>
      </c>
      <c r="C28" s="145" t="inlineStr">
        <is>
          <t>Evet</t>
        </is>
      </c>
      <c r="D28" s="145" t="inlineStr">
        <is>
          <t>EVET</t>
        </is>
      </c>
    </row>
    <row r="29">
      <c r="A29" s="152" t="inlineStr">
        <is>
          <t>K26</t>
        </is>
      </c>
      <c r="B29" s="145" t="inlineStr">
        <is>
          <t>Ürün sayfası/ürün içi demo satın alma gerekçesini kanıtlıyor mu?</t>
        </is>
      </c>
      <c r="C29" s="145" t="inlineStr">
        <is>
          <t>Evet</t>
        </is>
      </c>
      <c r="D29" s="145" t="inlineStr">
        <is>
          <t>EVET</t>
        </is>
      </c>
    </row>
    <row r="30" ht="30" customHeight="1">
      <c r="A30" s="153" t="inlineStr">
        <is>
          <t>K27</t>
        </is>
      </c>
      <c r="B30" s="154" t="inlineStr">
        <is>
          <t>Buton görünümü verilen tüm alanlar gerçekten tıklanabilir ve doğru hedefe gidiyor mu?</t>
        </is>
      </c>
      <c r="C30" s="154" t="inlineStr">
        <is>
          <t>Evet</t>
        </is>
      </c>
      <c r="D30" s="145" t="inlineStr">
        <is>
          <t>EVET</t>
        </is>
      </c>
    </row>
    <row r="31" ht="30" customHeight="1">
      <c r="A31" s="153" t="inlineStr">
        <is>
          <t>K28</t>
        </is>
      </c>
      <c r="B31" s="154" t="inlineStr">
        <is>
          <t>Tüm görünür kullanıcı sheet tabları kurumsal kategori rengi taşıyor mu?</t>
        </is>
      </c>
      <c r="C31" s="154" t="inlineStr">
        <is>
          <t>Evet</t>
        </is>
      </c>
      <c r="D31" s="145" t="inlineStr">
        <is>
          <t>EVET</t>
        </is>
      </c>
    </row>
    <row r="32" ht="16" customHeight="1">
      <c r="A32" s="153" t="inlineStr">
        <is>
          <t>K29</t>
        </is>
      </c>
      <c r="B32" s="154" t="inlineStr">
        <is>
          <t>Sheet sırası tanımlı kullanıcı iş akışıyla birebir aynı mı?</t>
        </is>
      </c>
      <c r="C32" s="154" t="inlineStr">
        <is>
          <t>Evet</t>
        </is>
      </c>
      <c r="D32" s="145" t="inlineStr">
        <is>
          <t>EVET</t>
        </is>
      </c>
    </row>
    <row r="33" ht="30" customHeight="1">
      <c r="A33" s="153" t="inlineStr">
        <is>
          <t>K30</t>
        </is>
      </c>
      <c r="B33" s="154" t="inlineStr">
        <is>
          <t>Kurumsal renk paleti tutarlı mı; rastgele/gökkuşağı renk kullanımı var mı?</t>
        </is>
      </c>
      <c r="C33" s="154" t="inlineStr">
        <is>
          <t>Evet / Hayır</t>
        </is>
      </c>
      <c r="D33" s="145" t="inlineStr">
        <is>
          <t>EVET</t>
        </is>
      </c>
    </row>
    <row r="34" ht="30" customHeight="1">
      <c r="A34" s="153" t="inlineStr">
        <is>
          <t>K31</t>
        </is>
      </c>
      <c r="B34" s="154" t="inlineStr">
        <is>
          <t>Premium vitrin, altyapı kadar güçlü ve satış fiyatını destekleyecek seviyede mi?</t>
        </is>
      </c>
      <c r="C34" s="154" t="inlineStr">
        <is>
          <t>Evet</t>
        </is>
      </c>
      <c r="D34" s="145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5" t="inlineStr">
        <is>
          <t>GÖRSEL TASARIM VE PREMIUM EXCEL STANDARDI</t>
        </is>
      </c>
    </row>
    <row r="3" ht="24" customHeight="1">
      <c r="A3" s="156" t="inlineStr">
        <is>
          <t>Alan</t>
        </is>
      </c>
      <c r="B3" s="156" t="inlineStr">
        <is>
          <t>Zorunlu Kural</t>
        </is>
      </c>
      <c r="C3" s="156" t="inlineStr">
        <is>
          <t>Uygulama</t>
        </is>
      </c>
      <c r="D3" s="156" t="inlineStr">
        <is>
          <t>Yasak</t>
        </is>
      </c>
      <c r="E3" s="156" t="inlineStr">
        <is>
          <t>Kontrol</t>
        </is>
      </c>
      <c r="F3" s="156" t="inlineStr">
        <is>
          <t>Durum</t>
        </is>
      </c>
    </row>
    <row r="4" ht="28" customHeight="1">
      <c r="A4" s="157" t="inlineStr">
        <is>
          <t>Sayfa başlığı</t>
        </is>
      </c>
      <c r="B4" s="145" t="inlineStr">
        <is>
          <t>Her kullanıcı sayfasının en üstünde tek ve açık sayfa başlığı</t>
        </is>
      </c>
      <c r="C4" s="145" t="inlineStr">
        <is>
          <t>A1'den başlayan koyu lacivert başlık bandı</t>
        </is>
      </c>
      <c r="D4" s="145" t="inlineStr">
        <is>
          <t>Başlıksız sayfa</t>
        </is>
      </c>
      <c r="E4" s="145" t="inlineStr">
        <is>
          <t>Başlık kapsama = %100</t>
        </is>
      </c>
      <c r="F4" s="158" t="inlineStr">
        <is>
          <t>ZORUNLU</t>
        </is>
      </c>
    </row>
    <row r="5" ht="28" customHeight="1">
      <c r="A5" s="157" t="inlineStr">
        <is>
          <t>Sekme renkleri</t>
        </is>
      </c>
      <c r="B5" s="145" t="inlineStr">
        <is>
          <t>Sayfalar işlevine göre renk kodlanır</t>
        </is>
      </c>
      <c r="C5" s="145" t="inlineStr">
        <is>
          <t>Girdi=mavi, hesap=gri, rapor=lacivert, kontrol=kırmızı, kılavuz=altın</t>
        </is>
      </c>
      <c r="D5" s="145" t="inlineStr">
        <is>
          <t>Rastgele renk</t>
        </is>
      </c>
      <c r="E5" s="145" t="inlineStr">
        <is>
          <t>Renk semantiği tutarlı</t>
        </is>
      </c>
      <c r="F5" s="158" t="inlineStr">
        <is>
          <t>ZORUNLU</t>
        </is>
      </c>
    </row>
    <row r="6" ht="28" customHeight="1">
      <c r="A6" s="157" t="inlineStr">
        <is>
          <t>Kolon düzeni</t>
        </is>
      </c>
      <c r="B6" s="145" t="inlineStr">
        <is>
          <t>Veri blokları bitişik kolonlarda ilerler</t>
        </is>
      </c>
      <c r="C6" s="145" t="inlineStr">
        <is>
          <t>Gereksiz boş kolon bırakma; yalnız gerçek bölüm ayrımı varsa kontrollü boşluk</t>
        </is>
      </c>
      <c r="D6" s="145" t="inlineStr">
        <is>
          <t>A:C veri, D boş, E:F veri gibi parçalı yapı</t>
        </is>
      </c>
      <c r="E6" s="145" t="inlineStr">
        <is>
          <t>Boş kolon taraması</t>
        </is>
      </c>
      <c r="F6" s="158" t="inlineStr">
        <is>
          <t>ZORUNLU</t>
        </is>
      </c>
    </row>
    <row r="7" ht="16" customHeight="1">
      <c r="A7" s="157" t="inlineStr">
        <is>
          <t>Girdi hücreleri</t>
        </is>
      </c>
      <c r="B7" s="145" t="inlineStr">
        <is>
          <t>Kullanıcının değiştireceği alan açıkça görünür</t>
        </is>
      </c>
      <c r="C7" s="145" t="inlineStr">
        <is>
          <t>Açık sarı dolgu + mavi yazı</t>
        </is>
      </c>
      <c r="D7" s="145" t="inlineStr">
        <is>
          <t>Formülle aynı görünüm</t>
        </is>
      </c>
      <c r="E7" s="145" t="inlineStr">
        <is>
          <t>Girdi/formül ayrımı</t>
        </is>
      </c>
      <c r="F7" s="158" t="inlineStr">
        <is>
          <t>ZORUNLU</t>
        </is>
      </c>
    </row>
    <row r="8" ht="16" customHeight="1">
      <c r="A8" s="157" t="inlineStr">
        <is>
          <t>Formüller</t>
        </is>
      </c>
      <c r="B8" s="145" t="inlineStr">
        <is>
          <t>Hesap hücreleri kullanıcı girdisinden ayrılır</t>
        </is>
      </c>
      <c r="C8" s="145" t="inlineStr">
        <is>
          <t>Siyah yazı; sayfalar arası bağlantı yeşil yazı</t>
        </is>
      </c>
      <c r="D8" s="145" t="inlineStr">
        <is>
          <t>Hard-code gizleme</t>
        </is>
      </c>
      <c r="E8" s="145" t="inlineStr">
        <is>
          <t>Formül sınıfı kontrolü</t>
        </is>
      </c>
      <c r="F8" s="158" t="inlineStr">
        <is>
          <t>ZORUNLU</t>
        </is>
      </c>
    </row>
    <row r="9" ht="16" customHeight="1">
      <c r="A9" s="157" t="inlineStr">
        <is>
          <t>Grafik sayısı</t>
        </is>
      </c>
      <c r="B9" s="145" t="inlineStr">
        <is>
          <t>Yönetici ekranında en fazla 3 ana karar grafiği</t>
        </is>
      </c>
      <c r="C9" s="145" t="inlineStr">
        <is>
          <t>Trend, karşılaştırma, köprü/dağılım; iş kararına bağlı</t>
        </is>
      </c>
      <c r="D9" s="145" t="inlineStr">
        <is>
          <t>Grafik kalabalığı</t>
        </is>
      </c>
      <c r="E9" s="145" t="inlineStr">
        <is>
          <t>Grafik başına karar sorusu</t>
        </is>
      </c>
      <c r="F9" s="158" t="inlineStr">
        <is>
          <t>ZORUNLU</t>
        </is>
      </c>
    </row>
    <row r="10" ht="16" customHeight="1">
      <c r="A10" s="157" t="inlineStr">
        <is>
          <t>Grafik stili</t>
        </is>
      </c>
      <c r="B10" s="145" t="inlineStr">
        <is>
          <t>Kurumsal ve yüksek okunabilirlik</t>
        </is>
      </c>
      <c r="C10" s="145" t="inlineStr">
        <is>
          <t>Beyaz zemin, ince gridline, tek vurgu rengi, açık birim/başlık</t>
        </is>
      </c>
      <c r="D10" s="145" t="inlineStr">
        <is>
          <t>3B, gölge, neon, gökkuşağı renkleri</t>
        </is>
      </c>
      <c r="E10" s="145" t="inlineStr">
        <is>
          <t>Görsel inceleme</t>
        </is>
      </c>
      <c r="F10" s="158" t="inlineStr">
        <is>
          <t>ZORUNLU</t>
        </is>
      </c>
    </row>
    <row r="11" ht="16" customHeight="1">
      <c r="A11" s="157" t="inlineStr">
        <is>
          <t>Grafik başlığı</t>
        </is>
      </c>
      <c r="B11" s="145" t="inlineStr">
        <is>
          <t>Grafik 'neyi' değil 'ne anlama geldiğini' söyler</t>
        </is>
      </c>
      <c r="C11" s="145" t="inlineStr">
        <is>
          <t>Örn: 'Nakit 2028'de kritik eşiğin altına iniyor'</t>
        </is>
      </c>
      <c r="D11" s="145" t="inlineStr">
        <is>
          <t>'Nakit Grafiği' gibi anlamsız başlık</t>
        </is>
      </c>
      <c r="E11" s="145" t="inlineStr">
        <is>
          <t>Başlık karar testi</t>
        </is>
      </c>
      <c r="F11" s="158" t="inlineStr">
        <is>
          <t>ZORUNLU</t>
        </is>
      </c>
    </row>
    <row r="12" ht="16" customHeight="1">
      <c r="A12" s="157" t="inlineStr">
        <is>
          <t>Birimler</t>
        </is>
      </c>
      <c r="B12" s="145" t="inlineStr">
        <is>
          <t>Tüm finansal görsellerde birim açık</t>
        </is>
      </c>
      <c r="C12" s="145" t="inlineStr">
        <is>
          <t>TL, bin TL, milyon TL, %, gün, x</t>
        </is>
      </c>
      <c r="D12" s="145" t="inlineStr">
        <is>
          <t>Birim belirsizliği</t>
        </is>
      </c>
      <c r="E12" s="145" t="inlineStr">
        <is>
          <t>Birim kapsama %100</t>
        </is>
      </c>
      <c r="F12" s="158" t="inlineStr">
        <is>
          <t>ZORUNLU</t>
        </is>
      </c>
    </row>
    <row r="13" ht="16" customHeight="1">
      <c r="A13" s="157" t="inlineStr">
        <is>
          <t>Sıfır/negatif</t>
        </is>
      </c>
      <c r="B13" s="145" t="inlineStr">
        <is>
          <t>Finansal format standardı</t>
        </is>
      </c>
      <c r="C13" s="145" t="inlineStr">
        <is>
          <t>Sıfır='-', negatif kırmızı parantez</t>
        </is>
      </c>
      <c r="D13" s="145" t="inlineStr">
        <is>
          <t>-500 veya 0,00 kalabalığı</t>
        </is>
      </c>
      <c r="E13" s="145" t="inlineStr">
        <is>
          <t>Format kontrolü</t>
        </is>
      </c>
      <c r="F13" s="158" t="inlineStr">
        <is>
          <t>ZORUNLU</t>
        </is>
      </c>
    </row>
    <row r="14" ht="16" customHeight="1">
      <c r="A14" s="157" t="inlineStr">
        <is>
          <t>Yazı tipi</t>
        </is>
      </c>
      <c r="B14" s="145" t="inlineStr">
        <is>
          <t>Tek aile</t>
        </is>
      </c>
      <c r="C14" s="145" t="inlineStr">
        <is>
          <t>Aptos veya Segoe UI</t>
        </is>
      </c>
      <c r="D14" s="145" t="inlineStr">
        <is>
          <t>Karışık font</t>
        </is>
      </c>
      <c r="E14" s="145" t="inlineStr">
        <is>
          <t>Tek font kontrolü</t>
        </is>
      </c>
      <c r="F14" s="158" t="inlineStr">
        <is>
          <t>ZORUNLU</t>
        </is>
      </c>
    </row>
    <row r="15" ht="16" customHeight="1">
      <c r="A15" s="157" t="inlineStr">
        <is>
          <t>Izgara</t>
        </is>
      </c>
      <c r="B15" s="145" t="inlineStr">
        <is>
          <t>Kullanıcı sayfalarında kapalı</t>
        </is>
      </c>
      <c r="C15" s="145" t="inlineStr">
        <is>
          <t>Bölüm çizgileri ve kart sınırlarıyla düzen</t>
        </is>
      </c>
      <c r="D15" s="145" t="inlineStr">
        <is>
          <t>Excel varsayılan gridline</t>
        </is>
      </c>
      <c r="E15" s="145" t="inlineStr">
        <is>
          <t>Gridline kontrolü</t>
        </is>
      </c>
      <c r="F15" s="158" t="inlineStr">
        <is>
          <t>ZORUNLU</t>
        </is>
      </c>
    </row>
    <row r="16" ht="16" customHeight="1">
      <c r="A16" s="157" t="inlineStr">
        <is>
          <t>Boş durum</t>
        </is>
      </c>
      <c r="B16" s="145" t="inlineStr">
        <is>
          <t>Veri yokken temiz ve anlaşılır</t>
        </is>
      </c>
      <c r="C16" s="145" t="inlineStr">
        <is>
          <t>'Henüz veri yok' / 'Girdi bekleniyor'</t>
        </is>
      </c>
      <c r="D16" s="145" t="inlineStr">
        <is>
          <t>0 yığını / hata kodu</t>
        </is>
      </c>
      <c r="E16" s="145" t="inlineStr">
        <is>
          <t>Boş veri testi</t>
        </is>
      </c>
      <c r="F16" s="158" t="inlineStr">
        <is>
          <t>ZORUNLU</t>
        </is>
      </c>
    </row>
    <row r="17" ht="28" customHeight="1">
      <c r="A17" s="157" t="inlineStr">
        <is>
          <t>Başlangıç deneyimi</t>
        </is>
      </c>
      <c r="B17" s="145" t="inlineStr">
        <is>
          <t>İlk 5 saniyede ne gireceği ve neye bakacağı anlaşılır</t>
        </is>
      </c>
      <c r="C17" s="145" t="inlineStr">
        <is>
          <t>Girdi → durum → aksiyon akışı</t>
        </is>
      </c>
      <c r="D17" s="145" t="inlineStr">
        <is>
          <t>Kılavuz aramaya zorlama</t>
        </is>
      </c>
      <c r="E17" s="145" t="inlineStr">
        <is>
          <t>5 saniye testi</t>
        </is>
      </c>
      <c r="F17" s="158" t="inlineStr">
        <is>
          <t>ZORUNLU</t>
        </is>
      </c>
    </row>
    <row r="18" ht="30" customHeight="1">
      <c r="A18" s="153" t="inlineStr">
        <is>
          <t>Buton standardı</t>
        </is>
      </c>
      <c r="B18" s="154" t="inlineStr">
        <is>
          <t>Buton görünümü verilen her alan gerçek işlev taşır</t>
        </is>
      </c>
      <c r="C18" s="154" t="inlineStr">
        <is>
          <t>Sayfa içi HYPERLINK / gerçek aksiyon; tıklanınca hedefe gider</t>
        </is>
      </c>
      <c r="D18" s="154" t="inlineStr">
        <is>
          <t>İşlevsiz dekoratif buton / sahte navigasyon</t>
        </is>
      </c>
      <c r="E18" s="154" t="inlineStr">
        <is>
          <t>Butonların %100'ü tıklanabilir ve hedefi doğru</t>
        </is>
      </c>
      <c r="F18" s="158" t="inlineStr">
        <is>
          <t>ZORUNLU</t>
        </is>
      </c>
    </row>
    <row r="19" ht="32" customHeight="1">
      <c r="A19" s="153" t="inlineStr">
        <is>
          <t>Native sayfa sekmesi rengi</t>
        </is>
      </c>
      <c r="B19" s="154" t="inlineStr">
        <is>
          <t>Excel alt sheet tabları kurumsal paletle renklendirilir</t>
        </is>
      </c>
      <c r="C19" s="154" t="inlineStr">
        <is>
          <t>Başlangıç/özet=lacivert; girdiler=mavi; hesap/finans=teal; karar/kontrol=burgundy; doküman=gri</t>
        </is>
      </c>
      <c r="D19" s="154" t="inlineStr">
        <is>
          <t>Renksiz sekmeler veya rastgele/gökkuşağı renkleri</t>
        </is>
      </c>
      <c r="E19" s="154" t="inlineStr">
        <is>
          <t>Tüm görünür kullanıcı sheet tabları renkli</t>
        </is>
      </c>
      <c r="F19" s="158" t="inlineStr">
        <is>
          <t>ZORUNLU</t>
        </is>
      </c>
    </row>
    <row r="20" ht="60" customHeight="1">
      <c r="A20" s="153" t="inlineStr">
        <is>
          <t>İş akışı sıralaması</t>
        </is>
      </c>
      <c r="B20" s="154" t="inlineStr">
        <is>
          <t>Sayfalar kullanıcının çalışma sırasına göre fiziksel olarak dizilir</t>
        </is>
      </c>
      <c r="C20" s="154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4" t="inlineStr">
        <is>
          <t>Teknik oluşturma sırasına göre dağınık sheet dizilimi</t>
        </is>
      </c>
      <c r="E20" s="154" t="inlineStr">
        <is>
          <t>Sheet order = tanımlı workflow</t>
        </is>
      </c>
      <c r="F20" s="158" t="inlineStr">
        <is>
          <t>ZORUNLU</t>
        </is>
      </c>
    </row>
    <row r="21" ht="30" customHeight="1">
      <c r="A21" s="153" t="inlineStr">
        <is>
          <t>Kurumsal renk paleti</t>
        </is>
      </c>
      <c r="B21" s="154" t="inlineStr">
        <is>
          <t>Sekme, başlık, buton ve vurgu renkleri tek kurumsal paletten gelir</t>
        </is>
      </c>
      <c r="C21" s="154" t="inlineStr">
        <is>
          <t>Lacivert + mavi + teal + kontrollü burgundy/gri; kategori semantiği sabit</t>
        </is>
      </c>
      <c r="D21" s="154" t="inlineStr">
        <is>
          <t>Neon, rastgele yüksek doygunluk, her sayfada farklı bağımsız renk</t>
        </is>
      </c>
      <c r="E21" s="154" t="inlineStr">
        <is>
          <t>Palette token kontrolü</t>
        </is>
      </c>
      <c r="F21" s="158" t="inlineStr">
        <is>
          <t>ZORUNLU</t>
        </is>
      </c>
    </row>
    <row r="22" ht="45" customHeight="1">
      <c r="A22" s="153" t="inlineStr">
        <is>
          <t>Premium vitrin</t>
        </is>
      </c>
      <c r="B22" s="154" t="inlineStr">
        <is>
          <t>Görsel kalite ürün değerinin zorunlu parçasıdır</t>
        </is>
      </c>
      <c r="C22" s="154" t="inlineStr">
        <is>
          <t>Kaliteli grafik, gerçek KPI kartı, finansal hiyerarşi, tab rengi, fonksiyonel navigasyon</t>
        </is>
      </c>
      <c r="D22" s="154" t="inlineStr">
        <is>
          <t>Sadece doğru hesap yapıp çıplak/varsayılan Excel görünümü bırakmak</t>
        </is>
      </c>
      <c r="E22" s="154" t="inlineStr">
        <is>
          <t>Görsel release incelemesi</t>
        </is>
      </c>
      <c r="F22" s="158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59" t="inlineStr">
        <is>
          <t>TÜRKİYE MUHASEBE VE TEKDÜZEN HESAP PLANI STANDARDI</t>
        </is>
      </c>
    </row>
    <row r="3" ht="24" customHeight="1">
      <c r="A3" s="160" t="inlineStr">
        <is>
          <t>Konu</t>
        </is>
      </c>
      <c r="B3" s="160" t="inlineStr">
        <is>
          <t>Zorunlu Standart</t>
        </is>
      </c>
      <c r="C3" s="160" t="inlineStr">
        <is>
          <t>Örnek Türkçe Ad</t>
        </is>
      </c>
      <c r="D3" s="160" t="inlineStr">
        <is>
          <t>THP / Mantık</t>
        </is>
      </c>
      <c r="E3" s="160" t="inlineStr">
        <is>
          <t>Hata Riski</t>
        </is>
      </c>
      <c r="F3" s="160" t="inlineStr">
        <is>
          <t>Kontrol</t>
        </is>
      </c>
    </row>
    <row r="4">
      <c r="A4" s="161" t="inlineStr">
        <is>
          <t>Dil</t>
        </is>
      </c>
      <c r="B4" s="145" t="inlineStr">
        <is>
          <t>Kullanıcıya görünen finansal terimler Türkçe</t>
        </is>
      </c>
      <c r="C4" s="145" t="inlineStr">
        <is>
          <t>Hasılat, Satışların Maliyeti, Brüt Kâr, Faaliyet Giderleri</t>
        </is>
      </c>
      <c r="D4" s="145" t="inlineStr">
        <is>
          <t>Türk işletme kullanımına uygun</t>
        </is>
      </c>
      <c r="E4" s="145" t="inlineStr">
        <is>
          <t>İngilizce jargon</t>
        </is>
      </c>
      <c r="F4" s="145" t="inlineStr">
        <is>
          <t>Terminoloji taraması</t>
        </is>
      </c>
    </row>
    <row r="5" ht="28" customHeight="1">
      <c r="A5" s="161" t="inlineStr">
        <is>
          <t>Gelir Tablosu</t>
        </is>
      </c>
      <c r="B5" s="145" t="inlineStr">
        <is>
          <t>Türk sunum sırası kullanılır</t>
        </is>
      </c>
      <c r="C5" s="145" t="inlineStr">
        <is>
          <t>Net Satışlar → Satışların Maliyeti → Brüt Kâr → Faaliyet Giderleri → Faaliyet Kârı</t>
        </is>
      </c>
      <c r="D5" s="145" t="inlineStr">
        <is>
          <t>600/610/611; 620-623; 63x</t>
        </is>
      </c>
      <c r="E5" s="145" t="inlineStr">
        <is>
          <t>Yanlış sınıflama</t>
        </is>
      </c>
      <c r="F5" s="145" t="inlineStr">
        <is>
          <t>Hesap eşleme</t>
        </is>
      </c>
    </row>
    <row r="6" ht="28" customHeight="1">
      <c r="A6" s="161" t="inlineStr">
        <is>
          <t>Bilanço</t>
        </is>
      </c>
      <c r="B6" s="145" t="inlineStr">
        <is>
          <t>Dönen/Duran Varlık ve Kısa/Uzun Vadeli Yükümlülük ayrımı</t>
        </is>
      </c>
      <c r="C6" s="145" t="inlineStr">
        <is>
          <t>Hazır Değerler, Ticari Alacaklar, Stoklar, Mali Borçlar</t>
        </is>
      </c>
      <c r="D6" s="145" t="inlineStr">
        <is>
          <t>1xx / 2xx / 3xx / 4xx / 5xx</t>
        </is>
      </c>
      <c r="E6" s="145" t="inlineStr">
        <is>
          <t>Vade sınıfı hatası</t>
        </is>
      </c>
      <c r="F6" s="145" t="inlineStr">
        <is>
          <t>Bilanço eşitliği</t>
        </is>
      </c>
    </row>
    <row r="7">
      <c r="A7" s="161" t="inlineStr">
        <is>
          <t>Nakit Akışı</t>
        </is>
      </c>
      <c r="B7" s="145" t="inlineStr">
        <is>
          <t>İşletme/Yatırım/Finansman nakit akışları ayrılır</t>
        </is>
      </c>
      <c r="C7" s="145" t="inlineStr">
        <is>
          <t>Faaliyetlerden Nakit, Yatırım Harcamaları, Finansman Nakit Akışı</t>
        </is>
      </c>
      <c r="D7" s="145" t="inlineStr">
        <is>
          <t>Dolaylı/doğrudan yöntem açık seçilir</t>
        </is>
      </c>
      <c r="E7" s="145" t="inlineStr">
        <is>
          <t>Kâr = nakit sanılması</t>
        </is>
      </c>
      <c r="F7" s="145" t="inlineStr">
        <is>
          <t>Nakit devri</t>
        </is>
      </c>
    </row>
    <row r="8">
      <c r="A8" s="161" t="inlineStr">
        <is>
          <t>Ticari Alacaklar</t>
        </is>
      </c>
      <c r="B8" s="145" t="inlineStr">
        <is>
          <t>Cari ve vade mantığı korunur</t>
        </is>
      </c>
      <c r="C8" s="145" t="inlineStr">
        <is>
          <t>120 Alıcılar</t>
        </is>
      </c>
      <c r="D8" s="145" t="inlineStr">
        <is>
          <t>120</t>
        </is>
      </c>
      <c r="E8" s="145" t="inlineStr">
        <is>
          <t>Tahakkuk/nakit karışması</t>
        </is>
      </c>
      <c r="F8" s="145" t="inlineStr">
        <is>
          <t>Alacak devir kontrolü</t>
        </is>
      </c>
    </row>
    <row r="9">
      <c r="A9" s="161" t="inlineStr">
        <is>
          <t>Ticari Borçlar</t>
        </is>
      </c>
      <c r="B9" s="145" t="inlineStr">
        <is>
          <t>Tedarikçi borcu ayrı izlenir</t>
        </is>
      </c>
      <c r="C9" s="145" t="inlineStr">
        <is>
          <t>320 Satıcılar</t>
        </is>
      </c>
      <c r="D9" s="145" t="inlineStr">
        <is>
          <t>320</t>
        </is>
      </c>
      <c r="E9" s="145" t="inlineStr">
        <is>
          <t>Gider/ödeme karışması</t>
        </is>
      </c>
      <c r="F9" s="145" t="inlineStr">
        <is>
          <t>Borç devir kontrolü</t>
        </is>
      </c>
    </row>
    <row r="10">
      <c r="A10" s="161" t="inlineStr">
        <is>
          <t>Kasa/Banka</t>
        </is>
      </c>
      <c r="B10" s="145" t="inlineStr">
        <is>
          <t>Hazır değerler ayrı izlenir</t>
        </is>
      </c>
      <c r="C10" s="145" t="inlineStr">
        <is>
          <t>100 Kasa, 102 Bankalar</t>
        </is>
      </c>
      <c r="D10" s="145" t="inlineStr">
        <is>
          <t>100 / 102</t>
        </is>
      </c>
      <c r="E10" s="145" t="inlineStr">
        <is>
          <t>Virmanla toplam nakdin değişmesi</t>
        </is>
      </c>
      <c r="F10" s="145" t="inlineStr">
        <is>
          <t>Virman değişmezi</t>
        </is>
      </c>
    </row>
    <row r="11">
      <c r="A11" s="161" t="inlineStr">
        <is>
          <t>Stok</t>
        </is>
      </c>
      <c r="B11" s="145" t="inlineStr">
        <is>
          <t>Dikeye uygun stok türü</t>
        </is>
      </c>
      <c r="C11" s="145" t="inlineStr">
        <is>
          <t>150 İlk Madde ve Malzeme, 153 Ticari Mallar</t>
        </is>
      </c>
      <c r="D11" s="145" t="inlineStr">
        <is>
          <t>15x</t>
        </is>
      </c>
      <c r="E11" s="145" t="inlineStr">
        <is>
          <t>Maliyet ve stok hareketinin kopması</t>
        </is>
      </c>
      <c r="F11" s="145" t="inlineStr">
        <is>
          <t>Stok devri</t>
        </is>
      </c>
    </row>
    <row r="12" ht="28" customHeight="1">
      <c r="A12" s="161" t="inlineStr">
        <is>
          <t>Maddi Duran Varlık</t>
        </is>
      </c>
      <c r="B12" s="145" t="inlineStr">
        <is>
          <t>Yatırım harcaması ve amortisman bağlantılı</t>
        </is>
      </c>
      <c r="C12" s="145" t="inlineStr">
        <is>
          <t>253 Tesis Makine Cihazlar, 255 Demirbaşlar, 257 Birikmiş Amortismanlar</t>
        </is>
      </c>
      <c r="D12" s="145" t="inlineStr">
        <is>
          <t>25x</t>
        </is>
      </c>
      <c r="E12" s="145" t="inlineStr">
        <is>
          <t>Yatırım/gider karışması</t>
        </is>
      </c>
      <c r="F12" s="145" t="inlineStr">
        <is>
          <t>Net defter değeri devri</t>
        </is>
      </c>
    </row>
    <row r="13">
      <c r="A13" s="161" t="inlineStr">
        <is>
          <t>Mali Borçlar</t>
        </is>
      </c>
      <c r="B13" s="145" t="inlineStr">
        <is>
          <t>Kısa/uzun vadeli borç ayrımı</t>
        </is>
      </c>
      <c r="C13" s="145" t="inlineStr">
        <is>
          <t>300 Banka Kredileri / 400 Banka Kredileri</t>
        </is>
      </c>
      <c r="D13" s="145" t="inlineStr">
        <is>
          <t>300 / 400</t>
        </is>
      </c>
      <c r="E13" s="145" t="inlineStr">
        <is>
          <t>Vade sınıfı yanlış</t>
        </is>
      </c>
      <c r="F13" s="145" t="inlineStr">
        <is>
          <t>Borç devri</t>
        </is>
      </c>
    </row>
    <row r="14">
      <c r="A14" s="161" t="inlineStr">
        <is>
          <t>Özkaynak</t>
        </is>
      </c>
      <c r="B14" s="145" t="inlineStr">
        <is>
          <t>Sermaye ve geçmiş yıl kârları ayrı</t>
        </is>
      </c>
      <c r="C14" s="145" t="inlineStr">
        <is>
          <t>500 Sermaye, 570 Geçmiş Yıllar Kârları, 590 Dönem Net Kârı</t>
        </is>
      </c>
      <c r="D14" s="145" t="inlineStr">
        <is>
          <t>5xx</t>
        </is>
      </c>
      <c r="E14" s="145" t="inlineStr">
        <is>
          <t>Net kâr bağının kopması</t>
        </is>
      </c>
      <c r="F14" s="145" t="inlineStr">
        <is>
          <t>Özkaynak devri</t>
        </is>
      </c>
    </row>
    <row r="15">
      <c r="A15" s="161" t="inlineStr">
        <is>
          <t>Vergi</t>
        </is>
      </c>
      <c r="B15" s="145" t="inlineStr">
        <is>
          <t>Vergi satırları Türkiye mantığına uygun</t>
        </is>
      </c>
      <c r="C15" s="145" t="inlineStr">
        <is>
          <t>Dönem Vergi ve Diğer Yasal Yükümlülük Karşılıkları</t>
        </is>
      </c>
      <c r="D15" s="145" t="inlineStr">
        <is>
          <t>37x / ilgili vergi hesapları</t>
        </is>
      </c>
      <c r="E15" s="145" t="inlineStr">
        <is>
          <t>Vergi etkisinin yanlış dönemlenmesi</t>
        </is>
      </c>
      <c r="F15" s="145" t="inlineStr">
        <is>
          <t>Vergi sözleşmesi</t>
        </is>
      </c>
    </row>
    <row r="16">
      <c r="A16" s="161" t="inlineStr">
        <is>
          <t>İsim standardı</t>
        </is>
      </c>
      <c r="B16" s="145" t="inlineStr">
        <is>
          <t>Tablo ve sayfa adları Türkçe ve işlevsel</t>
        </is>
      </c>
      <c r="C16" s="145" t="inlineStr">
        <is>
          <t>GELİR_TABLOSU, BİLANÇO, NAKİT_AKISI, BORC_PLANI</t>
        </is>
      </c>
      <c r="D16" s="145" t="inlineStr">
        <is>
          <t>Tekrarlanabilir standart</t>
        </is>
      </c>
      <c r="E16" s="145" t="inlineStr">
        <is>
          <t>İngilizce/karma isim</t>
        </is>
      </c>
      <c r="F16" s="145" t="inlineStr">
        <is>
          <t>Sayfa ve tablo taraması</t>
        </is>
      </c>
    </row>
    <row r="17">
      <c r="A17" s="161" t="inlineStr">
        <is>
          <t>THP eşleme tablosu</t>
        </is>
      </c>
      <c r="B17" s="145" t="inlineStr">
        <is>
          <t>Her kritik satır en az bir THP hesabına bağlanır</t>
        </is>
      </c>
      <c r="C17" s="145" t="inlineStr">
        <is>
          <t>RaporSatırı → HesapKodu → HesapAdı → İşaret → Dönem</t>
        </is>
      </c>
      <c r="D17" s="145" t="inlineStr">
        <is>
          <t>Kaynak izlenebilirliği</t>
        </is>
      </c>
      <c r="E17" s="145" t="inlineStr">
        <is>
          <t>Rapordan rapora kaynak</t>
        </is>
      </c>
      <c r="F17" s="145" t="inlineStr">
        <is>
          <t>Eşleme kapsama %100</t>
        </is>
      </c>
    </row>
    <row r="18">
      <c r="A18" s="161" t="inlineStr">
        <is>
          <t>İstisna</t>
        </is>
      </c>
      <c r="B18" s="145" t="inlineStr">
        <is>
          <t>TFRS özel ürün varsa fark açık yazılır</t>
        </is>
      </c>
      <c r="C18" s="145" t="inlineStr">
        <is>
          <t>Tekdüzen raporlama ≠ TFRS finansal tablo sunumu</t>
        </is>
      </c>
      <c r="D18" s="145" t="inlineStr">
        <is>
          <t>Amaç belirtilir</t>
        </is>
      </c>
      <c r="E18" s="145" t="inlineStr">
        <is>
          <t>Standartları karıştırma</t>
        </is>
      </c>
      <c r="F18" s="145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62" t="inlineStr">
        <is>
          <t>KARAR, GÜVEN VE SATIŞA HAZIRLIK STANDARDI</t>
        </is>
      </c>
    </row>
    <row r="3" ht="24" customHeight="1">
      <c r="A3" s="163" t="inlineStr">
        <is>
          <t>Alan</t>
        </is>
      </c>
      <c r="B3" s="163" t="inlineStr">
        <is>
          <t>Müşteri Sorusu</t>
        </is>
      </c>
      <c r="C3" s="163" t="inlineStr">
        <is>
          <t>Zorunlu Ürün Davranışı</t>
        </is>
      </c>
      <c r="D3" s="163" t="inlineStr">
        <is>
          <t>Kanıt</t>
        </is>
      </c>
      <c r="E3" s="163" t="inlineStr">
        <is>
          <t>Başarısızlık Durumu</t>
        </is>
      </c>
      <c r="F3" s="163" t="inlineStr">
        <is>
          <t>Kapı</t>
        </is>
      </c>
    </row>
    <row r="4">
      <c r="A4" s="164" t="inlineStr">
        <is>
          <t>5 saniye</t>
        </is>
      </c>
      <c r="B4" s="145" t="inlineStr">
        <is>
          <t>Bu ürün neyi çözüyor?</t>
        </is>
      </c>
      <c r="C4" s="145" t="inlineStr">
        <is>
          <t>İlk ekranda hedef kullanıcı + pahalı problem + sonuç görünür</t>
        </is>
      </c>
      <c r="D4" s="145" t="inlineStr">
        <is>
          <t>Başlık + alt mesaj + gerçek ekran</t>
        </is>
      </c>
      <c r="E4" s="145" t="inlineStr">
        <is>
          <t>Ürün yalnız teknik isim</t>
        </is>
      </c>
      <c r="F4" s="165" t="inlineStr">
        <is>
          <t>HATA</t>
        </is>
      </c>
    </row>
    <row r="5">
      <c r="A5" s="164" t="inlineStr">
        <is>
          <t>Acı</t>
        </is>
      </c>
      <c r="B5" s="145" t="inlineStr">
        <is>
          <t>Sorun bana neye mal oluyor?</t>
        </is>
      </c>
      <c r="C5" s="145" t="inlineStr">
        <is>
          <t>Mümkünse müşterinin kendi verisiyle parasal/zaman etkisi hesaplanır</t>
        </is>
      </c>
      <c r="D5" s="145" t="inlineStr">
        <is>
          <t>ROI/acı hesaplama yöntemi</t>
        </is>
      </c>
      <c r="E5" s="145" t="inlineStr">
        <is>
          <t>Uydurma tasarruf</t>
        </is>
      </c>
      <c r="F5" s="165" t="inlineStr">
        <is>
          <t>HATA</t>
        </is>
      </c>
    </row>
    <row r="6">
      <c r="A6" s="164" t="inlineStr">
        <is>
          <t>Karar</t>
        </is>
      </c>
      <c r="B6" s="145" t="inlineStr">
        <is>
          <t>Bu bilgiyle ne yapacağım?</t>
        </is>
      </c>
      <c r="C6" s="145" t="inlineStr">
        <is>
          <t>Her kritik KPI aksiyona bağlanır</t>
        </is>
      </c>
      <c r="D6" s="145" t="inlineStr">
        <is>
          <t>KARAR_KUYRUGU</t>
        </is>
      </c>
      <c r="E6" s="145" t="inlineStr">
        <is>
          <t>Sadece rapor</t>
        </is>
      </c>
      <c r="F6" s="165" t="inlineStr">
        <is>
          <t>HATA</t>
        </is>
      </c>
    </row>
    <row r="7">
      <c r="A7" s="164" t="inlineStr">
        <is>
          <t>Güven</t>
        </is>
      </c>
      <c r="B7" s="145" t="inlineStr">
        <is>
          <t>Bu sayıya neden inanayım?</t>
        </is>
      </c>
      <c r="C7" s="145" t="inlineStr">
        <is>
          <t>Kaynak, formül mantığı, kontrol ve son doğrulama görünür</t>
        </is>
      </c>
      <c r="D7" s="145" t="inlineStr">
        <is>
          <t>Kontroller + kaynak izi + sürüm</t>
        </is>
      </c>
      <c r="E7" s="145" t="inlineStr">
        <is>
          <t>Prestij kelimesi</t>
        </is>
      </c>
      <c r="F7" s="165" t="inlineStr">
        <is>
          <t>HATA</t>
        </is>
      </c>
    </row>
    <row r="8">
      <c r="A8" s="164" t="inlineStr">
        <is>
          <t>Referans</t>
        </is>
      </c>
      <c r="B8" s="145" t="inlineStr">
        <is>
          <t>Müşteri yorumu yoksa ne göstereceğim?</t>
        </is>
      </c>
      <c r="C8" s="145" t="inlineStr">
        <is>
          <t>Önce/Sonra + Karar Vakası + Hata Önleme Vakası üretilir</t>
        </is>
      </c>
      <c r="D8" s="145" t="inlineStr">
        <is>
          <t>Demo/örnek çıktı</t>
        </is>
      </c>
      <c r="E8" s="145" t="inlineStr">
        <is>
          <t>Kanıtsız iddia</t>
        </is>
      </c>
      <c r="F8" s="165" t="inlineStr">
        <is>
          <t>HATA</t>
        </is>
      </c>
    </row>
    <row r="9">
      <c r="A9" s="164" t="inlineStr">
        <is>
          <t>Senaryo</t>
        </is>
      </c>
      <c r="B9" s="145" t="inlineStr">
        <is>
          <t>Ne olursa işler bozulur?</t>
        </is>
      </c>
      <c r="C9" s="145" t="inlineStr">
        <is>
          <t>Baz/Aşağı/Yukarı veya uygun stres senaryosu</t>
        </is>
      </c>
      <c r="D9" s="145" t="inlineStr">
        <is>
          <t>Senaryo karşılaştırma</t>
        </is>
      </c>
      <c r="E9" s="145" t="inlineStr">
        <is>
          <t>Dekoratif senaryo</t>
        </is>
      </c>
      <c r="F9" s="165" t="inlineStr">
        <is>
          <t>HATA</t>
        </is>
      </c>
    </row>
    <row r="10">
      <c r="A10" s="164" t="inlineStr">
        <is>
          <t>Ters stres</t>
        </is>
      </c>
      <c r="B10" s="145" t="inlineStr">
        <is>
          <t>Hangi eşikte karar kırılır?</t>
        </is>
      </c>
      <c r="C10" s="145" t="inlineStr">
        <is>
          <t>En az bir kritik sürücü için kırılma eşiği</t>
        </is>
      </c>
      <c r="D10" s="145" t="inlineStr">
        <is>
          <t>Kırılma eşiği tablosu</t>
        </is>
      </c>
      <c r="E10" s="145" t="inlineStr">
        <is>
          <t>Sadece +/- %10</t>
        </is>
      </c>
      <c r="F10" s="165" t="inlineStr">
        <is>
          <t>UYARI/HATA</t>
        </is>
      </c>
    </row>
    <row r="11">
      <c r="A11" s="164" t="inlineStr">
        <is>
          <t>Hata tutarlılığı</t>
        </is>
      </c>
      <c r="B11" s="145" t="inlineStr">
        <is>
          <t>Formül hata verirse ne olur?</t>
        </is>
      </c>
      <c r="C11" s="145" t="inlineStr">
        <is>
          <t>Kontrol GEÇTİ veremez; BLOKE/HATA üretir</t>
        </is>
      </c>
      <c r="D11" s="145" t="inlineStr">
        <is>
          <t>Hata taraması</t>
        </is>
      </c>
      <c r="E11" s="145" t="inlineStr">
        <is>
          <t>Hata + GEÇTİ birlikte</t>
        </is>
      </c>
      <c r="F11" s="165" t="inlineStr">
        <is>
          <t>HATA</t>
        </is>
      </c>
    </row>
    <row r="12">
      <c r="A12" s="164" t="inlineStr">
        <is>
          <t>Karar motoru</t>
        </is>
      </c>
      <c r="B12" s="145" t="inlineStr">
        <is>
          <t>Ne oldu, neden oldu?</t>
        </is>
      </c>
      <c r="C12" s="145" t="inlineStr">
        <is>
          <t>Sorun + neden + parasal etki + aksiyon + son tarih</t>
        </is>
      </c>
      <c r="D12" s="145" t="inlineStr">
        <is>
          <t>Karar tablosu</t>
        </is>
      </c>
      <c r="E12" s="145" t="inlineStr">
        <is>
          <t>Boş sayfa / isim düzeyi modül</t>
        </is>
      </c>
      <c r="F12" s="165" t="inlineStr">
        <is>
          <t>HATA</t>
        </is>
      </c>
    </row>
    <row r="13">
      <c r="A13" s="164" t="inlineStr">
        <is>
          <t>Yönetici özeti</t>
        </is>
      </c>
      <c r="B13" s="145" t="inlineStr">
        <is>
          <t>5 saniyede ne görmeliyim?</t>
        </is>
      </c>
      <c r="C13" s="145" t="inlineStr">
        <is>
          <t>Bugün / ne değişti / ne bozulacak / neden / ne yapmalıyım / güven</t>
        </is>
      </c>
      <c r="D13" s="145" t="inlineStr">
        <is>
          <t>Yönetici özeti ekranı</t>
        </is>
      </c>
      <c r="E13" s="145" t="inlineStr">
        <is>
          <t>KPI kutusu yığını</t>
        </is>
      </c>
      <c r="F13" s="165" t="inlineStr">
        <is>
          <t>HATA</t>
        </is>
      </c>
    </row>
    <row r="14">
      <c r="A14" s="164" t="inlineStr">
        <is>
          <t>Teklif</t>
        </is>
      </c>
      <c r="B14" s="145" t="inlineStr">
        <is>
          <t>Neden satın almalıyım?</t>
        </is>
      </c>
      <c r="C14" s="145" t="inlineStr">
        <is>
          <t>Dosya özellikleri yerine sonuç ve kaçınılan maliyet sunulur</t>
        </is>
      </c>
      <c r="D14" s="145" t="inlineStr">
        <is>
          <t>Ürün sayfası kanıt eşlemesi</t>
        </is>
      </c>
      <c r="E14" s="145" t="inlineStr">
        <is>
          <t>Özellik listesiyle satış</t>
        </is>
      </c>
      <c r="F14" s="165" t="inlineStr">
        <is>
          <t>HATA</t>
        </is>
      </c>
    </row>
    <row r="15">
      <c r="A15" s="164" t="inlineStr">
        <is>
          <t>Dağıtım</t>
        </is>
      </c>
      <c r="B15" s="145" t="inlineStr">
        <is>
          <t>Beni nasıl bulacaklar?</t>
        </is>
      </c>
      <c r="C15" s="145" t="inlineStr">
        <is>
          <t>Sorun niyetine göre SEO sayfaları, iç bağlantı, temiz yapı, taranabilir metin</t>
        </is>
      </c>
      <c r="D15" s="145" t="inlineStr">
        <is>
          <t>Arama niyeti haritası</t>
        </is>
      </c>
      <c r="E15" s="145" t="inlineStr">
        <is>
          <t>Tek ürün sayfasına bağımlılık</t>
        </is>
      </c>
      <c r="F15" s="165" t="inlineStr">
        <is>
          <t>UYARI</t>
        </is>
      </c>
    </row>
    <row r="16" ht="28" customHeight="1">
      <c r="A16" s="164" t="inlineStr">
        <is>
          <t>LLM görünürlüğü</t>
        </is>
      </c>
      <c r="B16" s="145" t="inlineStr">
        <is>
          <t>AI ürünümü anlayabiliyor mu?</t>
        </is>
      </c>
      <c r="C16" s="145" t="inlineStr">
        <is>
          <t>Ürün tanımı, hedef kullanıcı, girdi/çıktı, metodoloji, sınırlar, SSS açık metindir</t>
        </is>
      </c>
      <c r="D16" s="145" t="inlineStr">
        <is>
          <t>Taranabilir ürün içeriği</t>
        </is>
      </c>
      <c r="E16" s="145" t="inlineStr">
        <is>
          <t>'AI SEO' iddiası</t>
        </is>
      </c>
      <c r="F16" s="165" t="inlineStr">
        <is>
          <t>UYARI</t>
        </is>
      </c>
    </row>
    <row r="17">
      <c r="A17" s="164" t="inlineStr">
        <is>
          <t>Satış kanalı</t>
        </is>
      </c>
      <c r="B17" s="145" t="inlineStr">
        <is>
          <t>Nerede satılmalı?</t>
        </is>
      </c>
      <c r="C17" s="145" t="inlineStr">
        <is>
          <t>Arama, LinkedIn, uzman/partner, demo/video; ürüne göre kanal seçilir</t>
        </is>
      </c>
      <c r="D17" s="145" t="inlineStr">
        <is>
          <t>Kanal matrisi</t>
        </is>
      </c>
      <c r="E17" s="145" t="inlineStr">
        <is>
          <t>Her ürüne aynı kanal</t>
        </is>
      </c>
      <c r="F17" s="165" t="inlineStr">
        <is>
          <t>UYARI</t>
        </is>
      </c>
    </row>
    <row r="18">
      <c r="A18" s="164" t="inlineStr">
        <is>
          <t>Fiyat</t>
        </is>
      </c>
      <c r="B18" s="145" t="inlineStr">
        <is>
          <t>Bu fiyat neden mantıklı?</t>
        </is>
      </c>
      <c r="C18" s="145" t="inlineStr">
        <is>
          <t>Fiyat, ekonomik karar değerine ve kanıtlanmış ürün derinliğine bağlanır</t>
        </is>
      </c>
      <c r="D18" s="145" t="inlineStr">
        <is>
          <t>Değer haritası + demo</t>
        </is>
      </c>
      <c r="E18" s="145" t="inlineStr">
        <is>
          <t>Sırf sayfa/formül sayısı</t>
        </is>
      </c>
      <c r="F18" s="165" t="inlineStr">
        <is>
          <t>HATA</t>
        </is>
      </c>
    </row>
    <row r="19">
      <c r="A19" s="164" t="inlineStr">
        <is>
          <t>Pazar kanıtı</t>
        </is>
      </c>
      <c r="B19" s="145" t="inlineStr">
        <is>
          <t>Piyasa gerçekten ödüyor mu?</t>
        </is>
      </c>
      <c r="C19" s="145" t="inlineStr">
        <is>
          <t>Satış/pilot/LOI/fiyat kabulü olmadan pazar doğrulandı yazılmaz</t>
        </is>
      </c>
      <c r="D19" s="145" t="inlineStr">
        <is>
          <t>Gerçek işlem kanıtı</t>
        </is>
      </c>
      <c r="E19" s="145" t="inlineStr">
        <is>
          <t>Tahmini talep = satış kabulü</t>
        </is>
      </c>
      <c r="F19" s="165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3D2E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GES Üretim &amp; Performans Takibi</t>
        </is>
      </c>
    </row>
    <row r="3" ht="30" customHeight="1">
      <c r="A3" s="3" t="inlineStr">
        <is>
          <t>GES Üretim &amp; Performans Takibi</t>
        </is>
      </c>
    </row>
    <row r="4">
      <c r="A4" s="4" t="inlineStr">
        <is>
          <t>GES santrallerinde günlük üretim, ışınım ve kayıp verisinden PR oranını hesaplar; kayıp kırılımı ve varlık sağlık skoru üretir; UYGUN / DİKKAT / KRİTİK /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PR oranı = üretim / (ışınım × kapasite) — IEC 61724 mantığı</t>
        </is>
      </c>
    </row>
    <row r="8">
      <c r="A8" s="6" t="inlineStr">
        <is>
          <t>• Günlük saha girişi en fazla 6 manuel alan — 30 saniye hedefi</t>
        </is>
      </c>
    </row>
    <row r="9">
      <c r="A9" s="6" t="inlineStr">
        <is>
          <t>• Varlık sağlık skoru formülle veriden türer (sabit skor yok)</t>
        </is>
      </c>
    </row>
    <row r="10">
      <c r="A10" s="6" t="inlineStr">
        <is>
          <t>• 12 aylık sezonsal üretim-PR zinciri ve alarm eşiği kuyruğu</t>
        </is>
      </c>
    </row>
    <row r="11">
      <c r="A11" s="6" t="inlineStr">
        <is>
          <t>• Makrosuz, çevrimdışı; SCADA / API bağı yok</t>
        </is>
      </c>
    </row>
    <row r="13">
      <c r="A13" s="5" t="inlineStr">
        <is>
          <t>Kimler için?</t>
        </is>
      </c>
    </row>
    <row r="14">
      <c r="A14" s="7" t="inlineStr">
        <is>
          <t>• Saha enerji operatörü — günlük üretim-ışınım-kayıp satırı</t>
        </is>
      </c>
    </row>
    <row r="15">
      <c r="A15" s="7" t="inlineStr">
        <is>
          <t>• GES işletme müdürü — PR panosu ve karar</t>
        </is>
      </c>
    </row>
    <row r="16">
      <c r="A16" s="7" t="inlineStr">
        <is>
          <t>• CFO / varlık yöneticisi — dönemsel RAPOR kanıt çıktısı</t>
        </is>
      </c>
    </row>
    <row r="18">
      <c r="A18" s="5" t="inlineStr">
        <is>
          <t>Nasıl başlanır?</t>
        </is>
      </c>
    </row>
    <row r="19">
      <c r="A19" s="8" t="inlineStr">
        <is>
          <t>1) VARLIKLAR'a santral kartı girin. 2) GUNLUK_GIRIS'e günlük satır yazın. 3) DONEM_ANALIZ ve PANO'dan kararı görün. 4) RAPOR'dan çıktı alın.</t>
        </is>
      </c>
    </row>
    <row r="21">
      <c r="A21" s="9" t="inlineStr">
        <is>
          <t>Sürüm 1.0.0 | Kod: GUP-PRO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3D2E"/>
    <outlinePr summaryBelow="1" summaryRight="1"/>
    <pageSetUpPr/>
  </sheetPr>
  <dimension ref="A1:R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VARLIKLAR — GES Üretim &amp; Performans Takibi</t>
        </is>
      </c>
    </row>
    <row r="3" ht="20" customHeight="1">
      <c r="A3" s="10" t="inlineStr">
        <is>
          <t>GES santral kartları — her varlığın tek kimliği vardır</t>
        </is>
      </c>
    </row>
    <row r="4">
      <c r="A4" s="12" t="inlineStr">
        <is>
          <t>Sonraki Kimlik</t>
        </is>
      </c>
      <c r="B4" s="13">
        <f>gup_sonrakiKimlik</f>
        <v/>
      </c>
    </row>
    <row r="5" ht="30" customHeight="1">
      <c r="A5" s="14" t="inlineStr">
        <is>
          <t>VarlikId</t>
        </is>
      </c>
      <c r="B5" s="14" t="inlineStr">
        <is>
          <t>SantralAd</t>
        </is>
      </c>
      <c r="C5" s="14" t="inlineStr">
        <is>
          <t>Tip</t>
        </is>
      </c>
      <c r="D5" s="14" t="inlineStr">
        <is>
          <t>KapasiteKwp_kwp</t>
        </is>
      </c>
      <c r="E5" s="14" t="inlineStr">
        <is>
          <t>InverterAdet_adet</t>
        </is>
      </c>
      <c r="F5" s="14" t="inlineStr">
        <is>
          <t>Konum</t>
        </is>
      </c>
      <c r="G5" s="14" t="inlineStr">
        <is>
          <t>HedefPr_oran</t>
        </is>
      </c>
      <c r="H5" s="14" t="inlineStr">
        <is>
          <t>Aktif</t>
        </is>
      </c>
      <c r="I5" s="14" t="inlineStr">
        <is>
          <t>ToplamUretimKwh</t>
        </is>
      </c>
      <c r="J5" s="14" t="inlineStr">
        <is>
          <t>OrtPr</t>
        </is>
      </c>
      <c r="K5" s="14" t="inlineStr">
        <is>
          <t>ToplamKayipKwh</t>
        </is>
      </c>
      <c r="L5" s="14" t="inlineStr">
        <is>
          <t>SaglikSkor</t>
        </is>
      </c>
    </row>
    <row r="6">
      <c r="A6" s="15" t="inlineStr">
        <is>
          <t>GES-00001</t>
        </is>
      </c>
      <c r="B6" s="15" t="inlineStr">
        <is>
          <t>Ankara Cati A</t>
        </is>
      </c>
      <c r="C6" s="15" t="inlineStr">
        <is>
          <t>Cati</t>
        </is>
      </c>
      <c r="D6" s="16" t="n">
        <v>120</v>
      </c>
      <c r="E6" s="17" t="n">
        <v>4</v>
      </c>
      <c r="F6" s="15" t="inlineStr">
        <is>
          <t>Ankara</t>
        </is>
      </c>
      <c r="G6" s="18" t="n">
        <v>0.78</v>
      </c>
      <c r="H6" s="15" t="inlineStr">
        <is>
          <t>EVET</t>
        </is>
      </c>
      <c r="I6" s="19">
        <f>IF($A6="","",SUMIF(tblGunluk[VarlikId],$A6,tblGunluk[UretimKwh_kwh]))</f>
        <v/>
      </c>
      <c r="J6" s="19">
        <f>IF($A6="","",IFERROR(AVERAGEIF(tblGunluk[VarlikId],$A6,tblGunluk[FormulPr_oran]),0))</f>
        <v/>
      </c>
      <c r="K6" s="19">
        <f>IF($A6="","",SUMIF(tblGunluk[VarlikId],$A6,tblGunluk[KayipKwh_kwh]))</f>
        <v/>
      </c>
      <c r="L6" s="19">
        <f>IF($A6="","",MAX(0,MIN(100,gup_kaliteTaban-IF($J6&lt;gup_esikPr,gup_kaliteCeza,0)-COUNTIFS(tblGunluk[VarlikId],$A6,tblGunluk[AlarmBayrak],"ALARM")*gup_kaliteSapma-IF($H6="HAYIR",gup_kaliteCeza,0))))</f>
        <v/>
      </c>
    </row>
    <row r="7">
      <c r="A7" s="15" t="inlineStr">
        <is>
          <t>GES-00002</t>
        </is>
      </c>
      <c r="B7" s="15" t="inlineStr">
        <is>
          <t>Konya Saha B</t>
        </is>
      </c>
      <c r="C7" s="15" t="inlineStr">
        <is>
          <t>Saha</t>
        </is>
      </c>
      <c r="D7" s="16" t="n">
        <v>850</v>
      </c>
      <c r="E7" s="17" t="n">
        <v>12</v>
      </c>
      <c r="F7" s="15" t="inlineStr">
        <is>
          <t>Konya</t>
        </is>
      </c>
      <c r="G7" s="18" t="n">
        <v>0.8</v>
      </c>
      <c r="H7" s="15" t="inlineStr">
        <is>
          <t>EVET</t>
        </is>
      </c>
      <c r="I7" s="19">
        <f>IF($A7="","",SUMIF(tblGunluk[VarlikId],$A7,tblGunluk[UretimKwh_kwh]))</f>
        <v/>
      </c>
      <c r="J7" s="19">
        <f>IF($A7="","",IFERROR(AVERAGEIF(tblGunluk[VarlikId],$A7,tblGunluk[FormulPr_oran]),0))</f>
        <v/>
      </c>
      <c r="K7" s="19">
        <f>IF($A7="","",SUMIF(tblGunluk[VarlikId],$A7,tblGunluk[KayipKwh_kwh]))</f>
        <v/>
      </c>
      <c r="L7" s="19">
        <f>IF($A7="","",MAX(0,MIN(100,gup_kaliteTaban-IF($J7&lt;gup_esikPr,gup_kaliteCeza,0)-COUNTIFS(tblGunluk[VarlikId],$A7,tblGunluk[AlarmBayrak],"ALARM")*gup_kaliteSapma-IF($H7="HAYIR",gup_kaliteCeza,0))))</f>
        <v/>
      </c>
    </row>
    <row r="8">
      <c r="A8" s="15" t="inlineStr">
        <is>
          <t>GES-00003</t>
        </is>
      </c>
      <c r="B8" s="15" t="inlineStr">
        <is>
          <t>Izmir Cati C</t>
        </is>
      </c>
      <c r="C8" s="15" t="inlineStr">
        <is>
          <t>Cati</t>
        </is>
      </c>
      <c r="D8" s="16" t="n">
        <v>95</v>
      </c>
      <c r="E8" s="17" t="n">
        <v>3</v>
      </c>
      <c r="F8" s="15" t="inlineStr">
        <is>
          <t>Izmir</t>
        </is>
      </c>
      <c r="G8" s="18" t="n">
        <v>0.76</v>
      </c>
      <c r="H8" s="15" t="inlineStr">
        <is>
          <t>EVET</t>
        </is>
      </c>
      <c r="I8" s="19">
        <f>IF($A8="","",SUMIF(tblGunluk[VarlikId],$A8,tblGunluk[UretimKwh_kwh]))</f>
        <v/>
      </c>
      <c r="J8" s="19">
        <f>IF($A8="","",IFERROR(AVERAGEIF(tblGunluk[VarlikId],$A8,tblGunluk[FormulPr_oran]),0))</f>
        <v/>
      </c>
      <c r="K8" s="19">
        <f>IF($A8="","",SUMIF(tblGunluk[VarlikId],$A8,tblGunluk[KayipKwh_kwh]))</f>
        <v/>
      </c>
      <c r="L8" s="19">
        <f>IF($A8="","",MAX(0,MIN(100,gup_kaliteTaban-IF($J8&lt;gup_esikPr,gup_kaliteCeza,0)-COUNTIFS(tblGunluk[VarlikId],$A8,tblGunluk[AlarmBayrak],"ALARM")*gup_kaliteSapma-IF($H8="HAYIR",gup_kaliteCeza,0))))</f>
        <v/>
      </c>
    </row>
    <row r="9">
      <c r="A9" s="15" t="inlineStr">
        <is>
          <t>GES-00004</t>
        </is>
      </c>
      <c r="B9" s="15" t="inlineStr">
        <is>
          <t>Antalya Saha D</t>
        </is>
      </c>
      <c r="C9" s="15" t="inlineStr">
        <is>
          <t>Saha</t>
        </is>
      </c>
      <c r="D9" s="16" t="n">
        <v>1200</v>
      </c>
      <c r="E9" s="17" t="n">
        <v>16</v>
      </c>
      <c r="F9" s="15" t="inlineStr">
        <is>
          <t>Antalya</t>
        </is>
      </c>
      <c r="G9" s="18" t="n">
        <v>0.82</v>
      </c>
      <c r="H9" s="15" t="inlineStr">
        <is>
          <t>EVET</t>
        </is>
      </c>
      <c r="I9" s="19">
        <f>IF($A9="","",SUMIF(tblGunluk[VarlikId],$A9,tblGunluk[UretimKwh_kwh]))</f>
        <v/>
      </c>
      <c r="J9" s="19">
        <f>IF($A9="","",IFERROR(AVERAGEIF(tblGunluk[VarlikId],$A9,tblGunluk[FormulPr_oran]),0))</f>
        <v/>
      </c>
      <c r="K9" s="19">
        <f>IF($A9="","",SUMIF(tblGunluk[VarlikId],$A9,tblGunluk[KayipKwh_kwh]))</f>
        <v/>
      </c>
      <c r="L9" s="19">
        <f>IF($A9="","",MAX(0,MIN(100,gup_kaliteTaban-IF($J9&lt;gup_esikPr,gup_kaliteCeza,0)-COUNTIFS(tblGunluk[VarlikId],$A9,tblGunluk[AlarmBayrak],"ALARM")*gup_kaliteSapma-IF($H9="HAYIR",gup_kaliteCeza,0))))</f>
        <v/>
      </c>
    </row>
    <row r="10">
      <c r="A10" s="15" t="inlineStr">
        <is>
          <t>GES-00005</t>
        </is>
      </c>
      <c r="B10" s="15" t="inlineStr">
        <is>
          <t>Bursa Cati E</t>
        </is>
      </c>
      <c r="C10" s="15" t="inlineStr">
        <is>
          <t>Cati</t>
        </is>
      </c>
      <c r="D10" s="16" t="n">
        <v>64</v>
      </c>
      <c r="E10" s="17" t="n">
        <v>2</v>
      </c>
      <c r="F10" s="15" t="inlineStr">
        <is>
          <t>Bursa</t>
        </is>
      </c>
      <c r="G10" s="18" t="n">
        <v>0.75</v>
      </c>
      <c r="H10" s="15" t="inlineStr">
        <is>
          <t>EVET</t>
        </is>
      </c>
      <c r="I10" s="19">
        <f>IF($A10="","",SUMIF(tblGunluk[VarlikId],$A10,tblGunluk[UretimKwh_kwh]))</f>
        <v/>
      </c>
      <c r="J10" s="19">
        <f>IF($A10="","",IFERROR(AVERAGEIF(tblGunluk[VarlikId],$A10,tblGunluk[FormulPr_oran]),0))</f>
        <v/>
      </c>
      <c r="K10" s="19">
        <f>IF($A10="","",SUMIF(tblGunluk[VarlikId],$A10,tblGunluk[KayipKwh_kwh]))</f>
        <v/>
      </c>
      <c r="L10" s="19">
        <f>IF($A10="","",MAX(0,MIN(100,gup_kaliteTaban-IF($J10&lt;gup_esikPr,gup_kaliteCeza,0)-COUNTIFS(tblGunluk[VarlikId],$A10,tblGunluk[AlarmBayrak],"ALARM")*gup_kaliteSapma-IF($H10="HAYIR",gup_kaliteCeza,0))))</f>
        <v/>
      </c>
    </row>
    <row r="11">
      <c r="A11" s="15" t="inlineStr">
        <is>
          <t>GES-00006</t>
        </is>
      </c>
      <c r="B11" s="15" t="inlineStr">
        <is>
          <t>Gaziantep Saha F</t>
        </is>
      </c>
      <c r="C11" s="15" t="inlineStr">
        <is>
          <t>Saha</t>
        </is>
      </c>
      <c r="D11" s="16" t="n">
        <v>520</v>
      </c>
      <c r="E11" s="17" t="n">
        <v>8</v>
      </c>
      <c r="F11" s="15" t="inlineStr">
        <is>
          <t>Gaziantep</t>
        </is>
      </c>
      <c r="G11" s="18" t="n">
        <v>0.79</v>
      </c>
      <c r="H11" s="15" t="inlineStr">
        <is>
          <t>EVET</t>
        </is>
      </c>
      <c r="I11" s="19">
        <f>IF($A11="","",SUMIF(tblGunluk[VarlikId],$A11,tblGunluk[UretimKwh_kwh]))</f>
        <v/>
      </c>
      <c r="J11" s="19">
        <f>IF($A11="","",IFERROR(AVERAGEIF(tblGunluk[VarlikId],$A11,tblGunluk[FormulPr_oran]),0))</f>
        <v/>
      </c>
      <c r="K11" s="19">
        <f>IF($A11="","",SUMIF(tblGunluk[VarlikId],$A11,tblGunluk[KayipKwh_kwh]))</f>
        <v/>
      </c>
      <c r="L11" s="19">
        <f>IF($A11="","",MAX(0,MIN(100,gup_kaliteTaban-IF($J11&lt;gup_esikPr,gup_kaliteCeza,0)-COUNTIFS(tblGunluk[VarlikId],$A11,tblGunluk[AlarmBayrak],"ALARM")*gup_kaliteSapma-IF($H11="HAYIR",gup_kaliteCeza,0))))</f>
        <v/>
      </c>
    </row>
    <row r="12">
      <c r="A12" s="15" t="inlineStr">
        <is>
          <t>GES-00007</t>
        </is>
      </c>
      <c r="B12" s="15" t="inlineStr">
        <is>
          <t>Mersin Cati G</t>
        </is>
      </c>
      <c r="C12" s="15" t="inlineStr">
        <is>
          <t>Cati</t>
        </is>
      </c>
      <c r="D12" s="16" t="n">
        <v>110</v>
      </c>
      <c r="E12" s="17" t="n">
        <v>4</v>
      </c>
      <c r="F12" s="15" t="inlineStr">
        <is>
          <t>Mersin</t>
        </is>
      </c>
      <c r="G12" s="18" t="n">
        <v>0.77</v>
      </c>
      <c r="H12" s="15" t="inlineStr">
        <is>
          <t>EVET</t>
        </is>
      </c>
      <c r="I12" s="19">
        <f>IF($A12="","",SUMIF(tblGunluk[VarlikId],$A12,tblGunluk[UretimKwh_kwh]))</f>
        <v/>
      </c>
      <c r="J12" s="19">
        <f>IF($A12="","",IFERROR(AVERAGEIF(tblGunluk[VarlikId],$A12,tblGunluk[FormulPr_oran]),0))</f>
        <v/>
      </c>
      <c r="K12" s="19">
        <f>IF($A12="","",SUMIF(tblGunluk[VarlikId],$A12,tblGunluk[KayipKwh_kwh]))</f>
        <v/>
      </c>
      <c r="L12" s="19">
        <f>IF($A12="","",MAX(0,MIN(100,gup_kaliteTaban-IF($J12&lt;gup_esikPr,gup_kaliteCeza,0)-COUNTIFS(tblGunluk[VarlikId],$A12,tblGunluk[AlarmBayrak],"ALARM")*gup_kaliteSapma-IF($H12="HAYIR",gup_kaliteCeza,0))))</f>
        <v/>
      </c>
    </row>
    <row r="13">
      <c r="A13" s="15" t="inlineStr">
        <is>
          <t>GES-00008</t>
        </is>
      </c>
      <c r="B13" s="15" t="inlineStr">
        <is>
          <t>Eskisehir Saha H</t>
        </is>
      </c>
      <c r="C13" s="15" t="inlineStr">
        <is>
          <t>Saha</t>
        </is>
      </c>
      <c r="D13" s="16" t="n">
        <v>380</v>
      </c>
      <c r="E13" s="17" t="n">
        <v>6</v>
      </c>
      <c r="F13" s="15" t="inlineStr">
        <is>
          <t>Eskisehir</t>
        </is>
      </c>
      <c r="G13" s="18" t="n">
        <v>0.78</v>
      </c>
      <c r="H13" s="15" t="inlineStr">
        <is>
          <t>EVET</t>
        </is>
      </c>
      <c r="I13" s="19">
        <f>IF($A13="","",SUMIF(tblGunluk[VarlikId],$A13,tblGunluk[UretimKwh_kwh]))</f>
        <v/>
      </c>
      <c r="J13" s="19">
        <f>IF($A13="","",IFERROR(AVERAGEIF(tblGunluk[VarlikId],$A13,tblGunluk[FormulPr_oran]),0))</f>
        <v/>
      </c>
      <c r="K13" s="19">
        <f>IF($A13="","",SUMIF(tblGunluk[VarlikId],$A13,tblGunluk[KayipKwh_kwh]))</f>
        <v/>
      </c>
      <c r="L13" s="19">
        <f>IF($A13="","",MAX(0,MIN(100,gup_kaliteTaban-IF($J13&lt;gup_esikPr,gup_kaliteCeza,0)-COUNTIFS(tblGunluk[VarlikId],$A13,tblGunluk[AlarmBayrak],"ALARM")*gup_kaliteSapma-IF($H13="HAYIR",gup_kaliteCeza,0))))</f>
        <v/>
      </c>
    </row>
    <row r="14">
      <c r="A14" s="15" t="n"/>
      <c r="B14" s="15" t="n"/>
      <c r="C14" s="15" t="n"/>
      <c r="D14" s="16" t="n"/>
      <c r="E14" s="17" t="n"/>
      <c r="F14" s="15" t="n"/>
      <c r="G14" s="18" t="n"/>
      <c r="H14" s="15" t="n"/>
      <c r="I14" s="19">
        <f>IF($A14="","",SUMIF(tblGunluk[VarlikId],$A14,tblGunluk[UretimKwh_kwh]))</f>
        <v/>
      </c>
      <c r="J14" s="19">
        <f>IF($A14="","",IFERROR(AVERAGEIF(tblGunluk[VarlikId],$A14,tblGunluk[FormulPr_oran]),0))</f>
        <v/>
      </c>
      <c r="K14" s="19">
        <f>IF($A14="","",SUMIF(tblGunluk[VarlikId],$A14,tblGunluk[KayipKwh_kwh]))</f>
        <v/>
      </c>
      <c r="L14" s="19">
        <f>IF($A14="","",MAX(0,MIN(100,gup_kaliteTaban-IF($J14&lt;gup_esikPr,gup_kaliteCeza,0)-COUNTIFS(tblGunluk[VarlikId],$A14,tblGunluk[AlarmBayrak],"ALARM")*gup_kaliteSapma-IF($H14="HAYIR",gup_kaliteCeza,0))))</f>
        <v/>
      </c>
    </row>
    <row r="15">
      <c r="A15" s="15" t="n"/>
      <c r="B15" s="15" t="n"/>
      <c r="C15" s="15" t="n"/>
      <c r="D15" s="16" t="n"/>
      <c r="E15" s="17" t="n"/>
      <c r="F15" s="15" t="n"/>
      <c r="G15" s="18" t="n"/>
      <c r="H15" s="15" t="n"/>
      <c r="I15" s="19">
        <f>IF($A15="","",SUMIF(tblGunluk[VarlikId],$A15,tblGunluk[UretimKwh_kwh]))</f>
        <v/>
      </c>
      <c r="J15" s="19">
        <f>IF($A15="","",IFERROR(AVERAGEIF(tblGunluk[VarlikId],$A15,tblGunluk[FormulPr_oran]),0))</f>
        <v/>
      </c>
      <c r="K15" s="19">
        <f>IF($A15="","",SUMIF(tblGunluk[VarlikId],$A15,tblGunluk[KayipKwh_kwh]))</f>
        <v/>
      </c>
      <c r="L15" s="19">
        <f>IF($A15="","",MAX(0,MIN(100,gup_kaliteTaban-IF($J15&lt;gup_esikPr,gup_kaliteCeza,0)-COUNTIFS(tblGunluk[VarlikId],$A15,tblGunluk[AlarmBayrak],"ALARM")*gup_kaliteSapma-IF($H15="HAYIR",gup_kaliteCeza,0))))</f>
        <v/>
      </c>
    </row>
    <row r="16">
      <c r="A16" s="15" t="n"/>
      <c r="B16" s="15" t="n"/>
      <c r="C16" s="15" t="n"/>
      <c r="D16" s="16" t="n"/>
      <c r="E16" s="17" t="n"/>
      <c r="F16" s="15" t="n"/>
      <c r="G16" s="18" t="n"/>
      <c r="H16" s="15" t="n"/>
      <c r="I16" s="19">
        <f>IF($A16="","",SUMIF(tblGunluk[VarlikId],$A16,tblGunluk[UretimKwh_kwh]))</f>
        <v/>
      </c>
      <c r="J16" s="19">
        <f>IF($A16="","",IFERROR(AVERAGEIF(tblGunluk[VarlikId],$A16,tblGunluk[FormulPr_oran]),0))</f>
        <v/>
      </c>
      <c r="K16" s="19">
        <f>IF($A16="","",SUMIF(tblGunluk[VarlikId],$A16,tblGunluk[KayipKwh_kwh]))</f>
        <v/>
      </c>
      <c r="L16" s="19">
        <f>IF($A16="","",MAX(0,MIN(100,gup_kaliteTaban-IF($J16&lt;gup_esikPr,gup_kaliteCeza,0)-COUNTIFS(tblGunluk[VarlikId],$A16,tblGunluk[AlarmBayrak],"ALARM")*gup_kaliteSapma-IF($H16="HAYIR",gup_kaliteCeza,0))))</f>
        <v/>
      </c>
    </row>
    <row r="17">
      <c r="A17" s="15" t="n"/>
      <c r="B17" s="15" t="n"/>
      <c r="C17" s="15" t="n"/>
      <c r="D17" s="16" t="n"/>
      <c r="E17" s="17" t="n"/>
      <c r="F17" s="15" t="n"/>
      <c r="G17" s="18" t="n"/>
      <c r="H17" s="15" t="n"/>
      <c r="I17" s="19">
        <f>IF($A17="","",SUMIF(tblGunluk[VarlikId],$A17,tblGunluk[UretimKwh_kwh]))</f>
        <v/>
      </c>
      <c r="J17" s="19">
        <f>IF($A17="","",IFERROR(AVERAGEIF(tblGunluk[VarlikId],$A17,tblGunluk[FormulPr_oran]),0))</f>
        <v/>
      </c>
      <c r="K17" s="19">
        <f>IF($A17="","",SUMIF(tblGunluk[VarlikId],$A17,tblGunluk[KayipKwh_kwh]))</f>
        <v/>
      </c>
      <c r="L17" s="19">
        <f>IF($A17="","",MAX(0,MIN(100,gup_kaliteTaban-IF($J17&lt;gup_esikPr,gup_kaliteCeza,0)-COUNTIFS(tblGunluk[VarlikId],$A17,tblGunluk[AlarmBayrak],"ALARM")*gup_kaliteSapma-IF($H17="HAYIR",gup_kaliteCeza,0))))</f>
        <v/>
      </c>
    </row>
    <row r="18">
      <c r="A18" s="15" t="n"/>
      <c r="B18" s="15" t="n"/>
      <c r="C18" s="15" t="n"/>
      <c r="D18" s="16" t="n"/>
      <c r="E18" s="17" t="n"/>
      <c r="F18" s="15" t="n"/>
      <c r="G18" s="18" t="n"/>
      <c r="H18" s="15" t="n"/>
      <c r="I18" s="19">
        <f>IF($A18="","",SUMIF(tblGunluk[VarlikId],$A18,tblGunluk[UretimKwh_kwh]))</f>
        <v/>
      </c>
      <c r="J18" s="19">
        <f>IF($A18="","",IFERROR(AVERAGEIF(tblGunluk[VarlikId],$A18,tblGunluk[FormulPr_oran]),0))</f>
        <v/>
      </c>
      <c r="K18" s="19">
        <f>IF($A18="","",SUMIF(tblGunluk[VarlikId],$A18,tblGunluk[KayipKwh_kwh]))</f>
        <v/>
      </c>
      <c r="L18" s="19">
        <f>IF($A18="","",MAX(0,MIN(100,gup_kaliteTaban-IF($J18&lt;gup_esikPr,gup_kaliteCeza,0)-COUNTIFS(tblGunluk[VarlikId],$A18,tblGunluk[AlarmBayrak],"ALARM")*gup_kaliteSapma-IF($H18="HAYIR",gup_kaliteCeza,0))))</f>
        <v/>
      </c>
    </row>
    <row r="19">
      <c r="A19" s="15" t="n"/>
      <c r="B19" s="15" t="n"/>
      <c r="C19" s="15" t="n"/>
      <c r="D19" s="16" t="n"/>
      <c r="E19" s="17" t="n"/>
      <c r="F19" s="15" t="n"/>
      <c r="G19" s="18" t="n"/>
      <c r="H19" s="15" t="n"/>
      <c r="I19" s="19">
        <f>IF($A19="","",SUMIF(tblGunluk[VarlikId],$A19,tblGunluk[UretimKwh_kwh]))</f>
        <v/>
      </c>
      <c r="J19" s="19">
        <f>IF($A19="","",IFERROR(AVERAGEIF(tblGunluk[VarlikId],$A19,tblGunluk[FormulPr_oran]),0))</f>
        <v/>
      </c>
      <c r="K19" s="19">
        <f>IF($A19="","",SUMIF(tblGunluk[VarlikId],$A19,tblGunluk[KayipKwh_kwh]))</f>
        <v/>
      </c>
      <c r="L19" s="19">
        <f>IF($A19="","",MAX(0,MIN(100,gup_kaliteTaban-IF($J19&lt;gup_esikPr,gup_kaliteCeza,0)-COUNTIFS(tblGunluk[VarlikId],$A19,tblGunluk[AlarmBayrak],"ALARM")*gup_kaliteSapma-IF($H19="HAYIR",gup_kaliteCeza,0))))</f>
        <v/>
      </c>
    </row>
    <row r="20">
      <c r="A20" s="15" t="n"/>
      <c r="B20" s="15" t="n"/>
      <c r="C20" s="15" t="n"/>
      <c r="D20" s="16" t="n"/>
      <c r="E20" s="17" t="n"/>
      <c r="F20" s="15" t="n"/>
      <c r="G20" s="18" t="n"/>
      <c r="H20" s="15" t="n"/>
      <c r="I20" s="19">
        <f>IF($A20="","",SUMIF(tblGunluk[VarlikId],$A20,tblGunluk[UretimKwh_kwh]))</f>
        <v/>
      </c>
      <c r="J20" s="19">
        <f>IF($A20="","",IFERROR(AVERAGEIF(tblGunluk[VarlikId],$A20,tblGunluk[FormulPr_oran]),0))</f>
        <v/>
      </c>
      <c r="K20" s="19">
        <f>IF($A20="","",SUMIF(tblGunluk[VarlikId],$A20,tblGunluk[KayipKwh_kwh]))</f>
        <v/>
      </c>
      <c r="L20" s="19">
        <f>IF($A20="","",MAX(0,MIN(100,gup_kaliteTaban-IF($J20&lt;gup_esikPr,gup_kaliteCeza,0)-COUNTIFS(tblGunluk[VarlikId],$A20,tblGunluk[AlarmBayrak],"ALARM")*gup_kaliteSapma-IF($H20="HAYIR",gup_kaliteCeza,0))))</f>
        <v/>
      </c>
    </row>
    <row r="21">
      <c r="A21" s="15" t="n"/>
      <c r="B21" s="15" t="n"/>
      <c r="C21" s="15" t="n"/>
      <c r="D21" s="16" t="n"/>
      <c r="E21" s="17" t="n"/>
      <c r="F21" s="15" t="n"/>
      <c r="G21" s="18" t="n"/>
      <c r="H21" s="15" t="n"/>
      <c r="I21" s="19">
        <f>IF($A21="","",SUMIF(tblGunluk[VarlikId],$A21,tblGunluk[UretimKwh_kwh]))</f>
        <v/>
      </c>
      <c r="J21" s="19">
        <f>IF($A21="","",IFERROR(AVERAGEIF(tblGunluk[VarlikId],$A21,tblGunluk[FormulPr_oran]),0))</f>
        <v/>
      </c>
      <c r="K21" s="19">
        <f>IF($A21="","",SUMIF(tblGunluk[VarlikId],$A21,tblGunluk[KayipKwh_kwh]))</f>
        <v/>
      </c>
      <c r="L21" s="19">
        <f>IF($A21="","",MAX(0,MIN(100,gup_kaliteTaban-IF($J21&lt;gup_esikPr,gup_kaliteCeza,0)-COUNTIFS(tblGunluk[VarlikId],$A21,tblGunluk[AlarmBayrak],"ALARM")*gup_kaliteSapma-IF($H21="HAYIR",gup_kaliteCeza,0))))</f>
        <v/>
      </c>
    </row>
    <row r="22">
      <c r="A22" s="15" t="n"/>
      <c r="B22" s="15" t="n"/>
      <c r="C22" s="15" t="n"/>
      <c r="D22" s="16" t="n"/>
      <c r="E22" s="17" t="n"/>
      <c r="F22" s="15" t="n"/>
      <c r="G22" s="18" t="n"/>
      <c r="H22" s="15" t="n"/>
      <c r="I22" s="19">
        <f>IF($A22="","",SUMIF(tblGunluk[VarlikId],$A22,tblGunluk[UretimKwh_kwh]))</f>
        <v/>
      </c>
      <c r="J22" s="19">
        <f>IF($A22="","",IFERROR(AVERAGEIF(tblGunluk[VarlikId],$A22,tblGunluk[FormulPr_oran]),0))</f>
        <v/>
      </c>
      <c r="K22" s="19">
        <f>IF($A22="","",SUMIF(tblGunluk[VarlikId],$A22,tblGunluk[KayipKwh_kwh]))</f>
        <v/>
      </c>
      <c r="L22" s="19">
        <f>IF($A22="","",MAX(0,MIN(100,gup_kaliteTaban-IF($J22&lt;gup_esikPr,gup_kaliteCeza,0)-COUNTIFS(tblGunluk[VarlikId],$A22,tblGunluk[AlarmBayrak],"ALARM")*gup_kaliteSapma-IF($H22="HAYIR",gup_kaliteCeza,0))))</f>
        <v/>
      </c>
    </row>
    <row r="23">
      <c r="A23" s="15" t="n"/>
      <c r="B23" s="15" t="n"/>
      <c r="C23" s="15" t="n"/>
      <c r="D23" s="16" t="n"/>
      <c r="E23" s="17" t="n"/>
      <c r="F23" s="15" t="n"/>
      <c r="G23" s="18" t="n"/>
      <c r="H23" s="15" t="n"/>
      <c r="I23" s="19">
        <f>IF($A23="","",SUMIF(tblGunluk[VarlikId],$A23,tblGunluk[UretimKwh_kwh]))</f>
        <v/>
      </c>
      <c r="J23" s="19">
        <f>IF($A23="","",IFERROR(AVERAGEIF(tblGunluk[VarlikId],$A23,tblGunluk[FormulPr_oran]),0))</f>
        <v/>
      </c>
      <c r="K23" s="19">
        <f>IF($A23="","",SUMIF(tblGunluk[VarlikId],$A23,tblGunluk[KayipKwh_kwh]))</f>
        <v/>
      </c>
      <c r="L23" s="19">
        <f>IF($A23="","",MAX(0,MIN(100,gup_kaliteTaban-IF($J23&lt;gup_esikPr,gup_kaliteCeza,0)-COUNTIFS(tblGunluk[VarlikId],$A23,tblGunluk[AlarmBayrak],"ALARM")*gup_kaliteSapma-IF($H23="HAYIR",gup_kaliteCeza,0))))</f>
        <v/>
      </c>
    </row>
    <row r="24">
      <c r="A24" s="15" t="n"/>
      <c r="B24" s="15" t="n"/>
      <c r="C24" s="15" t="n"/>
      <c r="D24" s="16" t="n"/>
      <c r="E24" s="17" t="n"/>
      <c r="F24" s="15" t="n"/>
      <c r="G24" s="18" t="n"/>
      <c r="H24" s="15" t="n"/>
      <c r="I24" s="19">
        <f>IF($A24="","",SUMIF(tblGunluk[VarlikId],$A24,tblGunluk[UretimKwh_kwh]))</f>
        <v/>
      </c>
      <c r="J24" s="19">
        <f>IF($A24="","",IFERROR(AVERAGEIF(tblGunluk[VarlikId],$A24,tblGunluk[FormulPr_oran]),0))</f>
        <v/>
      </c>
      <c r="K24" s="19">
        <f>IF($A24="","",SUMIF(tblGunluk[VarlikId],$A24,tblGunluk[KayipKwh_kwh]))</f>
        <v/>
      </c>
      <c r="L24" s="19">
        <f>IF($A24="","",MAX(0,MIN(100,gup_kaliteTaban-IF($J24&lt;gup_esikPr,gup_kaliteCeza,0)-COUNTIFS(tblGunluk[VarlikId],$A24,tblGunluk[AlarmBayrak],"ALARM")*gup_kaliteSapma-IF($H24="HAYIR",gup_kaliteCeza,0))))</f>
        <v/>
      </c>
    </row>
    <row r="25">
      <c r="A25" s="15" t="n"/>
      <c r="B25" s="15" t="n"/>
      <c r="C25" s="15" t="n"/>
      <c r="D25" s="16" t="n"/>
      <c r="E25" s="17" t="n"/>
      <c r="F25" s="15" t="n"/>
      <c r="G25" s="18" t="n"/>
      <c r="H25" s="15" t="n"/>
      <c r="I25" s="19">
        <f>IF($A25="","",SUMIF(tblGunluk[VarlikId],$A25,tblGunluk[UretimKwh_kwh]))</f>
        <v/>
      </c>
      <c r="J25" s="19">
        <f>IF($A25="","",IFERROR(AVERAGEIF(tblGunluk[VarlikId],$A25,tblGunluk[FormulPr_oran]),0))</f>
        <v/>
      </c>
      <c r="K25" s="19">
        <f>IF($A25="","",SUMIF(tblGunluk[VarlikId],$A25,tblGunluk[KayipKwh_kwh]))</f>
        <v/>
      </c>
      <c r="L25" s="19">
        <f>IF($A25="","",MAX(0,MIN(100,gup_kaliteTaban-IF($J25&lt;gup_esikPr,gup_kaliteCeza,0)-COUNTIFS(tblGunluk[VarlikId],$A25,tblGunluk[AlarmBayrak],"ALARM")*gup_kaliteSapma-IF($H25="HAYIR",gup_kaliteCeza,0))))</f>
        <v/>
      </c>
    </row>
    <row r="26">
      <c r="A26" s="15" t="n"/>
      <c r="B26" s="15" t="n"/>
      <c r="C26" s="15" t="n"/>
      <c r="D26" s="16" t="n"/>
      <c r="E26" s="17" t="n"/>
      <c r="F26" s="15" t="n"/>
      <c r="G26" s="18" t="n"/>
      <c r="H26" s="15" t="n"/>
      <c r="I26" s="19">
        <f>IF($A26="","",SUMIF(tblGunluk[VarlikId],$A26,tblGunluk[UretimKwh_kwh]))</f>
        <v/>
      </c>
      <c r="J26" s="19">
        <f>IF($A26="","",IFERROR(AVERAGEIF(tblGunluk[VarlikId],$A26,tblGunluk[FormulPr_oran]),0))</f>
        <v/>
      </c>
      <c r="K26" s="19">
        <f>IF($A26="","",SUMIF(tblGunluk[VarlikId],$A26,tblGunluk[KayipKwh_kwh]))</f>
        <v/>
      </c>
      <c r="L26" s="19">
        <f>IF($A26="","",MAX(0,MIN(100,gup_kaliteTaban-IF($J26&lt;gup_esikPr,gup_kaliteCeza,0)-COUNTIFS(tblGunluk[VarlikId],$A26,tblGunluk[AlarmBayrak],"ALARM")*gup_kaliteSapma-IF($H26="HAYIR",gup_kaliteCeza,0))))</f>
        <v/>
      </c>
    </row>
    <row r="27">
      <c r="A27" s="15" t="n"/>
      <c r="B27" s="15" t="n"/>
      <c r="C27" s="15" t="n"/>
      <c r="D27" s="16" t="n"/>
      <c r="E27" s="17" t="n"/>
      <c r="F27" s="15" t="n"/>
      <c r="G27" s="18" t="n"/>
      <c r="H27" s="15" t="n"/>
      <c r="I27" s="19">
        <f>IF($A27="","",SUMIF(tblGunluk[VarlikId],$A27,tblGunluk[UretimKwh_kwh]))</f>
        <v/>
      </c>
      <c r="J27" s="19">
        <f>IF($A27="","",IFERROR(AVERAGEIF(tblGunluk[VarlikId],$A27,tblGunluk[FormulPr_oran]),0))</f>
        <v/>
      </c>
      <c r="K27" s="19">
        <f>IF($A27="","",SUMIF(tblGunluk[VarlikId],$A27,tblGunluk[KayipKwh_kwh]))</f>
        <v/>
      </c>
      <c r="L27" s="19">
        <f>IF($A27="","",MAX(0,MIN(100,gup_kaliteTaban-IF($J27&lt;gup_esikPr,gup_kaliteCeza,0)-COUNTIFS(tblGunluk[VarlikId],$A27,tblGunluk[AlarmBayrak],"ALARM")*gup_kaliteSapma-IF($H27="HAYIR",gup_kaliteCeza,0))))</f>
        <v/>
      </c>
    </row>
    <row r="28">
      <c r="A28" s="15" t="n"/>
      <c r="B28" s="15" t="n"/>
      <c r="C28" s="15" t="n"/>
      <c r="D28" s="16" t="n"/>
      <c r="E28" s="17" t="n"/>
      <c r="F28" s="15" t="n"/>
      <c r="G28" s="18" t="n"/>
      <c r="H28" s="15" t="n"/>
      <c r="I28" s="19">
        <f>IF($A28="","",SUMIF(tblGunluk[VarlikId],$A28,tblGunluk[UretimKwh_kwh]))</f>
        <v/>
      </c>
      <c r="J28" s="19">
        <f>IF($A28="","",IFERROR(AVERAGEIF(tblGunluk[VarlikId],$A28,tblGunluk[FormulPr_oran]),0))</f>
        <v/>
      </c>
      <c r="K28" s="19">
        <f>IF($A28="","",SUMIF(tblGunluk[VarlikId],$A28,tblGunluk[KayipKwh_kwh]))</f>
        <v/>
      </c>
      <c r="L28" s="19">
        <f>IF($A28="","",MAX(0,MIN(100,gup_kaliteTaban-IF($J28&lt;gup_esikPr,gup_kaliteCeza,0)-COUNTIFS(tblGunluk[VarlikId],$A28,tblGunluk[AlarmBayrak],"ALARM")*gup_kaliteSapma-IF($H28="HAYIR",gup_kaliteCeza,0))))</f>
        <v/>
      </c>
    </row>
    <row r="29">
      <c r="A29" s="15" t="n"/>
      <c r="B29" s="15" t="n"/>
      <c r="C29" s="15" t="n"/>
      <c r="D29" s="16" t="n"/>
      <c r="E29" s="17" t="n"/>
      <c r="F29" s="15" t="n"/>
      <c r="G29" s="18" t="n"/>
      <c r="H29" s="15" t="n"/>
      <c r="I29" s="19">
        <f>IF($A29="","",SUMIF(tblGunluk[VarlikId],$A29,tblGunluk[UretimKwh_kwh]))</f>
        <v/>
      </c>
      <c r="J29" s="19">
        <f>IF($A29="","",IFERROR(AVERAGEIF(tblGunluk[VarlikId],$A29,tblGunluk[FormulPr_oran]),0))</f>
        <v/>
      </c>
      <c r="K29" s="19">
        <f>IF($A29="","",SUMIF(tblGunluk[VarlikId],$A29,tblGunluk[KayipKwh_kwh]))</f>
        <v/>
      </c>
      <c r="L29" s="19">
        <f>IF($A29="","",MAX(0,MIN(100,gup_kaliteTaban-IF($J29&lt;gup_esikPr,gup_kaliteCeza,0)-COUNTIFS(tblGunluk[VarlikId],$A29,tblGunluk[AlarmBayrak],"ALARM")*gup_kaliteSapma-IF($H29="HAYIR",gup_kaliteCeza,0))))</f>
        <v/>
      </c>
    </row>
    <row r="30">
      <c r="A30" s="15" t="n"/>
      <c r="B30" s="15" t="n"/>
      <c r="C30" s="15" t="n"/>
      <c r="D30" s="16" t="n"/>
      <c r="E30" s="17" t="n"/>
      <c r="F30" s="15" t="n"/>
      <c r="G30" s="18" t="n"/>
      <c r="H30" s="15" t="n"/>
      <c r="I30" s="19">
        <f>IF($A30="","",SUMIF(tblGunluk[VarlikId],$A30,tblGunluk[UretimKwh_kwh]))</f>
        <v/>
      </c>
      <c r="J30" s="19">
        <f>IF($A30="","",IFERROR(AVERAGEIF(tblGunluk[VarlikId],$A30,tblGunluk[FormulPr_oran]),0))</f>
        <v/>
      </c>
      <c r="K30" s="19">
        <f>IF($A30="","",SUMIF(tblGunluk[VarlikId],$A30,tblGunluk[KayipKwh_kwh]))</f>
        <v/>
      </c>
      <c r="L30" s="19">
        <f>IF($A30="","",MAX(0,MIN(100,gup_kaliteTaban-IF($J30&lt;gup_esikPr,gup_kaliteCeza,0)-COUNTIFS(tblGunluk[VarlikId],$A30,tblGunluk[AlarmBayrak],"ALARM")*gup_kaliteSapma-IF($H30="HAYIR",gup_kaliteCeza,0))))</f>
        <v/>
      </c>
    </row>
    <row r="31">
      <c r="A31" s="15" t="n"/>
      <c r="B31" s="15" t="n"/>
      <c r="C31" s="15" t="n"/>
      <c r="D31" s="16" t="n"/>
      <c r="E31" s="17" t="n"/>
      <c r="F31" s="15" t="n"/>
      <c r="G31" s="18" t="n"/>
      <c r="H31" s="15" t="n"/>
      <c r="I31" s="19">
        <f>IF($A31="","",SUMIF(tblGunluk[VarlikId],$A31,tblGunluk[UretimKwh_kwh]))</f>
        <v/>
      </c>
      <c r="J31" s="19">
        <f>IF($A31="","",IFERROR(AVERAGEIF(tblGunluk[VarlikId],$A31,tblGunluk[FormulPr_oran]),0))</f>
        <v/>
      </c>
      <c r="K31" s="19">
        <f>IF($A31="","",SUMIF(tblGunluk[VarlikId],$A31,tblGunluk[KayipKwh_kwh]))</f>
        <v/>
      </c>
      <c r="L31" s="19">
        <f>IF($A31="","",MAX(0,MIN(100,gup_kaliteTaban-IF($J31&lt;gup_esikPr,gup_kaliteCeza,0)-COUNTIFS(tblGunluk[VarlikId],$A31,tblGunluk[AlarmBayrak],"ALARM")*gup_kaliteSapma-IF($H31="HAYIR",gup_kaliteCeza,0))))</f>
        <v/>
      </c>
    </row>
    <row r="32">
      <c r="A32" s="15" t="n"/>
      <c r="B32" s="15" t="n"/>
      <c r="C32" s="15" t="n"/>
      <c r="D32" s="16" t="n"/>
      <c r="E32" s="17" t="n"/>
      <c r="F32" s="15" t="n"/>
      <c r="G32" s="18" t="n"/>
      <c r="H32" s="15" t="n"/>
      <c r="I32" s="19">
        <f>IF($A32="","",SUMIF(tblGunluk[VarlikId],$A32,tblGunluk[UretimKwh_kwh]))</f>
        <v/>
      </c>
      <c r="J32" s="19">
        <f>IF($A32="","",IFERROR(AVERAGEIF(tblGunluk[VarlikId],$A32,tblGunluk[FormulPr_oran]),0))</f>
        <v/>
      </c>
      <c r="K32" s="19">
        <f>IF($A32="","",SUMIF(tblGunluk[VarlikId],$A32,tblGunluk[KayipKwh_kwh]))</f>
        <v/>
      </c>
      <c r="L32" s="19">
        <f>IF($A32="","",MAX(0,MIN(100,gup_kaliteTaban-IF($J32&lt;gup_esikPr,gup_kaliteCeza,0)-COUNTIFS(tblGunluk[VarlikId],$A32,tblGunluk[AlarmBayrak],"ALARM")*gup_kaliteSapma-IF($H32="HAYIR",gup_kaliteCeza,0))))</f>
        <v/>
      </c>
    </row>
    <row r="33">
      <c r="A33" s="15" t="n"/>
      <c r="B33" s="15" t="n"/>
      <c r="C33" s="15" t="n"/>
      <c r="D33" s="16" t="n"/>
      <c r="E33" s="17" t="n"/>
      <c r="F33" s="15" t="n"/>
      <c r="G33" s="18" t="n"/>
      <c r="H33" s="15" t="n"/>
      <c r="I33" s="19">
        <f>IF($A33="","",SUMIF(tblGunluk[VarlikId],$A33,tblGunluk[UretimKwh_kwh]))</f>
        <v/>
      </c>
      <c r="J33" s="19">
        <f>IF($A33="","",IFERROR(AVERAGEIF(tblGunluk[VarlikId],$A33,tblGunluk[FormulPr_oran]),0))</f>
        <v/>
      </c>
      <c r="K33" s="19">
        <f>IF($A33="","",SUMIF(tblGunluk[VarlikId],$A33,tblGunluk[KayipKwh_kwh]))</f>
        <v/>
      </c>
      <c r="L33" s="19">
        <f>IF($A33="","",MAX(0,MIN(100,gup_kaliteTaban-IF($J33&lt;gup_esikPr,gup_kaliteCeza,0)-COUNTIFS(tblGunluk[VarlikId],$A33,tblGunluk[AlarmBayrak],"ALARM")*gup_kaliteSapma-IF($H33="HAYIR",gup_kaliteCeza,0))))</f>
        <v/>
      </c>
    </row>
    <row r="34">
      <c r="A34" s="15" t="n"/>
      <c r="B34" s="15" t="n"/>
      <c r="C34" s="15" t="n"/>
      <c r="D34" s="16" t="n"/>
      <c r="E34" s="17" t="n"/>
      <c r="F34" s="15" t="n"/>
      <c r="G34" s="18" t="n"/>
      <c r="H34" s="15" t="n"/>
      <c r="I34" s="19">
        <f>IF($A34="","",SUMIF(tblGunluk[VarlikId],$A34,tblGunluk[UretimKwh_kwh]))</f>
        <v/>
      </c>
      <c r="J34" s="19">
        <f>IF($A34="","",IFERROR(AVERAGEIF(tblGunluk[VarlikId],$A34,tblGunluk[FormulPr_oran]),0))</f>
        <v/>
      </c>
      <c r="K34" s="19">
        <f>IF($A34="","",SUMIF(tblGunluk[VarlikId],$A34,tblGunluk[KayipKwh_kwh]))</f>
        <v/>
      </c>
      <c r="L34" s="19">
        <f>IF($A34="","",MAX(0,MIN(100,gup_kaliteTaban-IF($J34&lt;gup_esikPr,gup_kaliteCeza,0)-COUNTIFS(tblGunluk[VarlikId],$A34,tblGunluk[AlarmBayrak],"ALARM")*gup_kaliteSapma-IF($H34="HAYIR",gup_kaliteCeza,0))))</f>
        <v/>
      </c>
    </row>
    <row r="35">
      <c r="A35" s="15" t="n"/>
      <c r="B35" s="15" t="n"/>
      <c r="C35" s="15" t="n"/>
      <c r="D35" s="16" t="n"/>
      <c r="E35" s="17" t="n"/>
      <c r="F35" s="15" t="n"/>
      <c r="G35" s="18" t="n"/>
      <c r="H35" s="15" t="n"/>
      <c r="I35" s="19">
        <f>IF($A35="","",SUMIF(tblGunluk[VarlikId],$A35,tblGunluk[UretimKwh_kwh]))</f>
        <v/>
      </c>
      <c r="J35" s="19">
        <f>IF($A35="","",IFERROR(AVERAGEIF(tblGunluk[VarlikId],$A35,tblGunluk[FormulPr_oran]),0))</f>
        <v/>
      </c>
      <c r="K35" s="19">
        <f>IF($A35="","",SUMIF(tblGunluk[VarlikId],$A35,tblGunluk[KayipKwh_kwh]))</f>
        <v/>
      </c>
      <c r="L35" s="19">
        <f>IF($A35="","",MAX(0,MIN(100,gup_kaliteTaban-IF($J35&lt;gup_esikPr,gup_kaliteCeza,0)-COUNTIFS(tblGunluk[VarlikId],$A35,tblGunluk[AlarmBayrak],"ALARM")*gup_kaliteSapma-IF($H35="HAYIR",gup_kaliteCeza,0))))</f>
        <v/>
      </c>
    </row>
    <row r="36">
      <c r="A36" s="15" t="n"/>
      <c r="B36" s="15" t="n"/>
      <c r="C36" s="15" t="n"/>
      <c r="D36" s="16" t="n"/>
      <c r="E36" s="17" t="n"/>
      <c r="F36" s="15" t="n"/>
      <c r="G36" s="18" t="n"/>
      <c r="H36" s="15" t="n"/>
      <c r="I36" s="19">
        <f>IF($A36="","",SUMIF(tblGunluk[VarlikId],$A36,tblGunluk[UretimKwh_kwh]))</f>
        <v/>
      </c>
      <c r="J36" s="19">
        <f>IF($A36="","",IFERROR(AVERAGEIF(tblGunluk[VarlikId],$A36,tblGunluk[FormulPr_oran]),0))</f>
        <v/>
      </c>
      <c r="K36" s="19">
        <f>IF($A36="","",SUMIF(tblGunluk[VarlikId],$A36,tblGunluk[KayipKwh_kwh]))</f>
        <v/>
      </c>
      <c r="L36" s="19">
        <f>IF($A36="","",MAX(0,MIN(100,gup_kaliteTaban-IF($J36&lt;gup_esikPr,gup_kaliteCeza,0)-COUNTIFS(tblGunluk[VarlikId],$A36,tblGunluk[AlarmBayrak],"ALARM")*gup_kaliteSapma-IF($H36="HAYIR",gup_kaliteCeza,0))))</f>
        <v/>
      </c>
    </row>
    <row r="37">
      <c r="A37" s="15" t="n"/>
      <c r="B37" s="15" t="n"/>
      <c r="C37" s="15" t="n"/>
      <c r="D37" s="16" t="n"/>
      <c r="E37" s="17" t="n"/>
      <c r="F37" s="15" t="n"/>
      <c r="G37" s="18" t="n"/>
      <c r="H37" s="15" t="n"/>
      <c r="I37" s="19">
        <f>IF($A37="","",SUMIF(tblGunluk[VarlikId],$A37,tblGunluk[UretimKwh_kwh]))</f>
        <v/>
      </c>
      <c r="J37" s="19">
        <f>IF($A37="","",IFERROR(AVERAGEIF(tblGunluk[VarlikId],$A37,tblGunluk[FormulPr_oran]),0))</f>
        <v/>
      </c>
      <c r="K37" s="19">
        <f>IF($A37="","",SUMIF(tblGunluk[VarlikId],$A37,tblGunluk[KayipKwh_kwh]))</f>
        <v/>
      </c>
      <c r="L37" s="19">
        <f>IF($A37="","",MAX(0,MIN(100,gup_kaliteTaban-IF($J37&lt;gup_esikPr,gup_kaliteCeza,0)-COUNTIFS(tblGunluk[VarlikId],$A37,tblGunluk[AlarmBayrak],"ALARM")*gup_kaliteSapma-IF($H37="HAYIR",gup_kaliteCeza,0))))</f>
        <v/>
      </c>
    </row>
    <row r="38">
      <c r="A38" s="15" t="n"/>
      <c r="B38" s="15" t="n"/>
      <c r="C38" s="15" t="n"/>
      <c r="D38" s="16" t="n"/>
      <c r="E38" s="17" t="n"/>
      <c r="F38" s="15" t="n"/>
      <c r="G38" s="18" t="n"/>
      <c r="H38" s="15" t="n"/>
      <c r="I38" s="19">
        <f>IF($A38="","",SUMIF(tblGunluk[VarlikId],$A38,tblGunluk[UretimKwh_kwh]))</f>
        <v/>
      </c>
      <c r="J38" s="19">
        <f>IF($A38="","",IFERROR(AVERAGEIF(tblGunluk[VarlikId],$A38,tblGunluk[FormulPr_oran]),0))</f>
        <v/>
      </c>
      <c r="K38" s="19">
        <f>IF($A38="","",SUMIF(tblGunluk[VarlikId],$A38,tblGunluk[KayipKwh_kwh]))</f>
        <v/>
      </c>
      <c r="L38" s="19">
        <f>IF($A38="","",MAX(0,MIN(100,gup_kaliteTaban-IF($J38&lt;gup_esikPr,gup_kaliteCeza,0)-COUNTIFS(tblGunluk[VarlikId],$A38,tblGunluk[AlarmBayrak],"ALARM")*gup_kaliteSapma-IF($H38="HAYIR",gup_kaliteCeza,0))))</f>
        <v/>
      </c>
    </row>
    <row r="39">
      <c r="A39" s="15" t="n"/>
      <c r="B39" s="15" t="n"/>
      <c r="C39" s="15" t="n"/>
      <c r="D39" s="16" t="n"/>
      <c r="E39" s="17" t="n"/>
      <c r="F39" s="15" t="n"/>
      <c r="G39" s="18" t="n"/>
      <c r="H39" s="15" t="n"/>
      <c r="I39" s="19">
        <f>IF($A39="","",SUMIF(tblGunluk[VarlikId],$A39,tblGunluk[UretimKwh_kwh]))</f>
        <v/>
      </c>
      <c r="J39" s="19">
        <f>IF($A39="","",IFERROR(AVERAGEIF(tblGunluk[VarlikId],$A39,tblGunluk[FormulPr_oran]),0))</f>
        <v/>
      </c>
      <c r="K39" s="19">
        <f>IF($A39="","",SUMIF(tblGunluk[VarlikId],$A39,tblGunluk[KayipKwh_kwh]))</f>
        <v/>
      </c>
      <c r="L39" s="19">
        <f>IF($A39="","",MAX(0,MIN(100,gup_kaliteTaban-IF($J39&lt;gup_esikPr,gup_kaliteCeza,0)-COUNTIFS(tblGunluk[VarlikId],$A39,tblGunluk[AlarmBayrak],"ALARM")*gup_kaliteSapma-IF($H39="HAYIR",gup_kaliteCeza,0))))</f>
        <v/>
      </c>
    </row>
    <row r="40">
      <c r="A40" s="15" t="n"/>
      <c r="B40" s="15" t="n"/>
      <c r="C40" s="15" t="n"/>
      <c r="D40" s="16" t="n"/>
      <c r="E40" s="17" t="n"/>
      <c r="F40" s="15" t="n"/>
      <c r="G40" s="18" t="n"/>
      <c r="H40" s="15" t="n"/>
      <c r="I40" s="19">
        <f>IF($A40="","",SUMIF(tblGunluk[VarlikId],$A40,tblGunluk[UretimKwh_kwh]))</f>
        <v/>
      </c>
      <c r="J40" s="19">
        <f>IF($A40="","",IFERROR(AVERAGEIF(tblGunluk[VarlikId],$A40,tblGunluk[FormulPr_oran]),0))</f>
        <v/>
      </c>
      <c r="K40" s="19">
        <f>IF($A40="","",SUMIF(tblGunluk[VarlikId],$A40,tblGunluk[KayipKwh_kwh]))</f>
        <v/>
      </c>
      <c r="L40" s="19">
        <f>IF($A40="","",MAX(0,MIN(100,gup_kaliteTaban-IF($J40&lt;gup_esikPr,gup_kaliteCeza,0)-COUNTIFS(tblGunluk[VarlikId],$A40,tblGunluk[AlarmBayrak],"ALARM")*gup_kaliteSapma-IF($H40="HAYIR",gup_kaliteCeza,0))))</f>
        <v/>
      </c>
    </row>
    <row r="41">
      <c r="A41" s="15" t="n"/>
      <c r="B41" s="15" t="n"/>
      <c r="C41" s="15" t="n"/>
      <c r="D41" s="16" t="n"/>
      <c r="E41" s="17" t="n"/>
      <c r="F41" s="15" t="n"/>
      <c r="G41" s="18" t="n"/>
      <c r="H41" s="15" t="n"/>
      <c r="I41" s="19">
        <f>IF($A41="","",SUMIF(tblGunluk[VarlikId],$A41,tblGunluk[UretimKwh_kwh]))</f>
        <v/>
      </c>
      <c r="J41" s="19">
        <f>IF($A41="","",IFERROR(AVERAGEIF(tblGunluk[VarlikId],$A41,tblGunluk[FormulPr_oran]),0))</f>
        <v/>
      </c>
      <c r="K41" s="19">
        <f>IF($A41="","",SUMIF(tblGunluk[VarlikId],$A41,tblGunluk[KayipKwh_kwh]))</f>
        <v/>
      </c>
      <c r="L41" s="19">
        <f>IF($A41="","",MAX(0,MIN(100,gup_kaliteTaban-IF($J41&lt;gup_esikPr,gup_kaliteCeza,0)-COUNTIFS(tblGunluk[VarlikId],$A41,tblGunluk[AlarmBayrak],"ALARM")*gup_kaliteSapma-IF($H41="HAYIR",gup_kaliteCeza,0))))</f>
        <v/>
      </c>
    </row>
    <row r="42">
      <c r="A42" s="15" t="n"/>
      <c r="B42" s="15" t="n"/>
      <c r="C42" s="15" t="n"/>
      <c r="D42" s="16" t="n"/>
      <c r="E42" s="17" t="n"/>
      <c r="F42" s="15" t="n"/>
      <c r="G42" s="18" t="n"/>
      <c r="H42" s="15" t="n"/>
      <c r="I42" s="19">
        <f>IF($A42="","",SUMIF(tblGunluk[VarlikId],$A42,tblGunluk[UretimKwh_kwh]))</f>
        <v/>
      </c>
      <c r="J42" s="19">
        <f>IF($A42="","",IFERROR(AVERAGEIF(tblGunluk[VarlikId],$A42,tblGunluk[FormulPr_oran]),0))</f>
        <v/>
      </c>
      <c r="K42" s="19">
        <f>IF($A42="","",SUMIF(tblGunluk[VarlikId],$A42,tblGunluk[KayipKwh_kwh]))</f>
        <v/>
      </c>
      <c r="L42" s="19">
        <f>IF($A42="","",MAX(0,MIN(100,gup_kaliteTaban-IF($J42&lt;gup_esikPr,gup_kaliteCeza,0)-COUNTIFS(tblGunluk[VarlikId],$A42,tblGunluk[AlarmBayrak],"ALARM")*gup_kaliteSapma-IF($H42="HAYIR",gup_kaliteCeza,0))))</f>
        <v/>
      </c>
    </row>
    <row r="43">
      <c r="A43" s="15" t="n"/>
      <c r="B43" s="15" t="n"/>
      <c r="C43" s="15" t="n"/>
      <c r="D43" s="16" t="n"/>
      <c r="E43" s="17" t="n"/>
      <c r="F43" s="15" t="n"/>
      <c r="G43" s="18" t="n"/>
      <c r="H43" s="15" t="n"/>
      <c r="I43" s="19">
        <f>IF($A43="","",SUMIF(tblGunluk[VarlikId],$A43,tblGunluk[UretimKwh_kwh]))</f>
        <v/>
      </c>
      <c r="J43" s="19">
        <f>IF($A43="","",IFERROR(AVERAGEIF(tblGunluk[VarlikId],$A43,tblGunluk[FormulPr_oran]),0))</f>
        <v/>
      </c>
      <c r="K43" s="19">
        <f>IF($A43="","",SUMIF(tblGunluk[VarlikId],$A43,tblGunluk[KayipKwh_kwh]))</f>
        <v/>
      </c>
      <c r="L43" s="19">
        <f>IF($A43="","",MAX(0,MIN(100,gup_kaliteTaban-IF($J43&lt;gup_esikPr,gup_kaliteCeza,0)-COUNTIFS(tblGunluk[VarlikId],$A43,tblGunluk[AlarmBayrak],"ALARM")*gup_kaliteSapma-IF($H43="HAYIR",gup_kaliteCeza,0))))</f>
        <v/>
      </c>
    </row>
    <row r="44">
      <c r="A44" s="15" t="n"/>
      <c r="B44" s="15" t="n"/>
      <c r="C44" s="15" t="n"/>
      <c r="D44" s="16" t="n"/>
      <c r="E44" s="17" t="n"/>
      <c r="F44" s="15" t="n"/>
      <c r="G44" s="18" t="n"/>
      <c r="H44" s="15" t="n"/>
      <c r="I44" s="19">
        <f>IF($A44="","",SUMIF(tblGunluk[VarlikId],$A44,tblGunluk[UretimKwh_kwh]))</f>
        <v/>
      </c>
      <c r="J44" s="19">
        <f>IF($A44="","",IFERROR(AVERAGEIF(tblGunluk[VarlikId],$A44,tblGunluk[FormulPr_oran]),0))</f>
        <v/>
      </c>
      <c r="K44" s="19">
        <f>IF($A44="","",SUMIF(tblGunluk[VarlikId],$A44,tblGunluk[KayipKwh_kwh]))</f>
        <v/>
      </c>
      <c r="L44" s="19">
        <f>IF($A44="","",MAX(0,MIN(100,gup_kaliteTaban-IF($J44&lt;gup_esikPr,gup_kaliteCeza,0)-COUNTIFS(tblGunluk[VarlikId],$A44,tblGunluk[AlarmBayrak],"ALARM")*gup_kaliteSapma-IF($H44="HAYIR",gup_kaliteCeza,0))))</f>
        <v/>
      </c>
    </row>
    <row r="45">
      <c r="A45" s="15" t="n"/>
      <c r="B45" s="15" t="n"/>
      <c r="C45" s="15" t="n"/>
      <c r="D45" s="16" t="n"/>
      <c r="E45" s="17" t="n"/>
      <c r="F45" s="15" t="n"/>
      <c r="G45" s="18" t="n"/>
      <c r="H45" s="15" t="n"/>
      <c r="I45" s="19">
        <f>IF($A45="","",SUMIF(tblGunluk[VarlikId],$A45,tblGunluk[UretimKwh_kwh]))</f>
        <v/>
      </c>
      <c r="J45" s="19">
        <f>IF($A45="","",IFERROR(AVERAGEIF(tblGunluk[VarlikId],$A45,tblGunluk[FormulPr_oran]),0))</f>
        <v/>
      </c>
      <c r="K45" s="19">
        <f>IF($A45="","",SUMIF(tblGunluk[VarlikId],$A45,tblGunluk[KayipKwh_kwh]))</f>
        <v/>
      </c>
      <c r="L45" s="19">
        <f>IF($A45="","",MAX(0,MIN(100,gup_kaliteTaban-IF($J45&lt;gup_esikPr,gup_kaliteCeza,0)-COUNTIFS(tblGunluk[VarlikId],$A45,tblGunluk[AlarmBayrak],"ALARM")*gup_kaliteSapma-IF($H45="HAYIR",gup_kaliteCeza,0))))</f>
        <v/>
      </c>
    </row>
    <row r="46">
      <c r="A46" s="15" t="n"/>
      <c r="B46" s="15" t="n"/>
      <c r="C46" s="15" t="n"/>
      <c r="D46" s="16" t="n"/>
      <c r="E46" s="17" t="n"/>
      <c r="F46" s="15" t="n"/>
      <c r="G46" s="18" t="n"/>
      <c r="H46" s="15" t="n"/>
      <c r="I46" s="19">
        <f>IF($A46="","",SUMIF(tblGunluk[VarlikId],$A46,tblGunluk[UretimKwh_kwh]))</f>
        <v/>
      </c>
      <c r="J46" s="19">
        <f>IF($A46="","",IFERROR(AVERAGEIF(tblGunluk[VarlikId],$A46,tblGunluk[FormulPr_oran]),0))</f>
        <v/>
      </c>
      <c r="K46" s="19">
        <f>IF($A46="","",SUMIF(tblGunluk[VarlikId],$A46,tblGunluk[KayipKwh_kwh]))</f>
        <v/>
      </c>
      <c r="L46" s="19">
        <f>IF($A46="","",MAX(0,MIN(100,gup_kaliteTaban-IF($J46&lt;gup_esikPr,gup_kaliteCeza,0)-COUNTIFS(tblGunluk[VarlikId],$A46,tblGunluk[AlarmBayrak],"ALARM")*gup_kaliteSapma-IF($H46="HAYIR",gup_kaliteCeza,0))))</f>
        <v/>
      </c>
    </row>
    <row r="47">
      <c r="A47" s="15" t="n"/>
      <c r="B47" s="15" t="n"/>
      <c r="C47" s="15" t="n"/>
      <c r="D47" s="16" t="n"/>
      <c r="E47" s="17" t="n"/>
      <c r="F47" s="15" t="n"/>
      <c r="G47" s="18" t="n"/>
      <c r="H47" s="15" t="n"/>
      <c r="I47" s="19">
        <f>IF($A47="","",SUMIF(tblGunluk[VarlikId],$A47,tblGunluk[UretimKwh_kwh]))</f>
        <v/>
      </c>
      <c r="J47" s="19">
        <f>IF($A47="","",IFERROR(AVERAGEIF(tblGunluk[VarlikId],$A47,tblGunluk[FormulPr_oran]),0))</f>
        <v/>
      </c>
      <c r="K47" s="19">
        <f>IF($A47="","",SUMIF(tblGunluk[VarlikId],$A47,tblGunluk[KayipKwh_kwh]))</f>
        <v/>
      </c>
      <c r="L47" s="19">
        <f>IF($A47="","",MAX(0,MIN(100,gup_kaliteTaban-IF($J47&lt;gup_esikPr,gup_kaliteCeza,0)-COUNTIFS(tblGunluk[VarlikId],$A47,tblGunluk[AlarmBayrak],"ALARM")*gup_kaliteSapma-IF($H47="HAYIR",gup_kaliteCeza,0))))</f>
        <v/>
      </c>
    </row>
    <row r="48">
      <c r="A48" s="15" t="n"/>
      <c r="B48" s="15" t="n"/>
      <c r="C48" s="15" t="n"/>
      <c r="D48" s="16" t="n"/>
      <c r="E48" s="17" t="n"/>
      <c r="F48" s="15" t="n"/>
      <c r="G48" s="18" t="n"/>
      <c r="H48" s="15" t="n"/>
      <c r="I48" s="19">
        <f>IF($A48="","",SUMIF(tblGunluk[VarlikId],$A48,tblGunluk[UretimKwh_kwh]))</f>
        <v/>
      </c>
      <c r="J48" s="19">
        <f>IF($A48="","",IFERROR(AVERAGEIF(tblGunluk[VarlikId],$A48,tblGunluk[FormulPr_oran]),0))</f>
        <v/>
      </c>
      <c r="K48" s="19">
        <f>IF($A48="","",SUMIF(tblGunluk[VarlikId],$A48,tblGunluk[KayipKwh_kwh]))</f>
        <v/>
      </c>
      <c r="L48" s="19">
        <f>IF($A48="","",MAX(0,MIN(100,gup_kaliteTaban-IF($J48&lt;gup_esikPr,gup_kaliteCeza,0)-COUNTIFS(tblGunluk[VarlikId],$A48,tblGunluk[AlarmBayrak],"ALARM")*gup_kaliteSapma-IF($H48="HAYIR",gup_kaliteCeza,0))))</f>
        <v/>
      </c>
    </row>
    <row r="49">
      <c r="A49" s="15" t="n"/>
      <c r="B49" s="15" t="n"/>
      <c r="C49" s="15" t="n"/>
      <c r="D49" s="16" t="n"/>
      <c r="E49" s="17" t="n"/>
      <c r="F49" s="15" t="n"/>
      <c r="G49" s="18" t="n"/>
      <c r="H49" s="15" t="n"/>
      <c r="I49" s="19">
        <f>IF($A49="","",SUMIF(tblGunluk[VarlikId],$A49,tblGunluk[UretimKwh_kwh]))</f>
        <v/>
      </c>
      <c r="J49" s="19">
        <f>IF($A49="","",IFERROR(AVERAGEIF(tblGunluk[VarlikId],$A49,tblGunluk[FormulPr_oran]),0))</f>
        <v/>
      </c>
      <c r="K49" s="19">
        <f>IF($A49="","",SUMIF(tblGunluk[VarlikId],$A49,tblGunluk[KayipKwh_kwh]))</f>
        <v/>
      </c>
      <c r="L49" s="19">
        <f>IF($A49="","",MAX(0,MIN(100,gup_kaliteTaban-IF($J49&lt;gup_esikPr,gup_kaliteCeza,0)-COUNTIFS(tblGunluk[VarlikId],$A49,tblGunluk[AlarmBayrak],"ALARM")*gup_kaliteSapma-IF($H49="HAYIR",gup_kaliteCeza,0))))</f>
        <v/>
      </c>
    </row>
    <row r="50">
      <c r="A50" s="15" t="n"/>
      <c r="B50" s="15" t="n"/>
      <c r="C50" s="15" t="n"/>
      <c r="D50" s="16" t="n"/>
      <c r="E50" s="17" t="n"/>
      <c r="F50" s="15" t="n"/>
      <c r="G50" s="18" t="n"/>
      <c r="H50" s="15" t="n"/>
      <c r="I50" s="19">
        <f>IF($A50="","",SUMIF(tblGunluk[VarlikId],$A50,tblGunluk[UretimKwh_kwh]))</f>
        <v/>
      </c>
      <c r="J50" s="19">
        <f>IF($A50="","",IFERROR(AVERAGEIF(tblGunluk[VarlikId],$A50,tblGunluk[FormulPr_oran]),0))</f>
        <v/>
      </c>
      <c r="K50" s="19">
        <f>IF($A50="","",SUMIF(tblGunluk[VarlikId],$A50,tblGunluk[KayipKwh_kwh]))</f>
        <v/>
      </c>
      <c r="L50" s="19">
        <f>IF($A50="","",MAX(0,MIN(100,gup_kaliteTaban-IF($J50&lt;gup_esikPr,gup_kaliteCeza,0)-COUNTIFS(tblGunluk[VarlikId],$A50,tblGunluk[AlarmBayrak],"ALARM")*gup_kaliteSapma-IF($H50="HAYIR",gup_kaliteCeza,0))))</f>
        <v/>
      </c>
    </row>
    <row r="51">
      <c r="A51" s="15" t="n"/>
      <c r="B51" s="15" t="n"/>
      <c r="C51" s="15" t="n"/>
      <c r="D51" s="16" t="n"/>
      <c r="E51" s="17" t="n"/>
      <c r="F51" s="15" t="n"/>
      <c r="G51" s="18" t="n"/>
      <c r="H51" s="15" t="n"/>
      <c r="I51" s="19">
        <f>IF($A51="","",SUMIF(tblGunluk[VarlikId],$A51,tblGunluk[UretimKwh_kwh]))</f>
        <v/>
      </c>
      <c r="J51" s="19">
        <f>IF($A51="","",IFERROR(AVERAGEIF(tblGunluk[VarlikId],$A51,tblGunluk[FormulPr_oran]),0))</f>
        <v/>
      </c>
      <c r="K51" s="19">
        <f>IF($A51="","",SUMIF(tblGunluk[VarlikId],$A51,tblGunluk[KayipKwh_kwh]))</f>
        <v/>
      </c>
      <c r="L51" s="19">
        <f>IF($A51="","",MAX(0,MIN(100,gup_kaliteTaban-IF($J51&lt;gup_esikPr,gup_kaliteCeza,0)-COUNTIFS(tblGunluk[VarlikId],$A51,tblGunluk[AlarmBayrak],"ALARM")*gup_kaliteSapma-IF($H51="HAYIR",gup_kaliteCeza,0))))</f>
        <v/>
      </c>
    </row>
    <row r="52">
      <c r="A52" s="15" t="n"/>
      <c r="B52" s="15" t="n"/>
      <c r="C52" s="15" t="n"/>
      <c r="D52" s="16" t="n"/>
      <c r="E52" s="17" t="n"/>
      <c r="F52" s="15" t="n"/>
      <c r="G52" s="18" t="n"/>
      <c r="H52" s="15" t="n"/>
      <c r="I52" s="19">
        <f>IF($A52="","",SUMIF(tblGunluk[VarlikId],$A52,tblGunluk[UretimKwh_kwh]))</f>
        <v/>
      </c>
      <c r="J52" s="19">
        <f>IF($A52="","",IFERROR(AVERAGEIF(tblGunluk[VarlikId],$A52,tblGunluk[FormulPr_oran]),0))</f>
        <v/>
      </c>
      <c r="K52" s="19">
        <f>IF($A52="","",SUMIF(tblGunluk[VarlikId],$A52,tblGunluk[KayipKwh_kwh]))</f>
        <v/>
      </c>
      <c r="L52" s="19">
        <f>IF($A52="","",MAX(0,MIN(100,gup_kaliteTaban-IF($J52&lt;gup_esikPr,gup_kaliteCeza,0)-COUNTIFS(tblGunluk[VarlikId],$A52,tblGunluk[AlarmBayrak],"ALARM")*gup_kaliteSapma-IF($H52="HAYIR",gup_kaliteCeza,0))))</f>
        <v/>
      </c>
    </row>
    <row r="53">
      <c r="A53" s="15" t="n"/>
      <c r="B53" s="15" t="n"/>
      <c r="C53" s="15" t="n"/>
      <c r="D53" s="16" t="n"/>
      <c r="E53" s="17" t="n"/>
      <c r="F53" s="15" t="n"/>
      <c r="G53" s="18" t="n"/>
      <c r="H53" s="15" t="n"/>
      <c r="I53" s="19">
        <f>IF($A53="","",SUMIF(tblGunluk[VarlikId],$A53,tblGunluk[UretimKwh_kwh]))</f>
        <v/>
      </c>
      <c r="J53" s="19">
        <f>IF($A53="","",IFERROR(AVERAGEIF(tblGunluk[VarlikId],$A53,tblGunluk[FormulPr_oran]),0))</f>
        <v/>
      </c>
      <c r="K53" s="19">
        <f>IF($A53="","",SUMIF(tblGunluk[VarlikId],$A53,tblGunluk[KayipKwh_kwh]))</f>
        <v/>
      </c>
      <c r="L53" s="19">
        <f>IF($A53="","",MAX(0,MIN(100,gup_kaliteTaban-IF($J53&lt;gup_esikPr,gup_kaliteCeza,0)-COUNTIFS(tblGunluk[VarlikId],$A53,tblGunluk[AlarmBayrak],"ALARM")*gup_kaliteSapma-IF($H53="HAYIR",gup_kaliteCeza,0))))</f>
        <v/>
      </c>
    </row>
    <row r="54">
      <c r="A54" s="15" t="n"/>
      <c r="B54" s="15" t="n"/>
      <c r="C54" s="15" t="n"/>
      <c r="D54" s="16" t="n"/>
      <c r="E54" s="17" t="n"/>
      <c r="F54" s="15" t="n"/>
      <c r="G54" s="18" t="n"/>
      <c r="H54" s="15" t="n"/>
      <c r="I54" s="19">
        <f>IF($A54="","",SUMIF(tblGunluk[VarlikId],$A54,tblGunluk[UretimKwh_kwh]))</f>
        <v/>
      </c>
      <c r="J54" s="19">
        <f>IF($A54="","",IFERROR(AVERAGEIF(tblGunluk[VarlikId],$A54,tblGunluk[FormulPr_oran]),0))</f>
        <v/>
      </c>
      <c r="K54" s="19">
        <f>IF($A54="","",SUMIF(tblGunluk[VarlikId],$A54,tblGunluk[KayipKwh_kwh]))</f>
        <v/>
      </c>
      <c r="L54" s="19">
        <f>IF($A54="","",MAX(0,MIN(100,gup_kaliteTaban-IF($J54&lt;gup_esikPr,gup_kaliteCeza,0)-COUNTIFS(tblGunluk[VarlikId],$A54,tblGunluk[AlarmBayrak],"ALARM")*gup_kaliteSapma-IF($H54="HAYIR",gup_kaliteCeza,0))))</f>
        <v/>
      </c>
    </row>
    <row r="55">
      <c r="A55" s="15" t="n"/>
      <c r="B55" s="15" t="n"/>
      <c r="C55" s="15" t="n"/>
      <c r="D55" s="16" t="n"/>
      <c r="E55" s="17" t="n"/>
      <c r="F55" s="15" t="n"/>
      <c r="G55" s="18" t="n"/>
      <c r="H55" s="15" t="n"/>
      <c r="I55" s="19">
        <f>IF($A55="","",SUMIF(tblGunluk[VarlikId],$A55,tblGunluk[UretimKwh_kwh]))</f>
        <v/>
      </c>
      <c r="J55" s="19">
        <f>IF($A55="","",IFERROR(AVERAGEIF(tblGunluk[VarlikId],$A55,tblGunluk[FormulPr_oran]),0))</f>
        <v/>
      </c>
      <c r="K55" s="19">
        <f>IF($A55="","",SUMIF(tblGunluk[VarlikId],$A55,tblGunluk[KayipKwh_kwh]))</f>
        <v/>
      </c>
      <c r="L55" s="19">
        <f>IF($A55="","",MAX(0,MIN(100,gup_kaliteTaban-IF($J55&lt;gup_esikPr,gup_kaliteCeza,0)-COUNTIFS(tblGunluk[VarlikId],$A55,tblGunluk[AlarmBayrak],"ALARM")*gup_kaliteSapma-IF($H55="HAYIR",gup_kaliteCeza,0))))</f>
        <v/>
      </c>
    </row>
    <row r="56">
      <c r="A56" s="15" t="n"/>
      <c r="B56" s="15" t="n"/>
      <c r="C56" s="15" t="n"/>
      <c r="D56" s="16" t="n"/>
      <c r="E56" s="17" t="n"/>
      <c r="F56" s="15" t="n"/>
      <c r="G56" s="18" t="n"/>
      <c r="H56" s="15" t="n"/>
      <c r="I56" s="19">
        <f>IF($A56="","",SUMIF(tblGunluk[VarlikId],$A56,tblGunluk[UretimKwh_kwh]))</f>
        <v/>
      </c>
      <c r="J56" s="19">
        <f>IF($A56="","",IFERROR(AVERAGEIF(tblGunluk[VarlikId],$A56,tblGunluk[FormulPr_oran]),0))</f>
        <v/>
      </c>
      <c r="K56" s="19">
        <f>IF($A56="","",SUMIF(tblGunluk[VarlikId],$A56,tblGunluk[KayipKwh_kwh]))</f>
        <v/>
      </c>
      <c r="L56" s="19">
        <f>IF($A56="","",MAX(0,MIN(100,gup_kaliteTaban-IF($J56&lt;gup_esikPr,gup_kaliteCeza,0)-COUNTIFS(tblGunluk[VarlikId],$A56,tblGunluk[AlarmBayrak],"ALARM")*gup_kaliteSapma-IF($H56="HAYIR",gup_kaliteCeza,0))))</f>
        <v/>
      </c>
    </row>
    <row r="57">
      <c r="A57" s="15" t="n"/>
      <c r="B57" s="15" t="n"/>
      <c r="C57" s="15" t="n"/>
      <c r="D57" s="16" t="n"/>
      <c r="E57" s="17" t="n"/>
      <c r="F57" s="15" t="n"/>
      <c r="G57" s="18" t="n"/>
      <c r="H57" s="15" t="n"/>
      <c r="I57" s="19">
        <f>IF($A57="","",SUMIF(tblGunluk[VarlikId],$A57,tblGunluk[UretimKwh_kwh]))</f>
        <v/>
      </c>
      <c r="J57" s="19">
        <f>IF($A57="","",IFERROR(AVERAGEIF(tblGunluk[VarlikId],$A57,tblGunluk[FormulPr_oran]),0))</f>
        <v/>
      </c>
      <c r="K57" s="19">
        <f>IF($A57="","",SUMIF(tblGunluk[VarlikId],$A57,tblGunluk[KayipKwh_kwh]))</f>
        <v/>
      </c>
      <c r="L57" s="19">
        <f>IF($A57="","",MAX(0,MIN(100,gup_kaliteTaban-IF($J57&lt;gup_esikPr,gup_kaliteCeza,0)-COUNTIFS(tblGunluk[VarlikId],$A57,tblGunluk[AlarmBayrak],"ALARM")*gup_kaliteSapma-IF($H57="HAYIR",gup_kaliteCeza,0))))</f>
        <v/>
      </c>
    </row>
    <row r="58">
      <c r="A58" s="15" t="n"/>
      <c r="B58" s="15" t="n"/>
      <c r="C58" s="15" t="n"/>
      <c r="D58" s="16" t="n"/>
      <c r="E58" s="17" t="n"/>
      <c r="F58" s="15" t="n"/>
      <c r="G58" s="18" t="n"/>
      <c r="H58" s="15" t="n"/>
      <c r="I58" s="19">
        <f>IF($A58="","",SUMIF(tblGunluk[VarlikId],$A58,tblGunluk[UretimKwh_kwh]))</f>
        <v/>
      </c>
      <c r="J58" s="19">
        <f>IF($A58="","",IFERROR(AVERAGEIF(tblGunluk[VarlikId],$A58,tblGunluk[FormulPr_oran]),0))</f>
        <v/>
      </c>
      <c r="K58" s="19">
        <f>IF($A58="","",SUMIF(tblGunluk[VarlikId],$A58,tblGunluk[KayipKwh_kwh]))</f>
        <v/>
      </c>
      <c r="L58" s="19">
        <f>IF($A58="","",MAX(0,MIN(100,gup_kaliteTaban-IF($J58&lt;gup_esikPr,gup_kaliteCeza,0)-COUNTIFS(tblGunluk[VarlikId],$A58,tblGunluk[AlarmBayrak],"ALARM")*gup_kaliteSapma-IF($H58="HAYIR",gup_kaliteCeza,0))))</f>
        <v/>
      </c>
    </row>
    <row r="59">
      <c r="A59" s="15" t="n"/>
      <c r="B59" s="15" t="n"/>
      <c r="C59" s="15" t="n"/>
      <c r="D59" s="16" t="n"/>
      <c r="E59" s="17" t="n"/>
      <c r="F59" s="15" t="n"/>
      <c r="G59" s="18" t="n"/>
      <c r="H59" s="15" t="n"/>
      <c r="I59" s="19">
        <f>IF($A59="","",SUMIF(tblGunluk[VarlikId],$A59,tblGunluk[UretimKwh_kwh]))</f>
        <v/>
      </c>
      <c r="J59" s="19">
        <f>IF($A59="","",IFERROR(AVERAGEIF(tblGunluk[VarlikId],$A59,tblGunluk[FormulPr_oran]),0))</f>
        <v/>
      </c>
      <c r="K59" s="19">
        <f>IF($A59="","",SUMIF(tblGunluk[VarlikId],$A59,tblGunluk[KayipKwh_kwh]))</f>
        <v/>
      </c>
      <c r="L59" s="19">
        <f>IF($A59="","",MAX(0,MIN(100,gup_kaliteTaban-IF($J59&lt;gup_esikPr,gup_kaliteCeza,0)-COUNTIFS(tblGunluk[VarlikId],$A59,tblGunluk[AlarmBayrak],"ALARM")*gup_kaliteSapma-IF($H59="HAYIR",gup_kaliteCeza,0))))</f>
        <v/>
      </c>
    </row>
    <row r="60">
      <c r="A60" s="15" t="n"/>
      <c r="B60" s="15" t="n"/>
      <c r="C60" s="15" t="n"/>
      <c r="D60" s="16" t="n"/>
      <c r="E60" s="17" t="n"/>
      <c r="F60" s="15" t="n"/>
      <c r="G60" s="18" t="n"/>
      <c r="H60" s="15" t="n"/>
      <c r="I60" s="19">
        <f>IF($A60="","",SUMIF(tblGunluk[VarlikId],$A60,tblGunluk[UretimKwh_kwh]))</f>
        <v/>
      </c>
      <c r="J60" s="19">
        <f>IF($A60="","",IFERROR(AVERAGEIF(tblGunluk[VarlikId],$A60,tblGunluk[FormulPr_oran]),0))</f>
        <v/>
      </c>
      <c r="K60" s="19">
        <f>IF($A60="","",SUMIF(tblGunluk[VarlikId],$A60,tblGunluk[KayipKwh_kwh]))</f>
        <v/>
      </c>
      <c r="L60" s="19">
        <f>IF($A60="","",MAX(0,MIN(100,gup_kaliteTaban-IF($J60&lt;gup_esikPr,gup_kaliteCeza,0)-COUNTIFS(tblGunluk[VarlikId],$A60,tblGunluk[AlarmBayrak],"ALARM")*gup_kaliteSapma-IF($H60="HAYIR",gup_kaliteCeza,0))))</f>
        <v/>
      </c>
    </row>
    <row r="61">
      <c r="A61" s="15" t="n"/>
      <c r="B61" s="15" t="n"/>
      <c r="C61" s="15" t="n"/>
      <c r="D61" s="16" t="n"/>
      <c r="E61" s="17" t="n"/>
      <c r="F61" s="15" t="n"/>
      <c r="G61" s="18" t="n"/>
      <c r="H61" s="15" t="n"/>
      <c r="I61" s="19">
        <f>IF($A61="","",SUMIF(tblGunluk[VarlikId],$A61,tblGunluk[UretimKwh_kwh]))</f>
        <v/>
      </c>
      <c r="J61" s="19">
        <f>IF($A61="","",IFERROR(AVERAGEIF(tblGunluk[VarlikId],$A61,tblGunluk[FormulPr_oran]),0))</f>
        <v/>
      </c>
      <c r="K61" s="19">
        <f>IF($A61="","",SUMIF(tblGunluk[VarlikId],$A61,tblGunluk[KayipKwh_kwh]))</f>
        <v/>
      </c>
      <c r="L61" s="19">
        <f>IF($A61="","",MAX(0,MIN(100,gup_kaliteTaban-IF($J61&lt;gup_esikPr,gup_kaliteCeza,0)-COUNTIFS(tblGunluk[VarlikId],$A61,tblGunluk[AlarmBayrak],"ALARM")*gup_kaliteSapma-IF($H61="HAYIR",gup_kaliteCeza,0))))</f>
        <v/>
      </c>
    </row>
    <row r="62">
      <c r="A62" s="15" t="n"/>
      <c r="B62" s="15" t="n"/>
      <c r="C62" s="15" t="n"/>
      <c r="D62" s="16" t="n"/>
      <c r="E62" s="17" t="n"/>
      <c r="F62" s="15" t="n"/>
      <c r="G62" s="18" t="n"/>
      <c r="H62" s="15" t="n"/>
      <c r="I62" s="19">
        <f>IF($A62="","",SUMIF(tblGunluk[VarlikId],$A62,tblGunluk[UretimKwh_kwh]))</f>
        <v/>
      </c>
      <c r="J62" s="19">
        <f>IF($A62="","",IFERROR(AVERAGEIF(tblGunluk[VarlikId],$A62,tblGunluk[FormulPr_oran]),0))</f>
        <v/>
      </c>
      <c r="K62" s="19">
        <f>IF($A62="","",SUMIF(tblGunluk[VarlikId],$A62,tblGunluk[KayipKwh_kwh]))</f>
        <v/>
      </c>
      <c r="L62" s="19">
        <f>IF($A62="","",MAX(0,MIN(100,gup_kaliteTaban-IF($J62&lt;gup_esikPr,gup_kaliteCeza,0)-COUNTIFS(tblGunluk[VarlikId],$A62,tblGunluk[AlarmBayrak],"ALARM")*gup_kaliteSapma-IF($H62="HAYIR",gup_kaliteCeza,0))))</f>
        <v/>
      </c>
    </row>
    <row r="63">
      <c r="A63" s="15" t="n"/>
      <c r="B63" s="15" t="n"/>
      <c r="C63" s="15" t="n"/>
      <c r="D63" s="16" t="n"/>
      <c r="E63" s="17" t="n"/>
      <c r="F63" s="15" t="n"/>
      <c r="G63" s="18" t="n"/>
      <c r="H63" s="15" t="n"/>
      <c r="I63" s="19">
        <f>IF($A63="","",SUMIF(tblGunluk[VarlikId],$A63,tblGunluk[UretimKwh_kwh]))</f>
        <v/>
      </c>
      <c r="J63" s="19">
        <f>IF($A63="","",IFERROR(AVERAGEIF(tblGunluk[VarlikId],$A63,tblGunluk[FormulPr_oran]),0))</f>
        <v/>
      </c>
      <c r="K63" s="19">
        <f>IF($A63="","",SUMIF(tblGunluk[VarlikId],$A63,tblGunluk[KayipKwh_kwh]))</f>
        <v/>
      </c>
      <c r="L63" s="19">
        <f>IF($A63="","",MAX(0,MIN(100,gup_kaliteTaban-IF($J63&lt;gup_esikPr,gup_kaliteCeza,0)-COUNTIFS(tblGunluk[VarlikId],$A63,tblGunluk[AlarmBayrak],"ALARM")*gup_kaliteSapma-IF($H63="HAYIR",gup_kaliteCeza,0))))</f>
        <v/>
      </c>
    </row>
    <row r="64">
      <c r="A64" s="15" t="n"/>
      <c r="B64" s="15" t="n"/>
      <c r="C64" s="15" t="n"/>
      <c r="D64" s="16" t="n"/>
      <c r="E64" s="17" t="n"/>
      <c r="F64" s="15" t="n"/>
      <c r="G64" s="18" t="n"/>
      <c r="H64" s="15" t="n"/>
      <c r="I64" s="19">
        <f>IF($A64="","",SUMIF(tblGunluk[VarlikId],$A64,tblGunluk[UretimKwh_kwh]))</f>
        <v/>
      </c>
      <c r="J64" s="19">
        <f>IF($A64="","",IFERROR(AVERAGEIF(tblGunluk[VarlikId],$A64,tblGunluk[FormulPr_oran]),0))</f>
        <v/>
      </c>
      <c r="K64" s="19">
        <f>IF($A64="","",SUMIF(tblGunluk[VarlikId],$A64,tblGunluk[KayipKwh_kwh]))</f>
        <v/>
      </c>
      <c r="L64" s="19">
        <f>IF($A64="","",MAX(0,MIN(100,gup_kaliteTaban-IF($J64&lt;gup_esikPr,gup_kaliteCeza,0)-COUNTIFS(tblGunluk[VarlikId],$A64,tblGunluk[AlarmBayrak],"ALARM")*gup_kaliteSapma-IF($H64="HAYIR",gup_kaliteCeza,0))))</f>
        <v/>
      </c>
    </row>
    <row r="65">
      <c r="A65" s="15" t="n"/>
      <c r="B65" s="15" t="n"/>
      <c r="C65" s="15" t="n"/>
      <c r="D65" s="16" t="n"/>
      <c r="E65" s="17" t="n"/>
      <c r="F65" s="15" t="n"/>
      <c r="G65" s="18" t="n"/>
      <c r="H65" s="15" t="n"/>
      <c r="I65" s="19">
        <f>IF($A65="","",SUMIF(tblGunluk[VarlikId],$A65,tblGunluk[UretimKwh_kwh]))</f>
        <v/>
      </c>
      <c r="J65" s="19">
        <f>IF($A65="","",IFERROR(AVERAGEIF(tblGunluk[VarlikId],$A65,tblGunluk[FormulPr_oran]),0))</f>
        <v/>
      </c>
      <c r="K65" s="19">
        <f>IF($A65="","",SUMIF(tblGunluk[VarlikId],$A65,tblGunluk[KayipKwh_kwh]))</f>
        <v/>
      </c>
      <c r="L65" s="19">
        <f>IF($A65="","",MAX(0,MIN(100,gup_kaliteTaban-IF($J65&lt;gup_esikPr,gup_kaliteCeza,0)-COUNTIFS(tblGunluk[VarlikId],$A65,tblGunluk[AlarmBayrak],"ALARM")*gup_kaliteSapma-IF($H65="HAYIR",gup_kaliteCeza,0))))</f>
        <v/>
      </c>
    </row>
    <row r="66">
      <c r="A66" s="15" t="n"/>
      <c r="B66" s="15" t="n"/>
      <c r="C66" s="15" t="n"/>
      <c r="D66" s="16" t="n"/>
      <c r="E66" s="17" t="n"/>
      <c r="F66" s="15" t="n"/>
      <c r="G66" s="18" t="n"/>
      <c r="H66" s="15" t="n"/>
      <c r="I66" s="19">
        <f>IF($A66="","",SUMIF(tblGunluk[VarlikId],$A66,tblGunluk[UretimKwh_kwh]))</f>
        <v/>
      </c>
      <c r="J66" s="19">
        <f>IF($A66="","",IFERROR(AVERAGEIF(tblGunluk[VarlikId],$A66,tblGunluk[FormulPr_oran]),0))</f>
        <v/>
      </c>
      <c r="K66" s="19">
        <f>IF($A66="","",SUMIF(tblGunluk[VarlikId],$A66,tblGunluk[KayipKwh_kwh]))</f>
        <v/>
      </c>
      <c r="L66" s="19">
        <f>IF($A66="","",MAX(0,MIN(100,gup_kaliteTaban-IF($J66&lt;gup_esikPr,gup_kaliteCeza,0)-COUNTIFS(tblGunluk[VarlikId],$A66,tblGunluk[AlarmBayrak],"ALARM")*gup_kaliteSapma-IF($H66="HAYIR",gup_kaliteCeza,0))))</f>
        <v/>
      </c>
    </row>
    <row r="67">
      <c r="A67" s="15" t="n"/>
      <c r="B67" s="15" t="n"/>
      <c r="C67" s="15" t="n"/>
      <c r="D67" s="16" t="n"/>
      <c r="E67" s="17" t="n"/>
      <c r="F67" s="15" t="n"/>
      <c r="G67" s="18" t="n"/>
      <c r="H67" s="15" t="n"/>
      <c r="I67" s="19">
        <f>IF($A67="","",SUMIF(tblGunluk[VarlikId],$A67,tblGunluk[UretimKwh_kwh]))</f>
        <v/>
      </c>
      <c r="J67" s="19">
        <f>IF($A67="","",IFERROR(AVERAGEIF(tblGunluk[VarlikId],$A67,tblGunluk[FormulPr_oran]),0))</f>
        <v/>
      </c>
      <c r="K67" s="19">
        <f>IF($A67="","",SUMIF(tblGunluk[VarlikId],$A67,tblGunluk[KayipKwh_kwh]))</f>
        <v/>
      </c>
      <c r="L67" s="19">
        <f>IF($A67="","",MAX(0,MIN(100,gup_kaliteTaban-IF($J67&lt;gup_esikPr,gup_kaliteCeza,0)-COUNTIFS(tblGunluk[VarlikId],$A67,tblGunluk[AlarmBayrak],"ALARM")*gup_kaliteSapma-IF($H67="HAYIR",gup_kaliteCeza,0))))</f>
        <v/>
      </c>
    </row>
    <row r="68">
      <c r="A68" s="15" t="n"/>
      <c r="B68" s="15" t="n"/>
      <c r="C68" s="15" t="n"/>
      <c r="D68" s="16" t="n"/>
      <c r="E68" s="17" t="n"/>
      <c r="F68" s="15" t="n"/>
      <c r="G68" s="18" t="n"/>
      <c r="H68" s="15" t="n"/>
      <c r="I68" s="19">
        <f>IF($A68="","",SUMIF(tblGunluk[VarlikId],$A68,tblGunluk[UretimKwh_kwh]))</f>
        <v/>
      </c>
      <c r="J68" s="19">
        <f>IF($A68="","",IFERROR(AVERAGEIF(tblGunluk[VarlikId],$A68,tblGunluk[FormulPr_oran]),0))</f>
        <v/>
      </c>
      <c r="K68" s="19">
        <f>IF($A68="","",SUMIF(tblGunluk[VarlikId],$A68,tblGunluk[KayipKwh_kwh]))</f>
        <v/>
      </c>
      <c r="L68" s="19">
        <f>IF($A68="","",MAX(0,MIN(100,gup_kaliteTaban-IF($J68&lt;gup_esikPr,gup_kaliteCeza,0)-COUNTIFS(tblGunluk[VarlikId],$A68,tblGunluk[AlarmBayrak],"ALARM")*gup_kaliteSapma-IF($H68="HAYIR",gup_kaliteCeza,0))))</f>
        <v/>
      </c>
    </row>
    <row r="69">
      <c r="A69" s="15" t="n"/>
      <c r="B69" s="15" t="n"/>
      <c r="C69" s="15" t="n"/>
      <c r="D69" s="16" t="n"/>
      <c r="E69" s="17" t="n"/>
      <c r="F69" s="15" t="n"/>
      <c r="G69" s="18" t="n"/>
      <c r="H69" s="15" t="n"/>
      <c r="I69" s="19">
        <f>IF($A69="","",SUMIF(tblGunluk[VarlikId],$A69,tblGunluk[UretimKwh_kwh]))</f>
        <v/>
      </c>
      <c r="J69" s="19">
        <f>IF($A69="","",IFERROR(AVERAGEIF(tblGunluk[VarlikId],$A69,tblGunluk[FormulPr_oran]),0))</f>
        <v/>
      </c>
      <c r="K69" s="19">
        <f>IF($A69="","",SUMIF(tblGunluk[VarlikId],$A69,tblGunluk[KayipKwh_kwh]))</f>
        <v/>
      </c>
      <c r="L69" s="19">
        <f>IF($A69="","",MAX(0,MIN(100,gup_kaliteTaban-IF($J69&lt;gup_esikPr,gup_kaliteCeza,0)-COUNTIFS(tblGunluk[VarlikId],$A69,tblGunluk[AlarmBayrak],"ALARM")*gup_kaliteSapma-IF($H69="HAYIR",gup_kaliteCeza,0))))</f>
        <v/>
      </c>
    </row>
    <row r="70">
      <c r="A70" s="15" t="n"/>
      <c r="B70" s="15" t="n"/>
      <c r="C70" s="15" t="n"/>
      <c r="D70" s="16" t="n"/>
      <c r="E70" s="17" t="n"/>
      <c r="F70" s="15" t="n"/>
      <c r="G70" s="18" t="n"/>
      <c r="H70" s="15" t="n"/>
      <c r="I70" s="19">
        <f>IF($A70="","",SUMIF(tblGunluk[VarlikId],$A70,tblGunluk[UretimKwh_kwh]))</f>
        <v/>
      </c>
      <c r="J70" s="19">
        <f>IF($A70="","",IFERROR(AVERAGEIF(tblGunluk[VarlikId],$A70,tblGunluk[FormulPr_oran]),0))</f>
        <v/>
      </c>
      <c r="K70" s="19">
        <f>IF($A70="","",SUMIF(tblGunluk[VarlikId],$A70,tblGunluk[KayipKwh_kwh]))</f>
        <v/>
      </c>
      <c r="L70" s="19">
        <f>IF($A70="","",MAX(0,MIN(100,gup_kaliteTaban-IF($J70&lt;gup_esikPr,gup_kaliteCeza,0)-COUNTIFS(tblGunluk[VarlikId],$A70,tblGunluk[AlarmBayrak],"ALARM")*gup_kaliteSapma-IF($H70="HAYIR",gup_kaliteCeza,0))))</f>
        <v/>
      </c>
    </row>
    <row r="71">
      <c r="A71" s="15" t="n"/>
      <c r="B71" s="15" t="n"/>
      <c r="C71" s="15" t="n"/>
      <c r="D71" s="16" t="n"/>
      <c r="E71" s="17" t="n"/>
      <c r="F71" s="15" t="n"/>
      <c r="G71" s="18" t="n"/>
      <c r="H71" s="15" t="n"/>
      <c r="I71" s="19">
        <f>IF($A71="","",SUMIF(tblGunluk[VarlikId],$A71,tblGunluk[UretimKwh_kwh]))</f>
        <v/>
      </c>
      <c r="J71" s="19">
        <f>IF($A71="","",IFERROR(AVERAGEIF(tblGunluk[VarlikId],$A71,tblGunluk[FormulPr_oran]),0))</f>
        <v/>
      </c>
      <c r="K71" s="19">
        <f>IF($A71="","",SUMIF(tblGunluk[VarlikId],$A71,tblGunluk[KayipKwh_kwh]))</f>
        <v/>
      </c>
      <c r="L71" s="19">
        <f>IF($A71="","",MAX(0,MIN(100,gup_kaliteTaban-IF($J71&lt;gup_esikPr,gup_kaliteCeza,0)-COUNTIFS(tblGunluk[VarlikId],$A71,tblGunluk[AlarmBayrak],"ALARM")*gup_kaliteSapma-IF($H71="HAYIR",gup_kaliteCeza,0))))</f>
        <v/>
      </c>
    </row>
    <row r="72">
      <c r="A72" s="15" t="n"/>
      <c r="B72" s="15" t="n"/>
      <c r="C72" s="15" t="n"/>
      <c r="D72" s="16" t="n"/>
      <c r="E72" s="17" t="n"/>
      <c r="F72" s="15" t="n"/>
      <c r="G72" s="18" t="n"/>
      <c r="H72" s="15" t="n"/>
      <c r="I72" s="19">
        <f>IF($A72="","",SUMIF(tblGunluk[VarlikId],$A72,tblGunluk[UretimKwh_kwh]))</f>
        <v/>
      </c>
      <c r="J72" s="19">
        <f>IF($A72="","",IFERROR(AVERAGEIF(tblGunluk[VarlikId],$A72,tblGunluk[FormulPr_oran]),0))</f>
        <v/>
      </c>
      <c r="K72" s="19">
        <f>IF($A72="","",SUMIF(tblGunluk[VarlikId],$A72,tblGunluk[KayipKwh_kwh]))</f>
        <v/>
      </c>
      <c r="L72" s="19">
        <f>IF($A72="","",MAX(0,MIN(100,gup_kaliteTaban-IF($J72&lt;gup_esikPr,gup_kaliteCeza,0)-COUNTIFS(tblGunluk[VarlikId],$A72,tblGunluk[AlarmBayrak],"ALARM")*gup_kaliteSapma-IF($H72="HAYIR",gup_kaliteCeza,0))))</f>
        <v/>
      </c>
    </row>
    <row r="73">
      <c r="A73" s="15" t="n"/>
      <c r="B73" s="15" t="n"/>
      <c r="C73" s="15" t="n"/>
      <c r="D73" s="16" t="n"/>
      <c r="E73" s="17" t="n"/>
      <c r="F73" s="15" t="n"/>
      <c r="G73" s="18" t="n"/>
      <c r="H73" s="15" t="n"/>
      <c r="I73" s="19">
        <f>IF($A73="","",SUMIF(tblGunluk[VarlikId],$A73,tblGunluk[UretimKwh_kwh]))</f>
        <v/>
      </c>
      <c r="J73" s="19">
        <f>IF($A73="","",IFERROR(AVERAGEIF(tblGunluk[VarlikId],$A73,tblGunluk[FormulPr_oran]),0))</f>
        <v/>
      </c>
      <c r="K73" s="19">
        <f>IF($A73="","",SUMIF(tblGunluk[VarlikId],$A73,tblGunluk[KayipKwh_kwh]))</f>
        <v/>
      </c>
      <c r="L73" s="19">
        <f>IF($A73="","",MAX(0,MIN(100,gup_kaliteTaban-IF($J73&lt;gup_esikPr,gup_kaliteCeza,0)-COUNTIFS(tblGunluk[VarlikId],$A73,tblGunluk[AlarmBayrak],"ALARM")*gup_kaliteSapma-IF($H73="HAYIR",gup_kaliteCeza,0))))</f>
        <v/>
      </c>
    </row>
    <row r="74">
      <c r="A74" s="15" t="n"/>
      <c r="B74" s="15" t="n"/>
      <c r="C74" s="15" t="n"/>
      <c r="D74" s="16" t="n"/>
      <c r="E74" s="17" t="n"/>
      <c r="F74" s="15" t="n"/>
      <c r="G74" s="18" t="n"/>
      <c r="H74" s="15" t="n"/>
      <c r="I74" s="19">
        <f>IF($A74="","",SUMIF(tblGunluk[VarlikId],$A74,tblGunluk[UretimKwh_kwh]))</f>
        <v/>
      </c>
      <c r="J74" s="19">
        <f>IF($A74="","",IFERROR(AVERAGEIF(tblGunluk[VarlikId],$A74,tblGunluk[FormulPr_oran]),0))</f>
        <v/>
      </c>
      <c r="K74" s="19">
        <f>IF($A74="","",SUMIF(tblGunluk[VarlikId],$A74,tblGunluk[KayipKwh_kwh]))</f>
        <v/>
      </c>
      <c r="L74" s="19">
        <f>IF($A74="","",MAX(0,MIN(100,gup_kaliteTaban-IF($J74&lt;gup_esikPr,gup_kaliteCeza,0)-COUNTIFS(tblGunluk[VarlikId],$A74,tblGunluk[AlarmBayrak],"ALARM")*gup_kaliteSapma-IF($H74="HAYIR",gup_kaliteCeza,0))))</f>
        <v/>
      </c>
    </row>
    <row r="75">
      <c r="A75" s="15" t="n"/>
      <c r="B75" s="15" t="n"/>
      <c r="C75" s="15" t="n"/>
      <c r="D75" s="16" t="n"/>
      <c r="E75" s="17" t="n"/>
      <c r="F75" s="15" t="n"/>
      <c r="G75" s="18" t="n"/>
      <c r="H75" s="15" t="n"/>
      <c r="I75" s="19">
        <f>IF($A75="","",SUMIF(tblGunluk[VarlikId],$A75,tblGunluk[UretimKwh_kwh]))</f>
        <v/>
      </c>
      <c r="J75" s="19">
        <f>IF($A75="","",IFERROR(AVERAGEIF(tblGunluk[VarlikId],$A75,tblGunluk[FormulPr_oran]),0))</f>
        <v/>
      </c>
      <c r="K75" s="19">
        <f>IF($A75="","",SUMIF(tblGunluk[VarlikId],$A75,tblGunluk[KayipKwh_kwh]))</f>
        <v/>
      </c>
      <c r="L75" s="19">
        <f>IF($A75="","",MAX(0,MIN(100,gup_kaliteTaban-IF($J75&lt;gup_esikPr,gup_kaliteCeza,0)-COUNTIFS(tblGunluk[VarlikId],$A75,tblGunluk[AlarmBayrak],"ALARM")*gup_kaliteSapma-IF($H75="HAYIR",gup_kaliteCeza,0))))</f>
        <v/>
      </c>
    </row>
    <row r="76">
      <c r="A76" s="15" t="n"/>
      <c r="B76" s="15" t="n"/>
      <c r="C76" s="15" t="n"/>
      <c r="D76" s="16" t="n"/>
      <c r="E76" s="17" t="n"/>
      <c r="F76" s="15" t="n"/>
      <c r="G76" s="18" t="n"/>
      <c r="H76" s="15" t="n"/>
      <c r="I76" s="19">
        <f>IF($A76="","",SUMIF(tblGunluk[VarlikId],$A76,tblGunluk[UretimKwh_kwh]))</f>
        <v/>
      </c>
      <c r="J76" s="19">
        <f>IF($A76="","",IFERROR(AVERAGEIF(tblGunluk[VarlikId],$A76,tblGunluk[FormulPr_oran]),0))</f>
        <v/>
      </c>
      <c r="K76" s="19">
        <f>IF($A76="","",SUMIF(tblGunluk[VarlikId],$A76,tblGunluk[KayipKwh_kwh]))</f>
        <v/>
      </c>
      <c r="L76" s="19">
        <f>IF($A76="","",MAX(0,MIN(100,gup_kaliteTaban-IF($J76&lt;gup_esikPr,gup_kaliteCeza,0)-COUNTIFS(tblGunluk[VarlikId],$A76,tblGunluk[AlarmBayrak],"ALARM")*gup_kaliteSapma-IF($H76="HAYIR",gup_kaliteCeza,0))))</f>
        <v/>
      </c>
    </row>
    <row r="77">
      <c r="A77" s="15" t="n"/>
      <c r="B77" s="15" t="n"/>
      <c r="C77" s="15" t="n"/>
      <c r="D77" s="16" t="n"/>
      <c r="E77" s="17" t="n"/>
      <c r="F77" s="15" t="n"/>
      <c r="G77" s="18" t="n"/>
      <c r="H77" s="15" t="n"/>
      <c r="I77" s="19">
        <f>IF($A77="","",SUMIF(tblGunluk[VarlikId],$A77,tblGunluk[UretimKwh_kwh]))</f>
        <v/>
      </c>
      <c r="J77" s="19">
        <f>IF($A77="","",IFERROR(AVERAGEIF(tblGunluk[VarlikId],$A77,tblGunluk[FormulPr_oran]),0))</f>
        <v/>
      </c>
      <c r="K77" s="19">
        <f>IF($A77="","",SUMIF(tblGunluk[VarlikId],$A77,tblGunluk[KayipKwh_kwh]))</f>
        <v/>
      </c>
      <c r="L77" s="19">
        <f>IF($A77="","",MAX(0,MIN(100,gup_kaliteTaban-IF($J77&lt;gup_esikPr,gup_kaliteCeza,0)-COUNTIFS(tblGunluk[VarlikId],$A77,tblGunluk[AlarmBayrak],"ALARM")*gup_kaliteSapma-IF($H77="HAYIR",gup_kaliteCeza,0))))</f>
        <v/>
      </c>
    </row>
    <row r="78">
      <c r="A78" s="15" t="n"/>
      <c r="B78" s="15" t="n"/>
      <c r="C78" s="15" t="n"/>
      <c r="D78" s="16" t="n"/>
      <c r="E78" s="17" t="n"/>
      <c r="F78" s="15" t="n"/>
      <c r="G78" s="18" t="n"/>
      <c r="H78" s="15" t="n"/>
      <c r="I78" s="19">
        <f>IF($A78="","",SUMIF(tblGunluk[VarlikId],$A78,tblGunluk[UretimKwh_kwh]))</f>
        <v/>
      </c>
      <c r="J78" s="19">
        <f>IF($A78="","",IFERROR(AVERAGEIF(tblGunluk[VarlikId],$A78,tblGunluk[FormulPr_oran]),0))</f>
        <v/>
      </c>
      <c r="K78" s="19">
        <f>IF($A78="","",SUMIF(tblGunluk[VarlikId],$A78,tblGunluk[KayipKwh_kwh]))</f>
        <v/>
      </c>
      <c r="L78" s="19">
        <f>IF($A78="","",MAX(0,MIN(100,gup_kaliteTaban-IF($J78&lt;gup_esikPr,gup_kaliteCeza,0)-COUNTIFS(tblGunluk[VarlikId],$A78,tblGunluk[AlarmBayrak],"ALARM")*gup_kaliteSapma-IF($H78="HAYIR",gup_kaliteCeza,0))))</f>
        <v/>
      </c>
    </row>
    <row r="79">
      <c r="A79" s="15" t="n"/>
      <c r="B79" s="15" t="n"/>
      <c r="C79" s="15" t="n"/>
      <c r="D79" s="16" t="n"/>
      <c r="E79" s="17" t="n"/>
      <c r="F79" s="15" t="n"/>
      <c r="G79" s="18" t="n"/>
      <c r="H79" s="15" t="n"/>
      <c r="I79" s="19">
        <f>IF($A79="","",SUMIF(tblGunluk[VarlikId],$A79,tblGunluk[UretimKwh_kwh]))</f>
        <v/>
      </c>
      <c r="J79" s="19">
        <f>IF($A79="","",IFERROR(AVERAGEIF(tblGunluk[VarlikId],$A79,tblGunluk[FormulPr_oran]),0))</f>
        <v/>
      </c>
      <c r="K79" s="19">
        <f>IF($A79="","",SUMIF(tblGunluk[VarlikId],$A79,tblGunluk[KayipKwh_kwh]))</f>
        <v/>
      </c>
      <c r="L79" s="19">
        <f>IF($A79="","",MAX(0,MIN(100,gup_kaliteTaban-IF($J79&lt;gup_esikPr,gup_kaliteCeza,0)-COUNTIFS(tblGunluk[VarlikId],$A79,tblGunluk[AlarmBayrak],"ALARM")*gup_kaliteSapma-IF($H79="HAYIR",gup_kaliteCeza,0))))</f>
        <v/>
      </c>
    </row>
    <row r="80">
      <c r="A80" s="15" t="n"/>
      <c r="B80" s="15" t="n"/>
      <c r="C80" s="15" t="n"/>
      <c r="D80" s="16" t="n"/>
      <c r="E80" s="17" t="n"/>
      <c r="F80" s="15" t="n"/>
      <c r="G80" s="18" t="n"/>
      <c r="H80" s="15" t="n"/>
      <c r="I80" s="19">
        <f>IF($A80="","",SUMIF(tblGunluk[VarlikId],$A80,tblGunluk[UretimKwh_kwh]))</f>
        <v/>
      </c>
      <c r="J80" s="19">
        <f>IF($A80="","",IFERROR(AVERAGEIF(tblGunluk[VarlikId],$A80,tblGunluk[FormulPr_oran]),0))</f>
        <v/>
      </c>
      <c r="K80" s="19">
        <f>IF($A80="","",SUMIF(tblGunluk[VarlikId],$A80,tblGunluk[KayipKwh_kwh]))</f>
        <v/>
      </c>
      <c r="L80" s="19">
        <f>IF($A80="","",MAX(0,MIN(100,gup_kaliteTaban-IF($J80&lt;gup_esikPr,gup_kaliteCeza,0)-COUNTIFS(tblGunluk[VarlikId],$A80,tblGunluk[AlarmBayrak],"ALARM")*gup_kaliteSapma-IF($H80="HAYIR",gup_kaliteCeza,0))))</f>
        <v/>
      </c>
    </row>
    <row r="81">
      <c r="A81" s="15" t="n"/>
      <c r="B81" s="15" t="n"/>
      <c r="C81" s="15" t="n"/>
      <c r="D81" s="16" t="n"/>
      <c r="E81" s="17" t="n"/>
      <c r="F81" s="15" t="n"/>
      <c r="G81" s="18" t="n"/>
      <c r="H81" s="15" t="n"/>
      <c r="I81" s="19">
        <f>IF($A81="","",SUMIF(tblGunluk[VarlikId],$A81,tblGunluk[UretimKwh_kwh]))</f>
        <v/>
      </c>
      <c r="J81" s="19">
        <f>IF($A81="","",IFERROR(AVERAGEIF(tblGunluk[VarlikId],$A81,tblGunluk[FormulPr_oran]),0))</f>
        <v/>
      </c>
      <c r="K81" s="19">
        <f>IF($A81="","",SUMIF(tblGunluk[VarlikId],$A81,tblGunluk[KayipKwh_kwh]))</f>
        <v/>
      </c>
      <c r="L81" s="19">
        <f>IF($A81="","",MAX(0,MIN(100,gup_kaliteTaban-IF($J81&lt;gup_esikPr,gup_kaliteCeza,0)-COUNTIFS(tblGunluk[VarlikId],$A81,tblGunluk[AlarmBayrak],"ALARM")*gup_kaliteSapma-IF($H81="HAYIR",gup_kaliteCeza,0))))</f>
        <v/>
      </c>
    </row>
    <row r="82">
      <c r="A82" s="15" t="n"/>
      <c r="B82" s="15" t="n"/>
      <c r="C82" s="15" t="n"/>
      <c r="D82" s="16" t="n"/>
      <c r="E82" s="17" t="n"/>
      <c r="F82" s="15" t="n"/>
      <c r="G82" s="18" t="n"/>
      <c r="H82" s="15" t="n"/>
      <c r="I82" s="19">
        <f>IF($A82="","",SUMIF(tblGunluk[VarlikId],$A82,tblGunluk[UretimKwh_kwh]))</f>
        <v/>
      </c>
      <c r="J82" s="19">
        <f>IF($A82="","",IFERROR(AVERAGEIF(tblGunluk[VarlikId],$A82,tblGunluk[FormulPr_oran]),0))</f>
        <v/>
      </c>
      <c r="K82" s="19">
        <f>IF($A82="","",SUMIF(tblGunluk[VarlikId],$A82,tblGunluk[KayipKwh_kwh]))</f>
        <v/>
      </c>
      <c r="L82" s="19">
        <f>IF($A82="","",MAX(0,MIN(100,gup_kaliteTaban-IF($J82&lt;gup_esikPr,gup_kaliteCeza,0)-COUNTIFS(tblGunluk[VarlikId],$A82,tblGunluk[AlarmBayrak],"ALARM")*gup_kaliteSapma-IF($H82="HAYIR",gup_kaliteCeza,0))))</f>
        <v/>
      </c>
    </row>
    <row r="83">
      <c r="A83" s="15" t="n"/>
      <c r="B83" s="15" t="n"/>
      <c r="C83" s="15" t="n"/>
      <c r="D83" s="16" t="n"/>
      <c r="E83" s="17" t="n"/>
      <c r="F83" s="15" t="n"/>
      <c r="G83" s="18" t="n"/>
      <c r="H83" s="15" t="n"/>
      <c r="I83" s="19">
        <f>IF($A83="","",SUMIF(tblGunluk[VarlikId],$A83,tblGunluk[UretimKwh_kwh]))</f>
        <v/>
      </c>
      <c r="J83" s="19">
        <f>IF($A83="","",IFERROR(AVERAGEIF(tblGunluk[VarlikId],$A83,tblGunluk[FormulPr_oran]),0))</f>
        <v/>
      </c>
      <c r="K83" s="19">
        <f>IF($A83="","",SUMIF(tblGunluk[VarlikId],$A83,tblGunluk[KayipKwh_kwh]))</f>
        <v/>
      </c>
      <c r="L83" s="19">
        <f>IF($A83="","",MAX(0,MIN(100,gup_kaliteTaban-IF($J83&lt;gup_esikPr,gup_kaliteCeza,0)-COUNTIFS(tblGunluk[VarlikId],$A83,tblGunluk[AlarmBayrak],"ALARM")*gup_kaliteSapma-IF($H83="HAYIR",gup_kaliteCeza,0))))</f>
        <v/>
      </c>
    </row>
    <row r="84">
      <c r="A84" s="15" t="n"/>
      <c r="B84" s="15" t="n"/>
      <c r="C84" s="15" t="n"/>
      <c r="D84" s="16" t="n"/>
      <c r="E84" s="17" t="n"/>
      <c r="F84" s="15" t="n"/>
      <c r="G84" s="18" t="n"/>
      <c r="H84" s="15" t="n"/>
      <c r="I84" s="19">
        <f>IF($A84="","",SUMIF(tblGunluk[VarlikId],$A84,tblGunluk[UretimKwh_kwh]))</f>
        <v/>
      </c>
      <c r="J84" s="19">
        <f>IF($A84="","",IFERROR(AVERAGEIF(tblGunluk[VarlikId],$A84,tblGunluk[FormulPr_oran]),0))</f>
        <v/>
      </c>
      <c r="K84" s="19">
        <f>IF($A84="","",SUMIF(tblGunluk[VarlikId],$A84,tblGunluk[KayipKwh_kwh]))</f>
        <v/>
      </c>
      <c r="L84" s="19">
        <f>IF($A84="","",MAX(0,MIN(100,gup_kaliteTaban-IF($J84&lt;gup_esikPr,gup_kaliteCeza,0)-COUNTIFS(tblGunluk[VarlikId],$A84,tblGunluk[AlarmBayrak],"ALARM")*gup_kaliteSapma-IF($H84="HAYIR",gup_kaliteCeza,0))))</f>
        <v/>
      </c>
    </row>
    <row r="85">
      <c r="A85" s="15" t="n"/>
      <c r="B85" s="15" t="n"/>
      <c r="C85" s="15" t="n"/>
      <c r="D85" s="16" t="n"/>
      <c r="E85" s="17" t="n"/>
      <c r="F85" s="15" t="n"/>
      <c r="G85" s="18" t="n"/>
      <c r="H85" s="15" t="n"/>
      <c r="I85" s="19">
        <f>IF($A85="","",SUMIF(tblGunluk[VarlikId],$A85,tblGunluk[UretimKwh_kwh]))</f>
        <v/>
      </c>
      <c r="J85" s="19">
        <f>IF($A85="","",IFERROR(AVERAGEIF(tblGunluk[VarlikId],$A85,tblGunluk[FormulPr_oran]),0))</f>
        <v/>
      </c>
      <c r="K85" s="19">
        <f>IF($A85="","",SUMIF(tblGunluk[VarlikId],$A85,tblGunluk[KayipKwh_kwh]))</f>
        <v/>
      </c>
      <c r="L85" s="19">
        <f>IF($A85="","",MAX(0,MIN(100,gup_kaliteTaban-IF($J85&lt;gup_esikPr,gup_kaliteCeza,0)-COUNTIFS(tblGunluk[VarlikId],$A85,tblGunluk[AlarmBayrak],"ALARM")*gup_kaliteSapma-IF($H85="HAYIR",gup_kaliteCeza,0))))</f>
        <v/>
      </c>
    </row>
    <row r="86">
      <c r="A86" s="15" t="n"/>
      <c r="B86" s="15" t="n"/>
      <c r="C86" s="15" t="n"/>
      <c r="D86" s="16" t="n"/>
      <c r="E86" s="17" t="n"/>
      <c r="F86" s="15" t="n"/>
      <c r="G86" s="18" t="n"/>
      <c r="H86" s="15" t="n"/>
      <c r="I86" s="19">
        <f>IF($A86="","",SUMIF(tblGunluk[VarlikId],$A86,tblGunluk[UretimKwh_kwh]))</f>
        <v/>
      </c>
      <c r="J86" s="19">
        <f>IF($A86="","",IFERROR(AVERAGEIF(tblGunluk[VarlikId],$A86,tblGunluk[FormulPr_oran]),0))</f>
        <v/>
      </c>
      <c r="K86" s="19">
        <f>IF($A86="","",SUMIF(tblGunluk[VarlikId],$A86,tblGunluk[KayipKwh_kwh]))</f>
        <v/>
      </c>
      <c r="L86" s="19">
        <f>IF($A86="","",MAX(0,MIN(100,gup_kaliteTaban-IF($J86&lt;gup_esikPr,gup_kaliteCeza,0)-COUNTIFS(tblGunluk[VarlikId],$A86,tblGunluk[AlarmBayrak],"ALARM")*gup_kaliteSapma-IF($H86="HAYIR",gup_kaliteCeza,0))))</f>
        <v/>
      </c>
    </row>
    <row r="87">
      <c r="A87" s="15" t="n"/>
      <c r="B87" s="15" t="n"/>
      <c r="C87" s="15" t="n"/>
      <c r="D87" s="16" t="n"/>
      <c r="E87" s="17" t="n"/>
      <c r="F87" s="15" t="n"/>
      <c r="G87" s="18" t="n"/>
      <c r="H87" s="15" t="n"/>
      <c r="I87" s="19">
        <f>IF($A87="","",SUMIF(tblGunluk[VarlikId],$A87,tblGunluk[UretimKwh_kwh]))</f>
        <v/>
      </c>
      <c r="J87" s="19">
        <f>IF($A87="","",IFERROR(AVERAGEIF(tblGunluk[VarlikId],$A87,tblGunluk[FormulPr_oran]),0))</f>
        <v/>
      </c>
      <c r="K87" s="19">
        <f>IF($A87="","",SUMIF(tblGunluk[VarlikId],$A87,tblGunluk[KayipKwh_kwh]))</f>
        <v/>
      </c>
      <c r="L87" s="19">
        <f>IF($A87="","",MAX(0,MIN(100,gup_kaliteTaban-IF($J87&lt;gup_esikPr,gup_kaliteCeza,0)-COUNTIFS(tblGunluk[VarlikId],$A87,tblGunluk[AlarmBayrak],"ALARM")*gup_kaliteSapma-IF($H87="HAYIR",gup_kaliteCeza,0))))</f>
        <v/>
      </c>
    </row>
    <row r="88">
      <c r="A88" s="15" t="n"/>
      <c r="B88" s="15" t="n"/>
      <c r="C88" s="15" t="n"/>
      <c r="D88" s="16" t="n"/>
      <c r="E88" s="17" t="n"/>
      <c r="F88" s="15" t="n"/>
      <c r="G88" s="18" t="n"/>
      <c r="H88" s="15" t="n"/>
      <c r="I88" s="19">
        <f>IF($A88="","",SUMIF(tblGunluk[VarlikId],$A88,tblGunluk[UretimKwh_kwh]))</f>
        <v/>
      </c>
      <c r="J88" s="19">
        <f>IF($A88="","",IFERROR(AVERAGEIF(tblGunluk[VarlikId],$A88,tblGunluk[FormulPr_oran]),0))</f>
        <v/>
      </c>
      <c r="K88" s="19">
        <f>IF($A88="","",SUMIF(tblGunluk[VarlikId],$A88,tblGunluk[KayipKwh_kwh]))</f>
        <v/>
      </c>
      <c r="L88" s="19">
        <f>IF($A88="","",MAX(0,MIN(100,gup_kaliteTaban-IF($J88&lt;gup_esikPr,gup_kaliteCeza,0)-COUNTIFS(tblGunluk[VarlikId],$A88,tblGunluk[AlarmBayrak],"ALARM")*gup_kaliteSapma-IF($H88="HAYIR",gup_kaliteCeza,0))))</f>
        <v/>
      </c>
    </row>
    <row r="89">
      <c r="A89" s="15" t="n"/>
      <c r="B89" s="15" t="n"/>
      <c r="C89" s="15" t="n"/>
      <c r="D89" s="16" t="n"/>
      <c r="E89" s="17" t="n"/>
      <c r="F89" s="15" t="n"/>
      <c r="G89" s="18" t="n"/>
      <c r="H89" s="15" t="n"/>
      <c r="I89" s="19">
        <f>IF($A89="","",SUMIF(tblGunluk[VarlikId],$A89,tblGunluk[UretimKwh_kwh]))</f>
        <v/>
      </c>
      <c r="J89" s="19">
        <f>IF($A89="","",IFERROR(AVERAGEIF(tblGunluk[VarlikId],$A89,tblGunluk[FormulPr_oran]),0))</f>
        <v/>
      </c>
      <c r="K89" s="19">
        <f>IF($A89="","",SUMIF(tblGunluk[VarlikId],$A89,tblGunluk[KayipKwh_kwh]))</f>
        <v/>
      </c>
      <c r="L89" s="19">
        <f>IF($A89="","",MAX(0,MIN(100,gup_kaliteTaban-IF($J89&lt;gup_esikPr,gup_kaliteCeza,0)-COUNTIFS(tblGunluk[VarlikId],$A89,tblGunluk[AlarmBayrak],"ALARM")*gup_kaliteSapma-IF($H89="HAYIR",gup_kaliteCeza,0))))</f>
        <v/>
      </c>
    </row>
    <row r="90">
      <c r="A90" s="15" t="n"/>
      <c r="B90" s="15" t="n"/>
      <c r="C90" s="15" t="n"/>
      <c r="D90" s="16" t="n"/>
      <c r="E90" s="17" t="n"/>
      <c r="F90" s="15" t="n"/>
      <c r="G90" s="18" t="n"/>
      <c r="H90" s="15" t="n"/>
      <c r="I90" s="19">
        <f>IF($A90="","",SUMIF(tblGunluk[VarlikId],$A90,tblGunluk[UretimKwh_kwh]))</f>
        <v/>
      </c>
      <c r="J90" s="19">
        <f>IF($A90="","",IFERROR(AVERAGEIF(tblGunluk[VarlikId],$A90,tblGunluk[FormulPr_oran]),0))</f>
        <v/>
      </c>
      <c r="K90" s="19">
        <f>IF($A90="","",SUMIF(tblGunluk[VarlikId],$A90,tblGunluk[KayipKwh_kwh]))</f>
        <v/>
      </c>
      <c r="L90" s="19">
        <f>IF($A90="","",MAX(0,MIN(100,gup_kaliteTaban-IF($J90&lt;gup_esikPr,gup_kaliteCeza,0)-COUNTIFS(tblGunluk[VarlikId],$A90,tblGunluk[AlarmBayrak],"ALARM")*gup_kaliteSapma-IF($H90="HAYIR",gup_kaliteCeza,0))))</f>
        <v/>
      </c>
    </row>
    <row r="91">
      <c r="A91" s="15" t="n"/>
      <c r="B91" s="15" t="n"/>
      <c r="C91" s="15" t="n"/>
      <c r="D91" s="16" t="n"/>
      <c r="E91" s="17" t="n"/>
      <c r="F91" s="15" t="n"/>
      <c r="G91" s="18" t="n"/>
      <c r="H91" s="15" t="n"/>
      <c r="I91" s="19">
        <f>IF($A91="","",SUMIF(tblGunluk[VarlikId],$A91,tblGunluk[UretimKwh_kwh]))</f>
        <v/>
      </c>
      <c r="J91" s="19">
        <f>IF($A91="","",IFERROR(AVERAGEIF(tblGunluk[VarlikId],$A91,tblGunluk[FormulPr_oran]),0))</f>
        <v/>
      </c>
      <c r="K91" s="19">
        <f>IF($A91="","",SUMIF(tblGunluk[VarlikId],$A91,tblGunluk[KayipKwh_kwh]))</f>
        <v/>
      </c>
      <c r="L91" s="19">
        <f>IF($A91="","",MAX(0,MIN(100,gup_kaliteTaban-IF($J91&lt;gup_esikPr,gup_kaliteCeza,0)-COUNTIFS(tblGunluk[VarlikId],$A91,tblGunluk[AlarmBayrak],"ALARM")*gup_kaliteSapma-IF($H91="HAYIR",gup_kaliteCeza,0))))</f>
        <v/>
      </c>
    </row>
    <row r="92">
      <c r="A92" s="15" t="n"/>
      <c r="B92" s="15" t="n"/>
      <c r="C92" s="15" t="n"/>
      <c r="D92" s="16" t="n"/>
      <c r="E92" s="17" t="n"/>
      <c r="F92" s="15" t="n"/>
      <c r="G92" s="18" t="n"/>
      <c r="H92" s="15" t="n"/>
      <c r="I92" s="19">
        <f>IF($A92="","",SUMIF(tblGunluk[VarlikId],$A92,tblGunluk[UretimKwh_kwh]))</f>
        <v/>
      </c>
      <c r="J92" s="19">
        <f>IF($A92="","",IFERROR(AVERAGEIF(tblGunluk[VarlikId],$A92,tblGunluk[FormulPr_oran]),0))</f>
        <v/>
      </c>
      <c r="K92" s="19">
        <f>IF($A92="","",SUMIF(tblGunluk[VarlikId],$A92,tblGunluk[KayipKwh_kwh]))</f>
        <v/>
      </c>
      <c r="L92" s="19">
        <f>IF($A92="","",MAX(0,MIN(100,gup_kaliteTaban-IF($J92&lt;gup_esikPr,gup_kaliteCeza,0)-COUNTIFS(tblGunluk[VarlikId],$A92,tblGunluk[AlarmBayrak],"ALARM")*gup_kaliteSapma-IF($H92="HAYIR",gup_kaliteCeza,0))))</f>
        <v/>
      </c>
    </row>
    <row r="93">
      <c r="A93" s="15" t="n"/>
      <c r="B93" s="15" t="n"/>
      <c r="C93" s="15" t="n"/>
      <c r="D93" s="16" t="n"/>
      <c r="E93" s="17" t="n"/>
      <c r="F93" s="15" t="n"/>
      <c r="G93" s="18" t="n"/>
      <c r="H93" s="15" t="n"/>
      <c r="I93" s="19">
        <f>IF($A93="","",SUMIF(tblGunluk[VarlikId],$A93,tblGunluk[UretimKwh_kwh]))</f>
        <v/>
      </c>
      <c r="J93" s="19">
        <f>IF($A93="","",IFERROR(AVERAGEIF(tblGunluk[VarlikId],$A93,tblGunluk[FormulPr_oran]),0))</f>
        <v/>
      </c>
      <c r="K93" s="19">
        <f>IF($A93="","",SUMIF(tblGunluk[VarlikId],$A93,tblGunluk[KayipKwh_kwh]))</f>
        <v/>
      </c>
      <c r="L93" s="19">
        <f>IF($A93="","",MAX(0,MIN(100,gup_kaliteTaban-IF($J93&lt;gup_esikPr,gup_kaliteCeza,0)-COUNTIFS(tblGunluk[VarlikId],$A93,tblGunluk[AlarmBayrak],"ALARM")*gup_kaliteSapma-IF($H93="HAYIR",gup_kaliteCeza,0))))</f>
        <v/>
      </c>
    </row>
    <row r="94">
      <c r="A94" s="15" t="n"/>
      <c r="B94" s="15" t="n"/>
      <c r="C94" s="15" t="n"/>
      <c r="D94" s="16" t="n"/>
      <c r="E94" s="17" t="n"/>
      <c r="F94" s="15" t="n"/>
      <c r="G94" s="18" t="n"/>
      <c r="H94" s="15" t="n"/>
      <c r="I94" s="19">
        <f>IF($A94="","",SUMIF(tblGunluk[VarlikId],$A94,tblGunluk[UretimKwh_kwh]))</f>
        <v/>
      </c>
      <c r="J94" s="19">
        <f>IF($A94="","",IFERROR(AVERAGEIF(tblGunluk[VarlikId],$A94,tblGunluk[FormulPr_oran]),0))</f>
        <v/>
      </c>
      <c r="K94" s="19">
        <f>IF($A94="","",SUMIF(tblGunluk[VarlikId],$A94,tblGunluk[KayipKwh_kwh]))</f>
        <v/>
      </c>
      <c r="L94" s="19">
        <f>IF($A94="","",MAX(0,MIN(100,gup_kaliteTaban-IF($J94&lt;gup_esikPr,gup_kaliteCeza,0)-COUNTIFS(tblGunluk[VarlikId],$A94,tblGunluk[AlarmBayrak],"ALARM")*gup_kaliteSapma-IF($H94="HAYIR",gup_kaliteCeza,0))))</f>
        <v/>
      </c>
    </row>
    <row r="95">
      <c r="A95" s="15" t="n"/>
      <c r="B95" s="15" t="n"/>
      <c r="C95" s="15" t="n"/>
      <c r="D95" s="16" t="n"/>
      <c r="E95" s="17" t="n"/>
      <c r="F95" s="15" t="n"/>
      <c r="G95" s="18" t="n"/>
      <c r="H95" s="15" t="n"/>
      <c r="I95" s="19">
        <f>IF($A95="","",SUMIF(tblGunluk[VarlikId],$A95,tblGunluk[UretimKwh_kwh]))</f>
        <v/>
      </c>
      <c r="J95" s="19">
        <f>IF($A95="","",IFERROR(AVERAGEIF(tblGunluk[VarlikId],$A95,tblGunluk[FormulPr_oran]),0))</f>
        <v/>
      </c>
      <c r="K95" s="19">
        <f>IF($A95="","",SUMIF(tblGunluk[VarlikId],$A95,tblGunluk[KayipKwh_kwh]))</f>
        <v/>
      </c>
      <c r="L95" s="19">
        <f>IF($A95="","",MAX(0,MIN(100,gup_kaliteTaban-IF($J95&lt;gup_esikPr,gup_kaliteCeza,0)-COUNTIFS(tblGunluk[VarlikId],$A95,tblGunluk[AlarmBayrak],"ALARM")*gup_kaliteSapma-IF($H95="HAYIR",gup_kaliteCeza,0))))</f>
        <v/>
      </c>
    </row>
    <row r="96">
      <c r="A96" s="15" t="n"/>
      <c r="B96" s="15" t="n"/>
      <c r="C96" s="15" t="n"/>
      <c r="D96" s="16" t="n"/>
      <c r="E96" s="17" t="n"/>
      <c r="F96" s="15" t="n"/>
      <c r="G96" s="18" t="n"/>
      <c r="H96" s="15" t="n"/>
      <c r="I96" s="19">
        <f>IF($A96="","",SUMIF(tblGunluk[VarlikId],$A96,tblGunluk[UretimKwh_kwh]))</f>
        <v/>
      </c>
      <c r="J96" s="19">
        <f>IF($A96="","",IFERROR(AVERAGEIF(tblGunluk[VarlikId],$A96,tblGunluk[FormulPr_oran]),0))</f>
        <v/>
      </c>
      <c r="K96" s="19">
        <f>IF($A96="","",SUMIF(tblGunluk[VarlikId],$A96,tblGunluk[KayipKwh_kwh]))</f>
        <v/>
      </c>
      <c r="L96" s="19">
        <f>IF($A96="","",MAX(0,MIN(100,gup_kaliteTaban-IF($J96&lt;gup_esikPr,gup_kaliteCeza,0)-COUNTIFS(tblGunluk[VarlikId],$A96,tblGunluk[AlarmBayrak],"ALARM")*gup_kaliteSapma-IF($H96="HAYIR",gup_kaliteCeza,0))))</f>
        <v/>
      </c>
    </row>
    <row r="97">
      <c r="A97" s="15" t="n"/>
      <c r="B97" s="15" t="n"/>
      <c r="C97" s="15" t="n"/>
      <c r="D97" s="16" t="n"/>
      <c r="E97" s="17" t="n"/>
      <c r="F97" s="15" t="n"/>
      <c r="G97" s="18" t="n"/>
      <c r="H97" s="15" t="n"/>
      <c r="I97" s="19">
        <f>IF($A97="","",SUMIF(tblGunluk[VarlikId],$A97,tblGunluk[UretimKwh_kwh]))</f>
        <v/>
      </c>
      <c r="J97" s="19">
        <f>IF($A97="","",IFERROR(AVERAGEIF(tblGunluk[VarlikId],$A97,tblGunluk[FormulPr_oran]),0))</f>
        <v/>
      </c>
      <c r="K97" s="19">
        <f>IF($A97="","",SUMIF(tblGunluk[VarlikId],$A97,tblGunluk[KayipKwh_kwh]))</f>
        <v/>
      </c>
      <c r="L97" s="19">
        <f>IF($A97="","",MAX(0,MIN(100,gup_kaliteTaban-IF($J97&lt;gup_esikPr,gup_kaliteCeza,0)-COUNTIFS(tblGunluk[VarlikId],$A97,tblGunluk[AlarmBayrak],"ALARM")*gup_kaliteSapma-IF($H97="HAYIR",gup_kaliteCeza,0))))</f>
        <v/>
      </c>
    </row>
    <row r="98">
      <c r="A98" s="15" t="n"/>
      <c r="B98" s="15" t="n"/>
      <c r="C98" s="15" t="n"/>
      <c r="D98" s="16" t="n"/>
      <c r="E98" s="17" t="n"/>
      <c r="F98" s="15" t="n"/>
      <c r="G98" s="18" t="n"/>
      <c r="H98" s="15" t="n"/>
      <c r="I98" s="19">
        <f>IF($A98="","",SUMIF(tblGunluk[VarlikId],$A98,tblGunluk[UretimKwh_kwh]))</f>
        <v/>
      </c>
      <c r="J98" s="19">
        <f>IF($A98="","",IFERROR(AVERAGEIF(tblGunluk[VarlikId],$A98,tblGunluk[FormulPr_oran]),0))</f>
        <v/>
      </c>
      <c r="K98" s="19">
        <f>IF($A98="","",SUMIF(tblGunluk[VarlikId],$A98,tblGunluk[KayipKwh_kwh]))</f>
        <v/>
      </c>
      <c r="L98" s="19">
        <f>IF($A98="","",MAX(0,MIN(100,gup_kaliteTaban-IF($J98&lt;gup_esikPr,gup_kaliteCeza,0)-COUNTIFS(tblGunluk[VarlikId],$A98,tblGunluk[AlarmBayrak],"ALARM")*gup_kaliteSapma-IF($H98="HAYIR",gup_kaliteCeza,0))))</f>
        <v/>
      </c>
    </row>
    <row r="99">
      <c r="A99" s="15" t="n"/>
      <c r="B99" s="15" t="n"/>
      <c r="C99" s="15" t="n"/>
      <c r="D99" s="16" t="n"/>
      <c r="E99" s="17" t="n"/>
      <c r="F99" s="15" t="n"/>
      <c r="G99" s="18" t="n"/>
      <c r="H99" s="15" t="n"/>
      <c r="I99" s="19">
        <f>IF($A99="","",SUMIF(tblGunluk[VarlikId],$A99,tblGunluk[UretimKwh_kwh]))</f>
        <v/>
      </c>
      <c r="J99" s="19">
        <f>IF($A99="","",IFERROR(AVERAGEIF(tblGunluk[VarlikId],$A99,tblGunluk[FormulPr_oran]),0))</f>
        <v/>
      </c>
      <c r="K99" s="19">
        <f>IF($A99="","",SUMIF(tblGunluk[VarlikId],$A99,tblGunluk[KayipKwh_kwh]))</f>
        <v/>
      </c>
      <c r="L99" s="19">
        <f>IF($A99="","",MAX(0,MIN(100,gup_kaliteTaban-IF($J99&lt;gup_esikPr,gup_kaliteCeza,0)-COUNTIFS(tblGunluk[VarlikId],$A99,tblGunluk[AlarmBayrak],"ALARM")*gup_kaliteSapma-IF($H99="HAYIR",gup_kaliteCeza,0))))</f>
        <v/>
      </c>
    </row>
    <row r="100">
      <c r="A100" s="15" t="n"/>
      <c r="B100" s="15" t="n"/>
      <c r="C100" s="15" t="n"/>
      <c r="D100" s="16" t="n"/>
      <c r="E100" s="17" t="n"/>
      <c r="F100" s="15" t="n"/>
      <c r="G100" s="18" t="n"/>
      <c r="H100" s="15" t="n"/>
      <c r="I100" s="19">
        <f>IF($A100="","",SUMIF(tblGunluk[VarlikId],$A100,tblGunluk[UretimKwh_kwh]))</f>
        <v/>
      </c>
      <c r="J100" s="19">
        <f>IF($A100="","",IFERROR(AVERAGEIF(tblGunluk[VarlikId],$A100,tblGunluk[FormulPr_oran]),0))</f>
        <v/>
      </c>
      <c r="K100" s="19">
        <f>IF($A100="","",SUMIF(tblGunluk[VarlikId],$A100,tblGunluk[KayipKwh_kwh]))</f>
        <v/>
      </c>
      <c r="L100" s="19">
        <f>IF($A100="","",MAX(0,MIN(100,gup_kaliteTaban-IF($J100&lt;gup_esikPr,gup_kaliteCeza,0)-COUNTIFS(tblGunluk[VarlikId],$A100,tblGunluk[AlarmBayrak],"ALARM")*gup_kaliteSapma-IF($H100="HAYIR",gup_kaliteCeza,0))))</f>
        <v/>
      </c>
    </row>
    <row r="101">
      <c r="A101" s="15" t="n"/>
      <c r="B101" s="15" t="n"/>
      <c r="C101" s="15" t="n"/>
      <c r="D101" s="16" t="n"/>
      <c r="E101" s="17" t="n"/>
      <c r="F101" s="15" t="n"/>
      <c r="G101" s="18" t="n"/>
      <c r="H101" s="15" t="n"/>
      <c r="I101" s="19">
        <f>IF($A101="","",SUMIF(tblGunluk[VarlikId],$A101,tblGunluk[UretimKwh_kwh]))</f>
        <v/>
      </c>
      <c r="J101" s="19">
        <f>IF($A101="","",IFERROR(AVERAGEIF(tblGunluk[VarlikId],$A101,tblGunluk[FormulPr_oran]),0))</f>
        <v/>
      </c>
      <c r="K101" s="19">
        <f>IF($A101="","",SUMIF(tblGunluk[VarlikId],$A101,tblGunluk[KayipKwh_kwh]))</f>
        <v/>
      </c>
      <c r="L101" s="19">
        <f>IF($A101="","",MAX(0,MIN(100,gup_kaliteTaban-IF($J101&lt;gup_esikPr,gup_kaliteCeza,0)-COUNTIFS(tblGunluk[VarlikId],$A101,tblGunluk[AlarmBayrak],"ALARM")*gup_kaliteSapma-IF($H101="HAYIR",gup_kaliteCeza,0))))</f>
        <v/>
      </c>
    </row>
    <row r="102">
      <c r="A102" s="15" t="n"/>
      <c r="B102" s="15" t="n"/>
      <c r="C102" s="15" t="n"/>
      <c r="D102" s="16" t="n"/>
      <c r="E102" s="17" t="n"/>
      <c r="F102" s="15" t="n"/>
      <c r="G102" s="18" t="n"/>
      <c r="H102" s="15" t="n"/>
      <c r="I102" s="19">
        <f>IF($A102="","",SUMIF(tblGunluk[VarlikId],$A102,tblGunluk[UretimKwh_kwh]))</f>
        <v/>
      </c>
      <c r="J102" s="19">
        <f>IF($A102="","",IFERROR(AVERAGEIF(tblGunluk[VarlikId],$A102,tblGunluk[FormulPr_oran]),0))</f>
        <v/>
      </c>
      <c r="K102" s="19">
        <f>IF($A102="","",SUMIF(tblGunluk[VarlikId],$A102,tblGunluk[KayipKwh_kwh]))</f>
        <v/>
      </c>
      <c r="L102" s="19">
        <f>IF($A102="","",MAX(0,MIN(100,gup_kaliteTaban-IF($J102&lt;gup_esikPr,gup_kaliteCeza,0)-COUNTIFS(tblGunluk[VarlikId],$A102,tblGunluk[AlarmBayrak],"ALARM")*gup_kaliteSapma-IF($H102="HAYIR",gup_kaliteCeza,0))))</f>
        <v/>
      </c>
    </row>
    <row r="103">
      <c r="A103" s="15" t="n"/>
      <c r="B103" s="15" t="n"/>
      <c r="C103" s="15" t="n"/>
      <c r="D103" s="16" t="n"/>
      <c r="E103" s="17" t="n"/>
      <c r="F103" s="15" t="n"/>
      <c r="G103" s="18" t="n"/>
      <c r="H103" s="15" t="n"/>
      <c r="I103" s="19">
        <f>IF($A103="","",SUMIF(tblGunluk[VarlikId],$A103,tblGunluk[UretimKwh_kwh]))</f>
        <v/>
      </c>
      <c r="J103" s="19">
        <f>IF($A103="","",IFERROR(AVERAGEIF(tblGunluk[VarlikId],$A103,tblGunluk[FormulPr_oran]),0))</f>
        <v/>
      </c>
      <c r="K103" s="19">
        <f>IF($A103="","",SUMIF(tblGunluk[VarlikId],$A103,tblGunluk[KayipKwh_kwh]))</f>
        <v/>
      </c>
      <c r="L103" s="19">
        <f>IF($A103="","",MAX(0,MIN(100,gup_kaliteTaban-IF($J103&lt;gup_esikPr,gup_kaliteCeza,0)-COUNTIFS(tblGunluk[VarlikId],$A103,tblGunluk[AlarmBayrak],"ALARM")*gup_kaliteSapma-IF($H103="HAYIR",gup_kaliteCeza,0))))</f>
        <v/>
      </c>
    </row>
    <row r="104">
      <c r="A104" s="15" t="n"/>
      <c r="B104" s="15" t="n"/>
      <c r="C104" s="15" t="n"/>
      <c r="D104" s="16" t="n"/>
      <c r="E104" s="17" t="n"/>
      <c r="F104" s="15" t="n"/>
      <c r="G104" s="18" t="n"/>
      <c r="H104" s="15" t="n"/>
      <c r="I104" s="19">
        <f>IF($A104="","",SUMIF(tblGunluk[VarlikId],$A104,tblGunluk[UretimKwh_kwh]))</f>
        <v/>
      </c>
      <c r="J104" s="19">
        <f>IF($A104="","",IFERROR(AVERAGEIF(tblGunluk[VarlikId],$A104,tblGunluk[FormulPr_oran]),0))</f>
        <v/>
      </c>
      <c r="K104" s="19">
        <f>IF($A104="","",SUMIF(tblGunluk[VarlikId],$A104,tblGunluk[KayipKwh_kwh]))</f>
        <v/>
      </c>
      <c r="L104" s="19">
        <f>IF($A104="","",MAX(0,MIN(100,gup_kaliteTaban-IF($J104&lt;gup_esikPr,gup_kaliteCeza,0)-COUNTIFS(tblGunluk[VarlikId],$A104,tblGunluk[AlarmBayrak],"ALARM")*gup_kaliteSapma-IF($H104="HAYIR",gup_kaliteCeza,0))))</f>
        <v/>
      </c>
    </row>
    <row r="105">
      <c r="A105" s="15" t="n"/>
      <c r="B105" s="15" t="n"/>
      <c r="C105" s="15" t="n"/>
      <c r="D105" s="16" t="n"/>
      <c r="E105" s="17" t="n"/>
      <c r="F105" s="15" t="n"/>
      <c r="G105" s="18" t="n"/>
      <c r="H105" s="15" t="n"/>
      <c r="I105" s="19">
        <f>IF($A105="","",SUMIF(tblGunluk[VarlikId],$A105,tblGunluk[UretimKwh_kwh]))</f>
        <v/>
      </c>
      <c r="J105" s="19">
        <f>IF($A105="","",IFERROR(AVERAGEIF(tblGunluk[VarlikId],$A105,tblGunluk[FormulPr_oran]),0))</f>
        <v/>
      </c>
      <c r="K105" s="19">
        <f>IF($A105="","",SUMIF(tblGunluk[VarlikId],$A105,tblGunluk[KayipKwh_kwh]))</f>
        <v/>
      </c>
      <c r="L105" s="19">
        <f>IF($A105="","",MAX(0,MIN(100,gup_kaliteTaban-IF($J105&lt;gup_esikPr,gup_kaliteCeza,0)-COUNTIFS(tblGunluk[VarlikId],$A105,tblGunluk[AlarmBayrak],"ALARM")*gup_kaliteSapma-IF($H105="HAYIR",gup_kaliteCeza,0))))</f>
        <v/>
      </c>
    </row>
    <row r="106">
      <c r="A106" s="15" t="n"/>
      <c r="B106" s="15" t="n"/>
      <c r="C106" s="15" t="n"/>
      <c r="D106" s="16" t="n"/>
      <c r="E106" s="17" t="n"/>
      <c r="F106" s="15" t="n"/>
      <c r="G106" s="18" t="n"/>
      <c r="H106" s="15" t="n"/>
      <c r="I106" s="19">
        <f>IF($A106="","",SUMIF(tblGunluk[VarlikId],$A106,tblGunluk[UretimKwh_kwh]))</f>
        <v/>
      </c>
      <c r="J106" s="19">
        <f>IF($A106="","",IFERROR(AVERAGEIF(tblGunluk[VarlikId],$A106,tblGunluk[FormulPr_oran]),0))</f>
        <v/>
      </c>
      <c r="K106" s="19">
        <f>IF($A106="","",SUMIF(tblGunluk[VarlikId],$A106,tblGunluk[KayipKwh_kwh]))</f>
        <v/>
      </c>
      <c r="L106" s="19">
        <f>IF($A106="","",MAX(0,MIN(100,gup_kaliteTaban-IF($J106&lt;gup_esikPr,gup_kaliteCeza,0)-COUNTIFS(tblGunluk[VarlikId],$A106,tblGunluk[AlarmBayrak],"ALARM")*gup_kaliteSapma-IF($H106="HAYIR",gup_kaliteCeza,0))))</f>
        <v/>
      </c>
    </row>
    <row r="107">
      <c r="A107" s="15" t="n"/>
      <c r="B107" s="15" t="n"/>
      <c r="C107" s="15" t="n"/>
      <c r="D107" s="16" t="n"/>
      <c r="E107" s="17" t="n"/>
      <c r="F107" s="15" t="n"/>
      <c r="G107" s="18" t="n"/>
      <c r="H107" s="15" t="n"/>
      <c r="I107" s="19">
        <f>IF($A107="","",SUMIF(tblGunluk[VarlikId],$A107,tblGunluk[UretimKwh_kwh]))</f>
        <v/>
      </c>
      <c r="J107" s="19">
        <f>IF($A107="","",IFERROR(AVERAGEIF(tblGunluk[VarlikId],$A107,tblGunluk[FormulPr_oran]),0))</f>
        <v/>
      </c>
      <c r="K107" s="19">
        <f>IF($A107="","",SUMIF(tblGunluk[VarlikId],$A107,tblGunluk[KayipKwh_kwh]))</f>
        <v/>
      </c>
      <c r="L107" s="19">
        <f>IF($A107="","",MAX(0,MIN(100,gup_kaliteTaban-IF($J107&lt;gup_esikPr,gup_kaliteCeza,0)-COUNTIFS(tblGunluk[VarlikId],$A107,tblGunluk[AlarmBayrak],"ALARM")*gup_kaliteSapma-IF($H107="HAYIR",gup_kaliteCeza,0))))</f>
        <v/>
      </c>
    </row>
    <row r="108">
      <c r="A108" s="15" t="n"/>
      <c r="B108" s="15" t="n"/>
      <c r="C108" s="15" t="n"/>
      <c r="D108" s="16" t="n"/>
      <c r="E108" s="17" t="n"/>
      <c r="F108" s="15" t="n"/>
      <c r="G108" s="18" t="n"/>
      <c r="H108" s="15" t="n"/>
      <c r="I108" s="19">
        <f>IF($A108="","",SUMIF(tblGunluk[VarlikId],$A108,tblGunluk[UretimKwh_kwh]))</f>
        <v/>
      </c>
      <c r="J108" s="19">
        <f>IF($A108="","",IFERROR(AVERAGEIF(tblGunluk[VarlikId],$A108,tblGunluk[FormulPr_oran]),0))</f>
        <v/>
      </c>
      <c r="K108" s="19">
        <f>IF($A108="","",SUMIF(tblGunluk[VarlikId],$A108,tblGunluk[KayipKwh_kwh]))</f>
        <v/>
      </c>
      <c r="L108" s="19">
        <f>IF($A108="","",MAX(0,MIN(100,gup_kaliteTaban-IF($J108&lt;gup_esikPr,gup_kaliteCeza,0)-COUNTIFS(tblGunluk[VarlikId],$A108,tblGunluk[AlarmBayrak],"ALARM")*gup_kaliteSapma-IF($H108="HAYIR",gup_kaliteCeza,0))))</f>
        <v/>
      </c>
    </row>
    <row r="109">
      <c r="A109" s="15" t="n"/>
      <c r="B109" s="15" t="n"/>
      <c r="C109" s="15" t="n"/>
      <c r="D109" s="16" t="n"/>
      <c r="E109" s="17" t="n"/>
      <c r="F109" s="15" t="n"/>
      <c r="G109" s="18" t="n"/>
      <c r="H109" s="15" t="n"/>
      <c r="I109" s="19">
        <f>IF($A109="","",SUMIF(tblGunluk[VarlikId],$A109,tblGunluk[UretimKwh_kwh]))</f>
        <v/>
      </c>
      <c r="J109" s="19">
        <f>IF($A109="","",IFERROR(AVERAGEIF(tblGunluk[VarlikId],$A109,tblGunluk[FormulPr_oran]),0))</f>
        <v/>
      </c>
      <c r="K109" s="19">
        <f>IF($A109="","",SUMIF(tblGunluk[VarlikId],$A109,tblGunluk[KayipKwh_kwh]))</f>
        <v/>
      </c>
      <c r="L109" s="19">
        <f>IF($A109="","",MAX(0,MIN(100,gup_kaliteTaban-IF($J109&lt;gup_esikPr,gup_kaliteCeza,0)-COUNTIFS(tblGunluk[VarlikId],$A109,tblGunluk[AlarmBayrak],"ALARM")*gup_kaliteSapma-IF($H109="HAYIR",gup_kaliteCeza,0))))</f>
        <v/>
      </c>
    </row>
    <row r="110">
      <c r="A110" s="15" t="n"/>
      <c r="B110" s="15" t="n"/>
      <c r="C110" s="15" t="n"/>
      <c r="D110" s="16" t="n"/>
      <c r="E110" s="17" t="n"/>
      <c r="F110" s="15" t="n"/>
      <c r="G110" s="18" t="n"/>
      <c r="H110" s="15" t="n"/>
      <c r="I110" s="19">
        <f>IF($A110="","",SUMIF(tblGunluk[VarlikId],$A110,tblGunluk[UretimKwh_kwh]))</f>
        <v/>
      </c>
      <c r="J110" s="19">
        <f>IF($A110="","",IFERROR(AVERAGEIF(tblGunluk[VarlikId],$A110,tblGunluk[FormulPr_oran]),0))</f>
        <v/>
      </c>
      <c r="K110" s="19">
        <f>IF($A110="","",SUMIF(tblGunluk[VarlikId],$A110,tblGunluk[KayipKwh_kwh]))</f>
        <v/>
      </c>
      <c r="L110" s="19">
        <f>IF($A110="","",MAX(0,MIN(100,gup_kaliteTaban-IF($J110&lt;gup_esikPr,gup_kaliteCeza,0)-COUNTIFS(tblGunluk[VarlikId],$A110,tblGunluk[AlarmBayrak],"ALARM")*gup_kaliteSapma-IF($H110="HAYIR",gup_kaliteCeza,0))))</f>
        <v/>
      </c>
    </row>
    <row r="111">
      <c r="A111" s="15" t="n"/>
      <c r="B111" s="15" t="n"/>
      <c r="C111" s="15" t="n"/>
      <c r="D111" s="16" t="n"/>
      <c r="E111" s="17" t="n"/>
      <c r="F111" s="15" t="n"/>
      <c r="G111" s="18" t="n"/>
      <c r="H111" s="15" t="n"/>
      <c r="I111" s="19">
        <f>IF($A111="","",SUMIF(tblGunluk[VarlikId],$A111,tblGunluk[UretimKwh_kwh]))</f>
        <v/>
      </c>
      <c r="J111" s="19">
        <f>IF($A111="","",IFERROR(AVERAGEIF(tblGunluk[VarlikId],$A111,tblGunluk[FormulPr_oran]),0))</f>
        <v/>
      </c>
      <c r="K111" s="19">
        <f>IF($A111="","",SUMIF(tblGunluk[VarlikId],$A111,tblGunluk[KayipKwh_kwh]))</f>
        <v/>
      </c>
      <c r="L111" s="19">
        <f>IF($A111="","",MAX(0,MIN(100,gup_kaliteTaban-IF($J111&lt;gup_esikPr,gup_kaliteCeza,0)-COUNTIFS(tblGunluk[VarlikId],$A111,tblGunluk[AlarmBayrak],"ALARM")*gup_kaliteSapma-IF($H111="HAYIR",gup_kaliteCeza,0))))</f>
        <v/>
      </c>
    </row>
    <row r="112">
      <c r="A112" s="15" t="n"/>
      <c r="B112" s="15" t="n"/>
      <c r="C112" s="15" t="n"/>
      <c r="D112" s="16" t="n"/>
      <c r="E112" s="17" t="n"/>
      <c r="F112" s="15" t="n"/>
      <c r="G112" s="18" t="n"/>
      <c r="H112" s="15" t="n"/>
      <c r="I112" s="19">
        <f>IF($A112="","",SUMIF(tblGunluk[VarlikId],$A112,tblGunluk[UretimKwh_kwh]))</f>
        <v/>
      </c>
      <c r="J112" s="19">
        <f>IF($A112="","",IFERROR(AVERAGEIF(tblGunluk[VarlikId],$A112,tblGunluk[FormulPr_oran]),0))</f>
        <v/>
      </c>
      <c r="K112" s="19">
        <f>IF($A112="","",SUMIF(tblGunluk[VarlikId],$A112,tblGunluk[KayipKwh_kwh]))</f>
        <v/>
      </c>
      <c r="L112" s="19">
        <f>IF($A112="","",MAX(0,MIN(100,gup_kaliteTaban-IF($J112&lt;gup_esikPr,gup_kaliteCeza,0)-COUNTIFS(tblGunluk[VarlikId],$A112,tblGunluk[AlarmBayrak],"ALARM")*gup_kaliteSapma-IF($H112="HAYIR",gup_kaliteCeza,0))))</f>
        <v/>
      </c>
    </row>
    <row r="113">
      <c r="A113" s="15" t="n"/>
      <c r="B113" s="15" t="n"/>
      <c r="C113" s="15" t="n"/>
      <c r="D113" s="16" t="n"/>
      <c r="E113" s="17" t="n"/>
      <c r="F113" s="15" t="n"/>
      <c r="G113" s="18" t="n"/>
      <c r="H113" s="15" t="n"/>
      <c r="I113" s="19">
        <f>IF($A113="","",SUMIF(tblGunluk[VarlikId],$A113,tblGunluk[UretimKwh_kwh]))</f>
        <v/>
      </c>
      <c r="J113" s="19">
        <f>IF($A113="","",IFERROR(AVERAGEIF(tblGunluk[VarlikId],$A113,tblGunluk[FormulPr_oran]),0))</f>
        <v/>
      </c>
      <c r="K113" s="19">
        <f>IF($A113="","",SUMIF(tblGunluk[VarlikId],$A113,tblGunluk[KayipKwh_kwh]))</f>
        <v/>
      </c>
      <c r="L113" s="19">
        <f>IF($A113="","",MAX(0,MIN(100,gup_kaliteTaban-IF($J113&lt;gup_esikPr,gup_kaliteCeza,0)-COUNTIFS(tblGunluk[VarlikId],$A113,tblGunluk[AlarmBayrak],"ALARM")*gup_kaliteSapma-IF($H113="HAYIR",gup_kaliteCeza,0))))</f>
        <v/>
      </c>
    </row>
    <row r="114">
      <c r="A114" s="15" t="n"/>
      <c r="B114" s="15" t="n"/>
      <c r="C114" s="15" t="n"/>
      <c r="D114" s="16" t="n"/>
      <c r="E114" s="17" t="n"/>
      <c r="F114" s="15" t="n"/>
      <c r="G114" s="18" t="n"/>
      <c r="H114" s="15" t="n"/>
      <c r="I114" s="19">
        <f>IF($A114="","",SUMIF(tblGunluk[VarlikId],$A114,tblGunluk[UretimKwh_kwh]))</f>
        <v/>
      </c>
      <c r="J114" s="19">
        <f>IF($A114="","",IFERROR(AVERAGEIF(tblGunluk[VarlikId],$A114,tblGunluk[FormulPr_oran]),0))</f>
        <v/>
      </c>
      <c r="K114" s="19">
        <f>IF($A114="","",SUMIF(tblGunluk[VarlikId],$A114,tblGunluk[KayipKwh_kwh]))</f>
        <v/>
      </c>
      <c r="L114" s="19">
        <f>IF($A114="","",MAX(0,MIN(100,gup_kaliteTaban-IF($J114&lt;gup_esikPr,gup_kaliteCeza,0)-COUNTIFS(tblGunluk[VarlikId],$A114,tblGunluk[AlarmBayrak],"ALARM")*gup_kaliteSapma-IF($H114="HAYIR",gup_kaliteCeza,0))))</f>
        <v/>
      </c>
    </row>
    <row r="115">
      <c r="A115" s="15" t="n"/>
      <c r="B115" s="15" t="n"/>
      <c r="C115" s="15" t="n"/>
      <c r="D115" s="16" t="n"/>
      <c r="E115" s="17" t="n"/>
      <c r="F115" s="15" t="n"/>
      <c r="G115" s="18" t="n"/>
      <c r="H115" s="15" t="n"/>
      <c r="I115" s="19">
        <f>IF($A115="","",SUMIF(tblGunluk[VarlikId],$A115,tblGunluk[UretimKwh_kwh]))</f>
        <v/>
      </c>
      <c r="J115" s="19">
        <f>IF($A115="","",IFERROR(AVERAGEIF(tblGunluk[VarlikId],$A115,tblGunluk[FormulPr_oran]),0))</f>
        <v/>
      </c>
      <c r="K115" s="19">
        <f>IF($A115="","",SUMIF(tblGunluk[VarlikId],$A115,tblGunluk[KayipKwh_kwh]))</f>
        <v/>
      </c>
      <c r="L115" s="19">
        <f>IF($A115="","",MAX(0,MIN(100,gup_kaliteTaban-IF($J115&lt;gup_esikPr,gup_kaliteCeza,0)-COUNTIFS(tblGunluk[VarlikId],$A115,tblGunluk[AlarmBayrak],"ALARM")*gup_kaliteSapma-IF($H115="HAYIR",gup_kaliteCeza,0))))</f>
        <v/>
      </c>
    </row>
    <row r="116">
      <c r="A116" s="15" t="n"/>
      <c r="B116" s="15" t="n"/>
      <c r="C116" s="15" t="n"/>
      <c r="D116" s="16" t="n"/>
      <c r="E116" s="17" t="n"/>
      <c r="F116" s="15" t="n"/>
      <c r="G116" s="18" t="n"/>
      <c r="H116" s="15" t="n"/>
      <c r="I116" s="19">
        <f>IF($A116="","",SUMIF(tblGunluk[VarlikId],$A116,tblGunluk[UretimKwh_kwh]))</f>
        <v/>
      </c>
      <c r="J116" s="19">
        <f>IF($A116="","",IFERROR(AVERAGEIF(tblGunluk[VarlikId],$A116,tblGunluk[FormulPr_oran]),0))</f>
        <v/>
      </c>
      <c r="K116" s="19">
        <f>IF($A116="","",SUMIF(tblGunluk[VarlikId],$A116,tblGunluk[KayipKwh_kwh]))</f>
        <v/>
      </c>
      <c r="L116" s="19">
        <f>IF($A116="","",MAX(0,MIN(100,gup_kaliteTaban-IF($J116&lt;gup_esikPr,gup_kaliteCeza,0)-COUNTIFS(tblGunluk[VarlikId],$A116,tblGunluk[AlarmBayrak],"ALARM")*gup_kaliteSapma-IF($H116="HAYIR",gup_kaliteCeza,0))))</f>
        <v/>
      </c>
    </row>
    <row r="117">
      <c r="A117" s="15" t="n"/>
      <c r="B117" s="15" t="n"/>
      <c r="C117" s="15" t="n"/>
      <c r="D117" s="16" t="n"/>
      <c r="E117" s="17" t="n"/>
      <c r="F117" s="15" t="n"/>
      <c r="G117" s="18" t="n"/>
      <c r="H117" s="15" t="n"/>
      <c r="I117" s="19">
        <f>IF($A117="","",SUMIF(tblGunluk[VarlikId],$A117,tblGunluk[UretimKwh_kwh]))</f>
        <v/>
      </c>
      <c r="J117" s="19">
        <f>IF($A117="","",IFERROR(AVERAGEIF(tblGunluk[VarlikId],$A117,tblGunluk[FormulPr_oran]),0))</f>
        <v/>
      </c>
      <c r="K117" s="19">
        <f>IF($A117="","",SUMIF(tblGunluk[VarlikId],$A117,tblGunluk[KayipKwh_kwh]))</f>
        <v/>
      </c>
      <c r="L117" s="19">
        <f>IF($A117="","",MAX(0,MIN(100,gup_kaliteTaban-IF($J117&lt;gup_esikPr,gup_kaliteCeza,0)-COUNTIFS(tblGunluk[VarlikId],$A117,tblGunluk[AlarmBayrak],"ALARM")*gup_kaliteSapma-IF($H117="HAYIR",gup_kaliteCeza,0))))</f>
        <v/>
      </c>
    </row>
    <row r="118">
      <c r="A118" s="15" t="n"/>
      <c r="B118" s="15" t="n"/>
      <c r="C118" s="15" t="n"/>
      <c r="D118" s="16" t="n"/>
      <c r="E118" s="17" t="n"/>
      <c r="F118" s="15" t="n"/>
      <c r="G118" s="18" t="n"/>
      <c r="H118" s="15" t="n"/>
      <c r="I118" s="19">
        <f>IF($A118="","",SUMIF(tblGunluk[VarlikId],$A118,tblGunluk[UretimKwh_kwh]))</f>
        <v/>
      </c>
      <c r="J118" s="19">
        <f>IF($A118="","",IFERROR(AVERAGEIF(tblGunluk[VarlikId],$A118,tblGunluk[FormulPr_oran]),0))</f>
        <v/>
      </c>
      <c r="K118" s="19">
        <f>IF($A118="","",SUMIF(tblGunluk[VarlikId],$A118,tblGunluk[KayipKwh_kwh]))</f>
        <v/>
      </c>
      <c r="L118" s="19">
        <f>IF($A118="","",MAX(0,MIN(100,gup_kaliteTaban-IF($J118&lt;gup_esikPr,gup_kaliteCeza,0)-COUNTIFS(tblGunluk[VarlikId],$A118,tblGunluk[AlarmBayrak],"ALARM")*gup_kaliteSapma-IF($H118="HAYIR",gup_kaliteCeza,0))))</f>
        <v/>
      </c>
    </row>
    <row r="119">
      <c r="A119" s="15" t="n"/>
      <c r="B119" s="15" t="n"/>
      <c r="C119" s="15" t="n"/>
      <c r="D119" s="16" t="n"/>
      <c r="E119" s="17" t="n"/>
      <c r="F119" s="15" t="n"/>
      <c r="G119" s="18" t="n"/>
      <c r="H119" s="15" t="n"/>
      <c r="I119" s="19">
        <f>IF($A119="","",SUMIF(tblGunluk[VarlikId],$A119,tblGunluk[UretimKwh_kwh]))</f>
        <v/>
      </c>
      <c r="J119" s="19">
        <f>IF($A119="","",IFERROR(AVERAGEIF(tblGunluk[VarlikId],$A119,tblGunluk[FormulPr_oran]),0))</f>
        <v/>
      </c>
      <c r="K119" s="19">
        <f>IF($A119="","",SUMIF(tblGunluk[VarlikId],$A119,tblGunluk[KayipKwh_kwh]))</f>
        <v/>
      </c>
      <c r="L119" s="19">
        <f>IF($A119="","",MAX(0,MIN(100,gup_kaliteTaban-IF($J119&lt;gup_esikPr,gup_kaliteCeza,0)-COUNTIFS(tblGunluk[VarlikId],$A119,tblGunluk[AlarmBayrak],"ALARM")*gup_kaliteSapma-IF($H119="HAYIR",gup_kaliteCeza,0))))</f>
        <v/>
      </c>
    </row>
    <row r="120">
      <c r="A120" s="15" t="n"/>
      <c r="B120" s="15" t="n"/>
      <c r="C120" s="15" t="n"/>
      <c r="D120" s="16" t="n"/>
      <c r="E120" s="17" t="n"/>
      <c r="F120" s="15" t="n"/>
      <c r="G120" s="18" t="n"/>
      <c r="H120" s="15" t="n"/>
      <c r="I120" s="19">
        <f>IF($A120="","",SUMIF(tblGunluk[VarlikId],$A120,tblGunluk[UretimKwh_kwh]))</f>
        <v/>
      </c>
      <c r="J120" s="19">
        <f>IF($A120="","",IFERROR(AVERAGEIF(tblGunluk[VarlikId],$A120,tblGunluk[FormulPr_oran]),0))</f>
        <v/>
      </c>
      <c r="K120" s="19">
        <f>IF($A120="","",SUMIF(tblGunluk[VarlikId],$A120,tblGunluk[KayipKwh_kwh]))</f>
        <v/>
      </c>
      <c r="L120" s="19">
        <f>IF($A120="","",MAX(0,MIN(100,gup_kaliteTaban-IF($J120&lt;gup_esikPr,gup_kaliteCeza,0)-COUNTIFS(tblGunluk[VarlikId],$A120,tblGunluk[AlarmBayrak],"ALARM")*gup_kaliteSapma-IF($H120="HAYIR",gup_kaliteCeza,0))))</f>
        <v/>
      </c>
    </row>
    <row r="121">
      <c r="A121" s="15" t="n"/>
      <c r="B121" s="15" t="n"/>
      <c r="C121" s="15" t="n"/>
      <c r="D121" s="16" t="n"/>
      <c r="E121" s="17" t="n"/>
      <c r="F121" s="15" t="n"/>
      <c r="G121" s="18" t="n"/>
      <c r="H121" s="15" t="n"/>
      <c r="I121" s="19">
        <f>IF($A121="","",SUMIF(tblGunluk[VarlikId],$A121,tblGunluk[UretimKwh_kwh]))</f>
        <v/>
      </c>
      <c r="J121" s="19">
        <f>IF($A121="","",IFERROR(AVERAGEIF(tblGunluk[VarlikId],$A121,tblGunluk[FormulPr_oran]),0))</f>
        <v/>
      </c>
      <c r="K121" s="19">
        <f>IF($A121="","",SUMIF(tblGunluk[VarlikId],$A121,tblGunluk[KayipKwh_kwh]))</f>
        <v/>
      </c>
      <c r="L121" s="19">
        <f>IF($A121="","",MAX(0,MIN(100,gup_kaliteTaban-IF($J121&lt;gup_esikPr,gup_kaliteCeza,0)-COUNTIFS(tblGunluk[VarlikId],$A121,tblGunluk[AlarmBayrak],"ALARM")*gup_kaliteSapma-IF($H121="HAYIR",gup_kaliteCeza,0))))</f>
        <v/>
      </c>
    </row>
    <row r="122">
      <c r="A122" s="15" t="n"/>
      <c r="B122" s="15" t="n"/>
      <c r="C122" s="15" t="n"/>
      <c r="D122" s="16" t="n"/>
      <c r="E122" s="17" t="n"/>
      <c r="F122" s="15" t="n"/>
      <c r="G122" s="18" t="n"/>
      <c r="H122" s="15" t="n"/>
      <c r="I122" s="19">
        <f>IF($A122="","",SUMIF(tblGunluk[VarlikId],$A122,tblGunluk[UretimKwh_kwh]))</f>
        <v/>
      </c>
      <c r="J122" s="19">
        <f>IF($A122="","",IFERROR(AVERAGEIF(tblGunluk[VarlikId],$A122,tblGunluk[FormulPr_oran]),0))</f>
        <v/>
      </c>
      <c r="K122" s="19">
        <f>IF($A122="","",SUMIF(tblGunluk[VarlikId],$A122,tblGunluk[KayipKwh_kwh]))</f>
        <v/>
      </c>
      <c r="L122" s="19">
        <f>IF($A122="","",MAX(0,MIN(100,gup_kaliteTaban-IF($J122&lt;gup_esikPr,gup_kaliteCeza,0)-COUNTIFS(tblGunluk[VarlikId],$A122,tblGunluk[AlarmBayrak],"ALARM")*gup_kaliteSapma-IF($H122="HAYIR",gup_kaliteCeza,0))))</f>
        <v/>
      </c>
    </row>
    <row r="123">
      <c r="A123" s="15" t="n"/>
      <c r="B123" s="15" t="n"/>
      <c r="C123" s="15" t="n"/>
      <c r="D123" s="16" t="n"/>
      <c r="E123" s="17" t="n"/>
      <c r="F123" s="15" t="n"/>
      <c r="G123" s="18" t="n"/>
      <c r="H123" s="15" t="n"/>
      <c r="I123" s="19">
        <f>IF($A123="","",SUMIF(tblGunluk[VarlikId],$A123,tblGunluk[UretimKwh_kwh]))</f>
        <v/>
      </c>
      <c r="J123" s="19">
        <f>IF($A123="","",IFERROR(AVERAGEIF(tblGunluk[VarlikId],$A123,tblGunluk[FormulPr_oran]),0))</f>
        <v/>
      </c>
      <c r="K123" s="19">
        <f>IF($A123="","",SUMIF(tblGunluk[VarlikId],$A123,tblGunluk[KayipKwh_kwh]))</f>
        <v/>
      </c>
      <c r="L123" s="19">
        <f>IF($A123="","",MAX(0,MIN(100,gup_kaliteTaban-IF($J123&lt;gup_esikPr,gup_kaliteCeza,0)-COUNTIFS(tblGunluk[VarlikId],$A123,tblGunluk[AlarmBayrak],"ALARM")*gup_kaliteSapma-IF($H123="HAYIR",gup_kaliteCeza,0))))</f>
        <v/>
      </c>
    </row>
    <row r="124">
      <c r="A124" s="15" t="n"/>
      <c r="B124" s="15" t="n"/>
      <c r="C124" s="15" t="n"/>
      <c r="D124" s="16" t="n"/>
      <c r="E124" s="17" t="n"/>
      <c r="F124" s="15" t="n"/>
      <c r="G124" s="18" t="n"/>
      <c r="H124" s="15" t="n"/>
      <c r="I124" s="19">
        <f>IF($A124="","",SUMIF(tblGunluk[VarlikId],$A124,tblGunluk[UretimKwh_kwh]))</f>
        <v/>
      </c>
      <c r="J124" s="19">
        <f>IF($A124="","",IFERROR(AVERAGEIF(tblGunluk[VarlikId],$A124,tblGunluk[FormulPr_oran]),0))</f>
        <v/>
      </c>
      <c r="K124" s="19">
        <f>IF($A124="","",SUMIF(tblGunluk[VarlikId],$A124,tblGunluk[KayipKwh_kwh]))</f>
        <v/>
      </c>
      <c r="L124" s="19">
        <f>IF($A124="","",MAX(0,MIN(100,gup_kaliteTaban-IF($J124&lt;gup_esikPr,gup_kaliteCeza,0)-COUNTIFS(tblGunluk[VarlikId],$A124,tblGunluk[AlarmBayrak],"ALARM")*gup_kaliteSapma-IF($H124="HAYIR",gup_kaliteCeza,0))))</f>
        <v/>
      </c>
    </row>
    <row r="125">
      <c r="A125" s="15" t="n"/>
      <c r="B125" s="15" t="n"/>
      <c r="C125" s="15" t="n"/>
      <c r="D125" s="16" t="n"/>
      <c r="E125" s="17" t="n"/>
      <c r="F125" s="15" t="n"/>
      <c r="G125" s="18" t="n"/>
      <c r="H125" s="15" t="n"/>
      <c r="I125" s="19">
        <f>IF($A125="","",SUMIF(tblGunluk[VarlikId],$A125,tblGunluk[UretimKwh_kwh]))</f>
        <v/>
      </c>
      <c r="J125" s="19">
        <f>IF($A125="","",IFERROR(AVERAGEIF(tblGunluk[VarlikId],$A125,tblGunluk[FormulPr_oran]),0))</f>
        <v/>
      </c>
      <c r="K125" s="19">
        <f>IF($A125="","",SUMIF(tblGunluk[VarlikId],$A125,tblGunluk[KayipKwh_kwh]))</f>
        <v/>
      </c>
      <c r="L125" s="19">
        <f>IF($A125="","",MAX(0,MIN(100,gup_kaliteTaban-IF($J125&lt;gup_esikPr,gup_kaliteCeza,0)-COUNTIFS(tblGunluk[VarlikId],$A125,tblGunluk[AlarmBayrak],"ALARM")*gup_kaliteSapma-IF($H125="HAYIR",gup_kaliteCeza,0))))</f>
        <v/>
      </c>
    </row>
    <row r="126">
      <c r="A126" s="15" t="n"/>
      <c r="B126" s="15" t="n"/>
      <c r="C126" s="15" t="n"/>
      <c r="D126" s="16" t="n"/>
      <c r="E126" s="17" t="n"/>
      <c r="F126" s="15" t="n"/>
      <c r="G126" s="18" t="n"/>
      <c r="H126" s="15" t="n"/>
      <c r="I126" s="19">
        <f>IF($A126="","",SUMIF(tblGunluk[VarlikId],$A126,tblGunluk[UretimKwh_kwh]))</f>
        <v/>
      </c>
      <c r="J126" s="19">
        <f>IF($A126="","",IFERROR(AVERAGEIF(tblGunluk[VarlikId],$A126,tblGunluk[FormulPr_oran]),0))</f>
        <v/>
      </c>
      <c r="K126" s="19">
        <f>IF($A126="","",SUMIF(tblGunluk[VarlikId],$A126,tblGunluk[KayipKwh_kwh]))</f>
        <v/>
      </c>
      <c r="L126" s="19">
        <f>IF($A126="","",MAX(0,MIN(100,gup_kaliteTaban-IF($J126&lt;gup_esikPr,gup_kaliteCeza,0)-COUNTIFS(tblGunluk[VarlikId],$A126,tblGunluk[AlarmBayrak],"ALARM")*gup_kaliteSapma-IF($H126="HAYIR",gup_kaliteCeza,0))))</f>
        <v/>
      </c>
    </row>
    <row r="127">
      <c r="A127" s="15" t="n"/>
      <c r="B127" s="15" t="n"/>
      <c r="C127" s="15" t="n"/>
      <c r="D127" s="16" t="n"/>
      <c r="E127" s="17" t="n"/>
      <c r="F127" s="15" t="n"/>
      <c r="G127" s="18" t="n"/>
      <c r="H127" s="15" t="n"/>
      <c r="I127" s="19">
        <f>IF($A127="","",SUMIF(tblGunluk[VarlikId],$A127,tblGunluk[UretimKwh_kwh]))</f>
        <v/>
      </c>
      <c r="J127" s="19">
        <f>IF($A127="","",IFERROR(AVERAGEIF(tblGunluk[VarlikId],$A127,tblGunluk[FormulPr_oran]),0))</f>
        <v/>
      </c>
      <c r="K127" s="19">
        <f>IF($A127="","",SUMIF(tblGunluk[VarlikId],$A127,tblGunluk[KayipKwh_kwh]))</f>
        <v/>
      </c>
      <c r="L127" s="19">
        <f>IF($A127="","",MAX(0,MIN(100,gup_kaliteTaban-IF($J127&lt;gup_esikPr,gup_kaliteCeza,0)-COUNTIFS(tblGunluk[VarlikId],$A127,tblGunluk[AlarmBayrak],"ALARM")*gup_kaliteSapma-IF($H127="HAYIR",gup_kaliteCeza,0))))</f>
        <v/>
      </c>
    </row>
    <row r="128">
      <c r="A128" s="15" t="n"/>
      <c r="B128" s="15" t="n"/>
      <c r="C128" s="15" t="n"/>
      <c r="D128" s="16" t="n"/>
      <c r="E128" s="17" t="n"/>
      <c r="F128" s="15" t="n"/>
      <c r="G128" s="18" t="n"/>
      <c r="H128" s="15" t="n"/>
      <c r="I128" s="19">
        <f>IF($A128="","",SUMIF(tblGunluk[VarlikId],$A128,tblGunluk[UretimKwh_kwh]))</f>
        <v/>
      </c>
      <c r="J128" s="19">
        <f>IF($A128="","",IFERROR(AVERAGEIF(tblGunluk[VarlikId],$A128,tblGunluk[FormulPr_oran]),0))</f>
        <v/>
      </c>
      <c r="K128" s="19">
        <f>IF($A128="","",SUMIF(tblGunluk[VarlikId],$A128,tblGunluk[KayipKwh_kwh]))</f>
        <v/>
      </c>
      <c r="L128" s="19">
        <f>IF($A128="","",MAX(0,MIN(100,gup_kaliteTaban-IF($J128&lt;gup_esikPr,gup_kaliteCeza,0)-COUNTIFS(tblGunluk[VarlikId],$A128,tblGunluk[AlarmBayrak],"ALARM")*gup_kaliteSapma-IF($H128="HAYIR",gup_kaliteCeza,0))))</f>
        <v/>
      </c>
    </row>
    <row r="129">
      <c r="A129" s="15" t="n"/>
      <c r="B129" s="15" t="n"/>
      <c r="C129" s="15" t="n"/>
      <c r="D129" s="16" t="n"/>
      <c r="E129" s="17" t="n"/>
      <c r="F129" s="15" t="n"/>
      <c r="G129" s="18" t="n"/>
      <c r="H129" s="15" t="n"/>
      <c r="I129" s="19">
        <f>IF($A129="","",SUMIF(tblGunluk[VarlikId],$A129,tblGunluk[UretimKwh_kwh]))</f>
        <v/>
      </c>
      <c r="J129" s="19">
        <f>IF($A129="","",IFERROR(AVERAGEIF(tblGunluk[VarlikId],$A129,tblGunluk[FormulPr_oran]),0))</f>
        <v/>
      </c>
      <c r="K129" s="19">
        <f>IF($A129="","",SUMIF(tblGunluk[VarlikId],$A129,tblGunluk[KayipKwh_kwh]))</f>
        <v/>
      </c>
      <c r="L129" s="19">
        <f>IF($A129="","",MAX(0,MIN(100,gup_kaliteTaban-IF($J129&lt;gup_esikPr,gup_kaliteCeza,0)-COUNTIFS(tblGunluk[VarlikId],$A129,tblGunluk[AlarmBayrak],"ALARM")*gup_kaliteSapma-IF($H129="HAYIR",gup_kaliteCeza,0))))</f>
        <v/>
      </c>
    </row>
    <row r="130">
      <c r="A130" s="15" t="n"/>
      <c r="B130" s="15" t="n"/>
      <c r="C130" s="15" t="n"/>
      <c r="D130" s="16" t="n"/>
      <c r="E130" s="17" t="n"/>
      <c r="F130" s="15" t="n"/>
      <c r="G130" s="18" t="n"/>
      <c r="H130" s="15" t="n"/>
      <c r="I130" s="19">
        <f>IF($A130="","",SUMIF(tblGunluk[VarlikId],$A130,tblGunluk[UretimKwh_kwh]))</f>
        <v/>
      </c>
      <c r="J130" s="19">
        <f>IF($A130="","",IFERROR(AVERAGEIF(tblGunluk[VarlikId],$A130,tblGunluk[FormulPr_oran]),0))</f>
        <v/>
      </c>
      <c r="K130" s="19">
        <f>IF($A130="","",SUMIF(tblGunluk[VarlikId],$A130,tblGunluk[KayipKwh_kwh]))</f>
        <v/>
      </c>
      <c r="L130" s="19">
        <f>IF($A130="","",MAX(0,MIN(100,gup_kaliteTaban-IF($J130&lt;gup_esikPr,gup_kaliteCeza,0)-COUNTIFS(tblGunluk[VarlikId],$A130,tblGunluk[AlarmBayrak],"ALARM")*gup_kaliteSapma-IF($H130="HAYIR",gup_kaliteCeza,0))))</f>
        <v/>
      </c>
    </row>
    <row r="131">
      <c r="A131" s="15" t="n"/>
      <c r="B131" s="15" t="n"/>
      <c r="C131" s="15" t="n"/>
      <c r="D131" s="16" t="n"/>
      <c r="E131" s="17" t="n"/>
      <c r="F131" s="15" t="n"/>
      <c r="G131" s="18" t="n"/>
      <c r="H131" s="15" t="n"/>
      <c r="I131" s="19">
        <f>IF($A131="","",SUMIF(tblGunluk[VarlikId],$A131,tblGunluk[UretimKwh_kwh]))</f>
        <v/>
      </c>
      <c r="J131" s="19">
        <f>IF($A131="","",IFERROR(AVERAGEIF(tblGunluk[VarlikId],$A131,tblGunluk[FormulPr_oran]),0))</f>
        <v/>
      </c>
      <c r="K131" s="19">
        <f>IF($A131="","",SUMIF(tblGunluk[VarlikId],$A131,tblGunluk[KayipKwh_kwh]))</f>
        <v/>
      </c>
      <c r="L131" s="19">
        <f>IF($A131="","",MAX(0,MIN(100,gup_kaliteTaban-IF($J131&lt;gup_esikPr,gup_kaliteCeza,0)-COUNTIFS(tblGunluk[VarlikId],$A131,tblGunluk[AlarmBayrak],"ALARM")*gup_kaliteSapma-IF($H131="HAYIR",gup_kaliteCeza,0))))</f>
        <v/>
      </c>
    </row>
    <row r="132">
      <c r="A132" s="15" t="n"/>
      <c r="B132" s="15" t="n"/>
      <c r="C132" s="15" t="n"/>
      <c r="D132" s="16" t="n"/>
      <c r="E132" s="17" t="n"/>
      <c r="F132" s="15" t="n"/>
      <c r="G132" s="18" t="n"/>
      <c r="H132" s="15" t="n"/>
      <c r="I132" s="19">
        <f>IF($A132="","",SUMIF(tblGunluk[VarlikId],$A132,tblGunluk[UretimKwh_kwh]))</f>
        <v/>
      </c>
      <c r="J132" s="19">
        <f>IF($A132="","",IFERROR(AVERAGEIF(tblGunluk[VarlikId],$A132,tblGunluk[FormulPr_oran]),0))</f>
        <v/>
      </c>
      <c r="K132" s="19">
        <f>IF($A132="","",SUMIF(tblGunluk[VarlikId],$A132,tblGunluk[KayipKwh_kwh]))</f>
        <v/>
      </c>
      <c r="L132" s="19">
        <f>IF($A132="","",MAX(0,MIN(100,gup_kaliteTaban-IF($J132&lt;gup_esikPr,gup_kaliteCeza,0)-COUNTIFS(tblGunluk[VarlikId],$A132,tblGunluk[AlarmBayrak],"ALARM")*gup_kaliteSapma-IF($H132="HAYIR",gup_kaliteCeza,0))))</f>
        <v/>
      </c>
    </row>
    <row r="133">
      <c r="A133" s="15" t="n"/>
      <c r="B133" s="15" t="n"/>
      <c r="C133" s="15" t="n"/>
      <c r="D133" s="16" t="n"/>
      <c r="E133" s="17" t="n"/>
      <c r="F133" s="15" t="n"/>
      <c r="G133" s="18" t="n"/>
      <c r="H133" s="15" t="n"/>
      <c r="I133" s="19">
        <f>IF($A133="","",SUMIF(tblGunluk[VarlikId],$A133,tblGunluk[UretimKwh_kwh]))</f>
        <v/>
      </c>
      <c r="J133" s="19">
        <f>IF($A133="","",IFERROR(AVERAGEIF(tblGunluk[VarlikId],$A133,tblGunluk[FormulPr_oran]),0))</f>
        <v/>
      </c>
      <c r="K133" s="19">
        <f>IF($A133="","",SUMIF(tblGunluk[VarlikId],$A133,tblGunluk[KayipKwh_kwh]))</f>
        <v/>
      </c>
      <c r="L133" s="19">
        <f>IF($A133="","",MAX(0,MIN(100,gup_kaliteTaban-IF($J133&lt;gup_esikPr,gup_kaliteCeza,0)-COUNTIFS(tblGunluk[VarlikId],$A133,tblGunluk[AlarmBayrak],"ALARM")*gup_kaliteSapma-IF($H133="HAYIR",gup_kaliteCeza,0))))</f>
        <v/>
      </c>
    </row>
    <row r="134">
      <c r="A134" s="15" t="n"/>
      <c r="B134" s="15" t="n"/>
      <c r="C134" s="15" t="n"/>
      <c r="D134" s="16" t="n"/>
      <c r="E134" s="17" t="n"/>
      <c r="F134" s="15" t="n"/>
      <c r="G134" s="18" t="n"/>
      <c r="H134" s="15" t="n"/>
      <c r="I134" s="19">
        <f>IF($A134="","",SUMIF(tblGunluk[VarlikId],$A134,tblGunluk[UretimKwh_kwh]))</f>
        <v/>
      </c>
      <c r="J134" s="19">
        <f>IF($A134="","",IFERROR(AVERAGEIF(tblGunluk[VarlikId],$A134,tblGunluk[FormulPr_oran]),0))</f>
        <v/>
      </c>
      <c r="K134" s="19">
        <f>IF($A134="","",SUMIF(tblGunluk[VarlikId],$A134,tblGunluk[KayipKwh_kwh]))</f>
        <v/>
      </c>
      <c r="L134" s="19">
        <f>IF($A134="","",MAX(0,MIN(100,gup_kaliteTaban-IF($J134&lt;gup_esikPr,gup_kaliteCeza,0)-COUNTIFS(tblGunluk[VarlikId],$A134,tblGunluk[AlarmBayrak],"ALARM")*gup_kaliteSapma-IF($H134="HAYIR",gup_kaliteCeza,0))))</f>
        <v/>
      </c>
    </row>
    <row r="135">
      <c r="A135" s="15" t="n"/>
      <c r="B135" s="15" t="n"/>
      <c r="C135" s="15" t="n"/>
      <c r="D135" s="16" t="n"/>
      <c r="E135" s="17" t="n"/>
      <c r="F135" s="15" t="n"/>
      <c r="G135" s="18" t="n"/>
      <c r="H135" s="15" t="n"/>
      <c r="I135" s="19">
        <f>IF($A135="","",SUMIF(tblGunluk[VarlikId],$A135,tblGunluk[UretimKwh_kwh]))</f>
        <v/>
      </c>
      <c r="J135" s="19">
        <f>IF($A135="","",IFERROR(AVERAGEIF(tblGunluk[VarlikId],$A135,tblGunluk[FormulPr_oran]),0))</f>
        <v/>
      </c>
      <c r="K135" s="19">
        <f>IF($A135="","",SUMIF(tblGunluk[VarlikId],$A135,tblGunluk[KayipKwh_kwh]))</f>
        <v/>
      </c>
      <c r="L135" s="19">
        <f>IF($A135="","",MAX(0,MIN(100,gup_kaliteTaban-IF($J135&lt;gup_esikPr,gup_kaliteCeza,0)-COUNTIFS(tblGunluk[VarlikId],$A135,tblGunluk[AlarmBayrak],"ALARM")*gup_kaliteSapma-IF($H135="HAYIR",gup_kaliteCeza,0))))</f>
        <v/>
      </c>
    </row>
    <row r="136">
      <c r="A136" s="15" t="n"/>
      <c r="B136" s="15" t="n"/>
      <c r="C136" s="15" t="n"/>
      <c r="D136" s="16" t="n"/>
      <c r="E136" s="17" t="n"/>
      <c r="F136" s="15" t="n"/>
      <c r="G136" s="18" t="n"/>
      <c r="H136" s="15" t="n"/>
      <c r="I136" s="19">
        <f>IF($A136="","",SUMIF(tblGunluk[VarlikId],$A136,tblGunluk[UretimKwh_kwh]))</f>
        <v/>
      </c>
      <c r="J136" s="19">
        <f>IF($A136="","",IFERROR(AVERAGEIF(tblGunluk[VarlikId],$A136,tblGunluk[FormulPr_oran]),0))</f>
        <v/>
      </c>
      <c r="K136" s="19">
        <f>IF($A136="","",SUMIF(tblGunluk[VarlikId],$A136,tblGunluk[KayipKwh_kwh]))</f>
        <v/>
      </c>
      <c r="L136" s="19">
        <f>IF($A136="","",MAX(0,MIN(100,gup_kaliteTaban-IF($J136&lt;gup_esikPr,gup_kaliteCeza,0)-COUNTIFS(tblGunluk[VarlikId],$A136,tblGunluk[AlarmBayrak],"ALARM")*gup_kaliteSapma-IF($H136="HAYIR",gup_kaliteCeza,0))))</f>
        <v/>
      </c>
    </row>
    <row r="137">
      <c r="A137" s="15" t="n"/>
      <c r="B137" s="15" t="n"/>
      <c r="C137" s="15" t="n"/>
      <c r="D137" s="16" t="n"/>
      <c r="E137" s="17" t="n"/>
      <c r="F137" s="15" t="n"/>
      <c r="G137" s="18" t="n"/>
      <c r="H137" s="15" t="n"/>
      <c r="I137" s="19">
        <f>IF($A137="","",SUMIF(tblGunluk[VarlikId],$A137,tblGunluk[UretimKwh_kwh]))</f>
        <v/>
      </c>
      <c r="J137" s="19">
        <f>IF($A137="","",IFERROR(AVERAGEIF(tblGunluk[VarlikId],$A137,tblGunluk[FormulPr_oran]),0))</f>
        <v/>
      </c>
      <c r="K137" s="19">
        <f>IF($A137="","",SUMIF(tblGunluk[VarlikId],$A137,tblGunluk[KayipKwh_kwh]))</f>
        <v/>
      </c>
      <c r="L137" s="19">
        <f>IF($A137="","",MAX(0,MIN(100,gup_kaliteTaban-IF($J137&lt;gup_esikPr,gup_kaliteCeza,0)-COUNTIFS(tblGunluk[VarlikId],$A137,tblGunluk[AlarmBayrak],"ALARM")*gup_kaliteSapma-IF($H137="HAYIR",gup_kaliteCeza,0))))</f>
        <v/>
      </c>
    </row>
    <row r="138">
      <c r="A138" s="15" t="n"/>
      <c r="B138" s="15" t="n"/>
      <c r="C138" s="15" t="n"/>
      <c r="D138" s="16" t="n"/>
      <c r="E138" s="17" t="n"/>
      <c r="F138" s="15" t="n"/>
      <c r="G138" s="18" t="n"/>
      <c r="H138" s="15" t="n"/>
      <c r="I138" s="19">
        <f>IF($A138="","",SUMIF(tblGunluk[VarlikId],$A138,tblGunluk[UretimKwh_kwh]))</f>
        <v/>
      </c>
      <c r="J138" s="19">
        <f>IF($A138="","",IFERROR(AVERAGEIF(tblGunluk[VarlikId],$A138,tblGunluk[FormulPr_oran]),0))</f>
        <v/>
      </c>
      <c r="K138" s="19">
        <f>IF($A138="","",SUMIF(tblGunluk[VarlikId],$A138,tblGunluk[KayipKwh_kwh]))</f>
        <v/>
      </c>
      <c r="L138" s="19">
        <f>IF($A138="","",MAX(0,MIN(100,gup_kaliteTaban-IF($J138&lt;gup_esikPr,gup_kaliteCeza,0)-COUNTIFS(tblGunluk[VarlikId],$A138,tblGunluk[AlarmBayrak],"ALARM")*gup_kaliteSapma-IF($H138="HAYIR",gup_kaliteCeza,0))))</f>
        <v/>
      </c>
    </row>
    <row r="139">
      <c r="A139" s="15" t="n"/>
      <c r="B139" s="15" t="n"/>
      <c r="C139" s="15" t="n"/>
      <c r="D139" s="16" t="n"/>
      <c r="E139" s="17" t="n"/>
      <c r="F139" s="15" t="n"/>
      <c r="G139" s="18" t="n"/>
      <c r="H139" s="15" t="n"/>
      <c r="I139" s="19">
        <f>IF($A139="","",SUMIF(tblGunluk[VarlikId],$A139,tblGunluk[UretimKwh_kwh]))</f>
        <v/>
      </c>
      <c r="J139" s="19">
        <f>IF($A139="","",IFERROR(AVERAGEIF(tblGunluk[VarlikId],$A139,tblGunluk[FormulPr_oran]),0))</f>
        <v/>
      </c>
      <c r="K139" s="19">
        <f>IF($A139="","",SUMIF(tblGunluk[VarlikId],$A139,tblGunluk[KayipKwh_kwh]))</f>
        <v/>
      </c>
      <c r="L139" s="19">
        <f>IF($A139="","",MAX(0,MIN(100,gup_kaliteTaban-IF($J139&lt;gup_esikPr,gup_kaliteCeza,0)-COUNTIFS(tblGunluk[VarlikId],$A139,tblGunluk[AlarmBayrak],"ALARM")*gup_kaliteSapma-IF($H139="HAYIR",gup_kaliteCeza,0))))</f>
        <v/>
      </c>
    </row>
    <row r="140">
      <c r="A140" s="15" t="n"/>
      <c r="B140" s="15" t="n"/>
      <c r="C140" s="15" t="n"/>
      <c r="D140" s="16" t="n"/>
      <c r="E140" s="17" t="n"/>
      <c r="F140" s="15" t="n"/>
      <c r="G140" s="18" t="n"/>
      <c r="H140" s="15" t="n"/>
      <c r="I140" s="19">
        <f>IF($A140="","",SUMIF(tblGunluk[VarlikId],$A140,tblGunluk[UretimKwh_kwh]))</f>
        <v/>
      </c>
      <c r="J140" s="19">
        <f>IF($A140="","",IFERROR(AVERAGEIF(tblGunluk[VarlikId],$A140,tblGunluk[FormulPr_oran]),0))</f>
        <v/>
      </c>
      <c r="K140" s="19">
        <f>IF($A140="","",SUMIF(tblGunluk[VarlikId],$A140,tblGunluk[KayipKwh_kwh]))</f>
        <v/>
      </c>
      <c r="L140" s="19">
        <f>IF($A140="","",MAX(0,MIN(100,gup_kaliteTaban-IF($J140&lt;gup_esikPr,gup_kaliteCeza,0)-COUNTIFS(tblGunluk[VarlikId],$A140,tblGunluk[AlarmBayrak],"ALARM")*gup_kaliteSapma-IF($H140="HAYIR",gup_kaliteCeza,0))))</f>
        <v/>
      </c>
    </row>
    <row r="141">
      <c r="A141" s="15" t="n"/>
      <c r="B141" s="15" t="n"/>
      <c r="C141" s="15" t="n"/>
      <c r="D141" s="16" t="n"/>
      <c r="E141" s="17" t="n"/>
      <c r="F141" s="15" t="n"/>
      <c r="G141" s="18" t="n"/>
      <c r="H141" s="15" t="n"/>
      <c r="I141" s="19">
        <f>IF($A141="","",SUMIF(tblGunluk[VarlikId],$A141,tblGunluk[UretimKwh_kwh]))</f>
        <v/>
      </c>
      <c r="J141" s="19">
        <f>IF($A141="","",IFERROR(AVERAGEIF(tblGunluk[VarlikId],$A141,tblGunluk[FormulPr_oran]),0))</f>
        <v/>
      </c>
      <c r="K141" s="19">
        <f>IF($A141="","",SUMIF(tblGunluk[VarlikId],$A141,tblGunluk[KayipKwh_kwh]))</f>
        <v/>
      </c>
      <c r="L141" s="19">
        <f>IF($A141="","",MAX(0,MIN(100,gup_kaliteTaban-IF($J141&lt;gup_esikPr,gup_kaliteCeza,0)-COUNTIFS(tblGunluk[VarlikId],$A141,tblGunluk[AlarmBayrak],"ALARM")*gup_kaliteSapma-IF($H141="HAYIR",gup_kaliteCeza,0))))</f>
        <v/>
      </c>
    </row>
    <row r="142">
      <c r="A142" s="15" t="n"/>
      <c r="B142" s="15" t="n"/>
      <c r="C142" s="15" t="n"/>
      <c r="D142" s="16" t="n"/>
      <c r="E142" s="17" t="n"/>
      <c r="F142" s="15" t="n"/>
      <c r="G142" s="18" t="n"/>
      <c r="H142" s="15" t="n"/>
      <c r="I142" s="19">
        <f>IF($A142="","",SUMIF(tblGunluk[VarlikId],$A142,tblGunluk[UretimKwh_kwh]))</f>
        <v/>
      </c>
      <c r="J142" s="19">
        <f>IF($A142="","",IFERROR(AVERAGEIF(tblGunluk[VarlikId],$A142,tblGunluk[FormulPr_oran]),0))</f>
        <v/>
      </c>
      <c r="K142" s="19">
        <f>IF($A142="","",SUMIF(tblGunluk[VarlikId],$A142,tblGunluk[KayipKwh_kwh]))</f>
        <v/>
      </c>
      <c r="L142" s="19">
        <f>IF($A142="","",MAX(0,MIN(100,gup_kaliteTaban-IF($J142&lt;gup_esikPr,gup_kaliteCeza,0)-COUNTIFS(tblGunluk[VarlikId],$A142,tblGunluk[AlarmBayrak],"ALARM")*gup_kaliteSapma-IF($H142="HAYIR",gup_kaliteCeza,0))))</f>
        <v/>
      </c>
    </row>
    <row r="143">
      <c r="A143" s="15" t="n"/>
      <c r="B143" s="15" t="n"/>
      <c r="C143" s="15" t="n"/>
      <c r="D143" s="16" t="n"/>
      <c r="E143" s="17" t="n"/>
      <c r="F143" s="15" t="n"/>
      <c r="G143" s="18" t="n"/>
      <c r="H143" s="15" t="n"/>
      <c r="I143" s="19">
        <f>IF($A143="","",SUMIF(tblGunluk[VarlikId],$A143,tblGunluk[UretimKwh_kwh]))</f>
        <v/>
      </c>
      <c r="J143" s="19">
        <f>IF($A143="","",IFERROR(AVERAGEIF(tblGunluk[VarlikId],$A143,tblGunluk[FormulPr_oran]),0))</f>
        <v/>
      </c>
      <c r="K143" s="19">
        <f>IF($A143="","",SUMIF(tblGunluk[VarlikId],$A143,tblGunluk[KayipKwh_kwh]))</f>
        <v/>
      </c>
      <c r="L143" s="19">
        <f>IF($A143="","",MAX(0,MIN(100,gup_kaliteTaban-IF($J143&lt;gup_esikPr,gup_kaliteCeza,0)-COUNTIFS(tblGunluk[VarlikId],$A143,tblGunluk[AlarmBayrak],"ALARM")*gup_kaliteSapma-IF($H143="HAYIR",gup_kaliteCeza,0))))</f>
        <v/>
      </c>
    </row>
    <row r="144">
      <c r="A144" s="15" t="n"/>
      <c r="B144" s="15" t="n"/>
      <c r="C144" s="15" t="n"/>
      <c r="D144" s="16" t="n"/>
      <c r="E144" s="17" t="n"/>
      <c r="F144" s="15" t="n"/>
      <c r="G144" s="18" t="n"/>
      <c r="H144" s="15" t="n"/>
      <c r="I144" s="19">
        <f>IF($A144="","",SUMIF(tblGunluk[VarlikId],$A144,tblGunluk[UretimKwh_kwh]))</f>
        <v/>
      </c>
      <c r="J144" s="19">
        <f>IF($A144="","",IFERROR(AVERAGEIF(tblGunluk[VarlikId],$A144,tblGunluk[FormulPr_oran]),0))</f>
        <v/>
      </c>
      <c r="K144" s="19">
        <f>IF($A144="","",SUMIF(tblGunluk[VarlikId],$A144,tblGunluk[KayipKwh_kwh]))</f>
        <v/>
      </c>
      <c r="L144" s="19">
        <f>IF($A144="","",MAX(0,MIN(100,gup_kaliteTaban-IF($J144&lt;gup_esikPr,gup_kaliteCeza,0)-COUNTIFS(tblGunluk[VarlikId],$A144,tblGunluk[AlarmBayrak],"ALARM")*gup_kaliteSapma-IF($H144="HAYIR",gup_kaliteCeza,0))))</f>
        <v/>
      </c>
    </row>
    <row r="145">
      <c r="A145" s="15" t="n"/>
      <c r="B145" s="15" t="n"/>
      <c r="C145" s="15" t="n"/>
      <c r="D145" s="16" t="n"/>
      <c r="E145" s="17" t="n"/>
      <c r="F145" s="15" t="n"/>
      <c r="G145" s="18" t="n"/>
      <c r="H145" s="15" t="n"/>
      <c r="I145" s="19">
        <f>IF($A145="","",SUMIF(tblGunluk[VarlikId],$A145,tblGunluk[UretimKwh_kwh]))</f>
        <v/>
      </c>
      <c r="J145" s="19">
        <f>IF($A145="","",IFERROR(AVERAGEIF(tblGunluk[VarlikId],$A145,tblGunluk[FormulPr_oran]),0))</f>
        <v/>
      </c>
      <c r="K145" s="19">
        <f>IF($A145="","",SUMIF(tblGunluk[VarlikId],$A145,tblGunluk[KayipKwh_kwh]))</f>
        <v/>
      </c>
      <c r="L145" s="19">
        <f>IF($A145="","",MAX(0,MIN(100,gup_kaliteTaban-IF($J145&lt;gup_esikPr,gup_kaliteCeza,0)-COUNTIFS(tblGunluk[VarlikId],$A145,tblGunluk[AlarmBayrak],"ALARM")*gup_kaliteSapma-IF($H145="HAYIR",gup_kaliteCeza,0))))</f>
        <v/>
      </c>
    </row>
    <row r="146">
      <c r="A146" s="15" t="n"/>
      <c r="B146" s="15" t="n"/>
      <c r="C146" s="15" t="n"/>
      <c r="D146" s="16" t="n"/>
      <c r="E146" s="17" t="n"/>
      <c r="F146" s="15" t="n"/>
      <c r="G146" s="18" t="n"/>
      <c r="H146" s="15" t="n"/>
      <c r="I146" s="19">
        <f>IF($A146="","",SUMIF(tblGunluk[VarlikId],$A146,tblGunluk[UretimKwh_kwh]))</f>
        <v/>
      </c>
      <c r="J146" s="19">
        <f>IF($A146="","",IFERROR(AVERAGEIF(tblGunluk[VarlikId],$A146,tblGunluk[FormulPr_oran]),0))</f>
        <v/>
      </c>
      <c r="K146" s="19">
        <f>IF($A146="","",SUMIF(tblGunluk[VarlikId],$A146,tblGunluk[KayipKwh_kwh]))</f>
        <v/>
      </c>
      <c r="L146" s="19">
        <f>IF($A146="","",MAX(0,MIN(100,gup_kaliteTaban-IF($J146&lt;gup_esikPr,gup_kaliteCeza,0)-COUNTIFS(tblGunluk[VarlikId],$A146,tblGunluk[AlarmBayrak],"ALARM")*gup_kaliteSapma-IF($H146="HAYIR",gup_kaliteCeza,0))))</f>
        <v/>
      </c>
    </row>
    <row r="147">
      <c r="A147" s="15" t="n"/>
      <c r="B147" s="15" t="n"/>
      <c r="C147" s="15" t="n"/>
      <c r="D147" s="16" t="n"/>
      <c r="E147" s="17" t="n"/>
      <c r="F147" s="15" t="n"/>
      <c r="G147" s="18" t="n"/>
      <c r="H147" s="15" t="n"/>
      <c r="I147" s="19">
        <f>IF($A147="","",SUMIF(tblGunluk[VarlikId],$A147,tblGunluk[UretimKwh_kwh]))</f>
        <v/>
      </c>
      <c r="J147" s="19">
        <f>IF($A147="","",IFERROR(AVERAGEIF(tblGunluk[VarlikId],$A147,tblGunluk[FormulPr_oran]),0))</f>
        <v/>
      </c>
      <c r="K147" s="19">
        <f>IF($A147="","",SUMIF(tblGunluk[VarlikId],$A147,tblGunluk[KayipKwh_kwh]))</f>
        <v/>
      </c>
      <c r="L147" s="19">
        <f>IF($A147="","",MAX(0,MIN(100,gup_kaliteTaban-IF($J147&lt;gup_esikPr,gup_kaliteCeza,0)-COUNTIFS(tblGunluk[VarlikId],$A147,tblGunluk[AlarmBayrak],"ALARM")*gup_kaliteSapma-IF($H147="HAYIR",gup_kaliteCeza,0))))</f>
        <v/>
      </c>
    </row>
    <row r="148">
      <c r="A148" s="15" t="n"/>
      <c r="B148" s="15" t="n"/>
      <c r="C148" s="15" t="n"/>
      <c r="D148" s="16" t="n"/>
      <c r="E148" s="17" t="n"/>
      <c r="F148" s="15" t="n"/>
      <c r="G148" s="18" t="n"/>
      <c r="H148" s="15" t="n"/>
      <c r="I148" s="19">
        <f>IF($A148="","",SUMIF(tblGunluk[VarlikId],$A148,tblGunluk[UretimKwh_kwh]))</f>
        <v/>
      </c>
      <c r="J148" s="19">
        <f>IF($A148="","",IFERROR(AVERAGEIF(tblGunluk[VarlikId],$A148,tblGunluk[FormulPr_oran]),0))</f>
        <v/>
      </c>
      <c r="K148" s="19">
        <f>IF($A148="","",SUMIF(tblGunluk[VarlikId],$A148,tblGunluk[KayipKwh_kwh]))</f>
        <v/>
      </c>
      <c r="L148" s="19">
        <f>IF($A148="","",MAX(0,MIN(100,gup_kaliteTaban-IF($J148&lt;gup_esikPr,gup_kaliteCeza,0)-COUNTIFS(tblGunluk[VarlikId],$A148,tblGunluk[AlarmBayrak],"ALARM")*gup_kaliteSapma-IF($H148="HAYIR",gup_kaliteCeza,0))))</f>
        <v/>
      </c>
    </row>
    <row r="149">
      <c r="A149" s="15" t="n"/>
      <c r="B149" s="15" t="n"/>
      <c r="C149" s="15" t="n"/>
      <c r="D149" s="16" t="n"/>
      <c r="E149" s="17" t="n"/>
      <c r="F149" s="15" t="n"/>
      <c r="G149" s="18" t="n"/>
      <c r="H149" s="15" t="n"/>
      <c r="I149" s="19">
        <f>IF($A149="","",SUMIF(tblGunluk[VarlikId],$A149,tblGunluk[UretimKwh_kwh]))</f>
        <v/>
      </c>
      <c r="J149" s="19">
        <f>IF($A149="","",IFERROR(AVERAGEIF(tblGunluk[VarlikId],$A149,tblGunluk[FormulPr_oran]),0))</f>
        <v/>
      </c>
      <c r="K149" s="19">
        <f>IF($A149="","",SUMIF(tblGunluk[VarlikId],$A149,tblGunluk[KayipKwh_kwh]))</f>
        <v/>
      </c>
      <c r="L149" s="19">
        <f>IF($A149="","",MAX(0,MIN(100,gup_kaliteTaban-IF($J149&lt;gup_esikPr,gup_kaliteCeza,0)-COUNTIFS(tblGunluk[VarlikId],$A149,tblGunluk[AlarmBayrak],"ALARM")*gup_kaliteSapma-IF($H149="HAYIR",gup_kaliteCeza,0))))</f>
        <v/>
      </c>
    </row>
    <row r="150">
      <c r="A150" s="15" t="n"/>
      <c r="B150" s="15" t="n"/>
      <c r="C150" s="15" t="n"/>
      <c r="D150" s="16" t="n"/>
      <c r="E150" s="17" t="n"/>
      <c r="F150" s="15" t="n"/>
      <c r="G150" s="18" t="n"/>
      <c r="H150" s="15" t="n"/>
      <c r="I150" s="19">
        <f>IF($A150="","",SUMIF(tblGunluk[VarlikId],$A150,tblGunluk[UretimKwh_kwh]))</f>
        <v/>
      </c>
      <c r="J150" s="19">
        <f>IF($A150="","",IFERROR(AVERAGEIF(tblGunluk[VarlikId],$A150,tblGunluk[FormulPr_oran]),0))</f>
        <v/>
      </c>
      <c r="K150" s="19">
        <f>IF($A150="","",SUMIF(tblGunluk[VarlikId],$A150,tblGunluk[KayipKwh_kwh]))</f>
        <v/>
      </c>
      <c r="L150" s="19">
        <f>IF($A150="","",MAX(0,MIN(100,gup_kaliteTaban-IF($J150&lt;gup_esikPr,gup_kaliteCeza,0)-COUNTIFS(tblGunluk[VarlikId],$A150,tblGunluk[AlarmBayrak],"ALARM")*gup_kaliteSapma-IF($H150="HAYIR",gup_kaliteCeza,0))))</f>
        <v/>
      </c>
    </row>
    <row r="151">
      <c r="A151" s="15" t="n"/>
      <c r="B151" s="15" t="n"/>
      <c r="C151" s="15" t="n"/>
      <c r="D151" s="16" t="n"/>
      <c r="E151" s="17" t="n"/>
      <c r="F151" s="15" t="n"/>
      <c r="G151" s="18" t="n"/>
      <c r="H151" s="15" t="n"/>
      <c r="I151" s="19">
        <f>IF($A151="","",SUMIF(tblGunluk[VarlikId],$A151,tblGunluk[UretimKwh_kwh]))</f>
        <v/>
      </c>
      <c r="J151" s="19">
        <f>IF($A151="","",IFERROR(AVERAGEIF(tblGunluk[VarlikId],$A151,tblGunluk[FormulPr_oran]),0))</f>
        <v/>
      </c>
      <c r="K151" s="19">
        <f>IF($A151="","",SUMIF(tblGunluk[VarlikId],$A151,tblGunluk[KayipKwh_kwh]))</f>
        <v/>
      </c>
      <c r="L151" s="19">
        <f>IF($A151="","",MAX(0,MIN(100,gup_kaliteTaban-IF($J151&lt;gup_esikPr,gup_kaliteCeza,0)-COUNTIFS(tblGunluk[VarlikId],$A151,tblGunluk[AlarmBayrak],"ALARM")*gup_kaliteSapma-IF($H151="HAYIR",gup_kaliteCeza,0))))</f>
        <v/>
      </c>
    </row>
    <row r="152">
      <c r="A152" s="15" t="n"/>
      <c r="B152" s="15" t="n"/>
      <c r="C152" s="15" t="n"/>
      <c r="D152" s="16" t="n"/>
      <c r="E152" s="17" t="n"/>
      <c r="F152" s="15" t="n"/>
      <c r="G152" s="18" t="n"/>
      <c r="H152" s="15" t="n"/>
      <c r="I152" s="19">
        <f>IF($A152="","",SUMIF(tblGunluk[VarlikId],$A152,tblGunluk[UretimKwh_kwh]))</f>
        <v/>
      </c>
      <c r="J152" s="19">
        <f>IF($A152="","",IFERROR(AVERAGEIF(tblGunluk[VarlikId],$A152,tblGunluk[FormulPr_oran]),0))</f>
        <v/>
      </c>
      <c r="K152" s="19">
        <f>IF($A152="","",SUMIF(tblGunluk[VarlikId],$A152,tblGunluk[KayipKwh_kwh]))</f>
        <v/>
      </c>
      <c r="L152" s="19">
        <f>IF($A152="","",MAX(0,MIN(100,gup_kaliteTaban-IF($J152&lt;gup_esikPr,gup_kaliteCeza,0)-COUNTIFS(tblGunluk[VarlikId],$A152,tblGunluk[AlarmBayrak],"ALARM")*gup_kaliteSapma-IF($H152="HAYIR",gup_kaliteCeza,0))))</f>
        <v/>
      </c>
    </row>
    <row r="153">
      <c r="A153" s="15" t="n"/>
      <c r="B153" s="15" t="n"/>
      <c r="C153" s="15" t="n"/>
      <c r="D153" s="16" t="n"/>
      <c r="E153" s="17" t="n"/>
      <c r="F153" s="15" t="n"/>
      <c r="G153" s="18" t="n"/>
      <c r="H153" s="15" t="n"/>
      <c r="I153" s="19">
        <f>IF($A153="","",SUMIF(tblGunluk[VarlikId],$A153,tblGunluk[UretimKwh_kwh]))</f>
        <v/>
      </c>
      <c r="J153" s="19">
        <f>IF($A153="","",IFERROR(AVERAGEIF(tblGunluk[VarlikId],$A153,tblGunluk[FormulPr_oran]),0))</f>
        <v/>
      </c>
      <c r="K153" s="19">
        <f>IF($A153="","",SUMIF(tblGunluk[VarlikId],$A153,tblGunluk[KayipKwh_kwh]))</f>
        <v/>
      </c>
      <c r="L153" s="19">
        <f>IF($A153="","",MAX(0,MIN(100,gup_kaliteTaban-IF($J153&lt;gup_esikPr,gup_kaliteCeza,0)-COUNTIFS(tblGunluk[VarlikId],$A153,tblGunluk[AlarmBayrak],"ALARM")*gup_kaliteSapma-IF($H153="HAYIR",gup_kaliteCeza,0))))</f>
        <v/>
      </c>
    </row>
    <row r="154">
      <c r="A154" s="15" t="n"/>
      <c r="B154" s="15" t="n"/>
      <c r="C154" s="15" t="n"/>
      <c r="D154" s="16" t="n"/>
      <c r="E154" s="17" t="n"/>
      <c r="F154" s="15" t="n"/>
      <c r="G154" s="18" t="n"/>
      <c r="H154" s="15" t="n"/>
      <c r="I154" s="19">
        <f>IF($A154="","",SUMIF(tblGunluk[VarlikId],$A154,tblGunluk[UretimKwh_kwh]))</f>
        <v/>
      </c>
      <c r="J154" s="19">
        <f>IF($A154="","",IFERROR(AVERAGEIF(tblGunluk[VarlikId],$A154,tblGunluk[FormulPr_oran]),0))</f>
        <v/>
      </c>
      <c r="K154" s="19">
        <f>IF($A154="","",SUMIF(tblGunluk[VarlikId],$A154,tblGunluk[KayipKwh_kwh]))</f>
        <v/>
      </c>
      <c r="L154" s="19">
        <f>IF($A154="","",MAX(0,MIN(100,gup_kaliteTaban-IF($J154&lt;gup_esikPr,gup_kaliteCeza,0)-COUNTIFS(tblGunluk[VarlikId],$A154,tblGunluk[AlarmBayrak],"ALARM")*gup_kaliteSapma-IF($H154="HAYIR",gup_kaliteCeza,0))))</f>
        <v/>
      </c>
    </row>
    <row r="155">
      <c r="A155" s="15" t="n"/>
      <c r="B155" s="15" t="n"/>
      <c r="C155" s="15" t="n"/>
      <c r="D155" s="16" t="n"/>
      <c r="E155" s="17" t="n"/>
      <c r="F155" s="15" t="n"/>
      <c r="G155" s="18" t="n"/>
      <c r="H155" s="15" t="n"/>
      <c r="I155" s="19">
        <f>IF($A155="","",SUMIF(tblGunluk[VarlikId],$A155,tblGunluk[UretimKwh_kwh]))</f>
        <v/>
      </c>
      <c r="J155" s="19">
        <f>IF($A155="","",IFERROR(AVERAGEIF(tblGunluk[VarlikId],$A155,tblGunluk[FormulPr_oran]),0))</f>
        <v/>
      </c>
      <c r="K155" s="19">
        <f>IF($A155="","",SUMIF(tblGunluk[VarlikId],$A155,tblGunluk[KayipKwh_kwh]))</f>
        <v/>
      </c>
      <c r="L155" s="19">
        <f>IF($A155="","",MAX(0,MIN(100,gup_kaliteTaban-IF($J155&lt;gup_esikPr,gup_kaliteCeza,0)-COUNTIFS(tblGunluk[VarlikId],$A155,tblGunluk[AlarmBayrak],"ALARM")*gup_kaliteSapma-IF($H155="HAYIR",gup_kaliteCeza,0))))</f>
        <v/>
      </c>
    </row>
    <row r="156">
      <c r="A156" s="15" t="n"/>
      <c r="B156" s="15" t="n"/>
      <c r="C156" s="15" t="n"/>
      <c r="D156" s="16" t="n"/>
      <c r="E156" s="17" t="n"/>
      <c r="F156" s="15" t="n"/>
      <c r="G156" s="18" t="n"/>
      <c r="H156" s="15" t="n"/>
      <c r="I156" s="19">
        <f>IF($A156="","",SUMIF(tblGunluk[VarlikId],$A156,tblGunluk[UretimKwh_kwh]))</f>
        <v/>
      </c>
      <c r="J156" s="19">
        <f>IF($A156="","",IFERROR(AVERAGEIF(tblGunluk[VarlikId],$A156,tblGunluk[FormulPr_oran]),0))</f>
        <v/>
      </c>
      <c r="K156" s="19">
        <f>IF($A156="","",SUMIF(tblGunluk[VarlikId],$A156,tblGunluk[KayipKwh_kwh]))</f>
        <v/>
      </c>
      <c r="L156" s="19">
        <f>IF($A156="","",MAX(0,MIN(100,gup_kaliteTaban-IF($J156&lt;gup_esikPr,gup_kaliteCeza,0)-COUNTIFS(tblGunluk[VarlikId],$A156,tblGunluk[AlarmBayrak],"ALARM")*gup_kaliteSapma-IF($H156="HAYIR",gup_kaliteCeza,0))))</f>
        <v/>
      </c>
    </row>
    <row r="157">
      <c r="A157" s="15" t="n"/>
      <c r="B157" s="15" t="n"/>
      <c r="C157" s="15" t="n"/>
      <c r="D157" s="16" t="n"/>
      <c r="E157" s="17" t="n"/>
      <c r="F157" s="15" t="n"/>
      <c r="G157" s="18" t="n"/>
      <c r="H157" s="15" t="n"/>
      <c r="I157" s="19">
        <f>IF($A157="","",SUMIF(tblGunluk[VarlikId],$A157,tblGunluk[UretimKwh_kwh]))</f>
        <v/>
      </c>
      <c r="J157" s="19">
        <f>IF($A157="","",IFERROR(AVERAGEIF(tblGunluk[VarlikId],$A157,tblGunluk[FormulPr_oran]),0))</f>
        <v/>
      </c>
      <c r="K157" s="19">
        <f>IF($A157="","",SUMIF(tblGunluk[VarlikId],$A157,tblGunluk[KayipKwh_kwh]))</f>
        <v/>
      </c>
      <c r="L157" s="19">
        <f>IF($A157="","",MAX(0,MIN(100,gup_kaliteTaban-IF($J157&lt;gup_esikPr,gup_kaliteCeza,0)-COUNTIFS(tblGunluk[VarlikId],$A157,tblGunluk[AlarmBayrak],"ALARM")*gup_kaliteSapma-IF($H157="HAYIR",gup_kaliteCeza,0))))</f>
        <v/>
      </c>
    </row>
    <row r="158">
      <c r="A158" s="15" t="n"/>
      <c r="B158" s="15" t="n"/>
      <c r="C158" s="15" t="n"/>
      <c r="D158" s="16" t="n"/>
      <c r="E158" s="17" t="n"/>
      <c r="F158" s="15" t="n"/>
      <c r="G158" s="18" t="n"/>
      <c r="H158" s="15" t="n"/>
      <c r="I158" s="19">
        <f>IF($A158="","",SUMIF(tblGunluk[VarlikId],$A158,tblGunluk[UretimKwh_kwh]))</f>
        <v/>
      </c>
      <c r="J158" s="19">
        <f>IF($A158="","",IFERROR(AVERAGEIF(tblGunluk[VarlikId],$A158,tblGunluk[FormulPr_oran]),0))</f>
        <v/>
      </c>
      <c r="K158" s="19">
        <f>IF($A158="","",SUMIF(tblGunluk[VarlikId],$A158,tblGunluk[KayipKwh_kwh]))</f>
        <v/>
      </c>
      <c r="L158" s="19">
        <f>IF($A158="","",MAX(0,MIN(100,gup_kaliteTaban-IF($J158&lt;gup_esikPr,gup_kaliteCeza,0)-COUNTIFS(tblGunluk[VarlikId],$A158,tblGunluk[AlarmBayrak],"ALARM")*gup_kaliteSapma-IF($H158="HAYIR",gup_kaliteCeza,0))))</f>
        <v/>
      </c>
    </row>
    <row r="159">
      <c r="A159" s="15" t="n"/>
      <c r="B159" s="15" t="n"/>
      <c r="C159" s="15" t="n"/>
      <c r="D159" s="16" t="n"/>
      <c r="E159" s="17" t="n"/>
      <c r="F159" s="15" t="n"/>
      <c r="G159" s="18" t="n"/>
      <c r="H159" s="15" t="n"/>
      <c r="I159" s="19">
        <f>IF($A159="","",SUMIF(tblGunluk[VarlikId],$A159,tblGunluk[UretimKwh_kwh]))</f>
        <v/>
      </c>
      <c r="J159" s="19">
        <f>IF($A159="","",IFERROR(AVERAGEIF(tblGunluk[VarlikId],$A159,tblGunluk[FormulPr_oran]),0))</f>
        <v/>
      </c>
      <c r="K159" s="19">
        <f>IF($A159="","",SUMIF(tblGunluk[VarlikId],$A159,tblGunluk[KayipKwh_kwh]))</f>
        <v/>
      </c>
      <c r="L159" s="19">
        <f>IF($A159="","",MAX(0,MIN(100,gup_kaliteTaban-IF($J159&lt;gup_esikPr,gup_kaliteCeza,0)-COUNTIFS(tblGunluk[VarlikId],$A159,tblGunluk[AlarmBayrak],"ALARM")*gup_kaliteSapma-IF($H159="HAYIR",gup_kaliteCeza,0))))</f>
        <v/>
      </c>
    </row>
    <row r="160">
      <c r="A160" s="15" t="n"/>
      <c r="B160" s="15" t="n"/>
      <c r="C160" s="15" t="n"/>
      <c r="D160" s="16" t="n"/>
      <c r="E160" s="17" t="n"/>
      <c r="F160" s="15" t="n"/>
      <c r="G160" s="18" t="n"/>
      <c r="H160" s="15" t="n"/>
      <c r="I160" s="19">
        <f>IF($A160="","",SUMIF(tblGunluk[VarlikId],$A160,tblGunluk[UretimKwh_kwh]))</f>
        <v/>
      </c>
      <c r="J160" s="19">
        <f>IF($A160="","",IFERROR(AVERAGEIF(tblGunluk[VarlikId],$A160,tblGunluk[FormulPr_oran]),0))</f>
        <v/>
      </c>
      <c r="K160" s="19">
        <f>IF($A160="","",SUMIF(tblGunluk[VarlikId],$A160,tblGunluk[KayipKwh_kwh]))</f>
        <v/>
      </c>
      <c r="L160" s="19">
        <f>IF($A160="","",MAX(0,MIN(100,gup_kaliteTaban-IF($J160&lt;gup_esikPr,gup_kaliteCeza,0)-COUNTIFS(tblGunluk[VarlikId],$A160,tblGunluk[AlarmBayrak],"ALARM")*gup_kaliteSapma-IF($H160="HAYIR",gup_kaliteCeza,0))))</f>
        <v/>
      </c>
    </row>
    <row r="161">
      <c r="A161" s="15" t="n"/>
      <c r="B161" s="15" t="n"/>
      <c r="C161" s="15" t="n"/>
      <c r="D161" s="16" t="n"/>
      <c r="E161" s="17" t="n"/>
      <c r="F161" s="15" t="n"/>
      <c r="G161" s="18" t="n"/>
      <c r="H161" s="15" t="n"/>
      <c r="I161" s="19">
        <f>IF($A161="","",SUMIF(tblGunluk[VarlikId],$A161,tblGunluk[UretimKwh_kwh]))</f>
        <v/>
      </c>
      <c r="J161" s="19">
        <f>IF($A161="","",IFERROR(AVERAGEIF(tblGunluk[VarlikId],$A161,tblGunluk[FormulPr_oran]),0))</f>
        <v/>
      </c>
      <c r="K161" s="19">
        <f>IF($A161="","",SUMIF(tblGunluk[VarlikId],$A161,tblGunluk[KayipKwh_kwh]))</f>
        <v/>
      </c>
      <c r="L161" s="19">
        <f>IF($A161="","",MAX(0,MIN(100,gup_kaliteTaban-IF($J161&lt;gup_esikPr,gup_kaliteCeza,0)-COUNTIFS(tblGunluk[VarlikId],$A161,tblGunluk[AlarmBayrak],"ALARM")*gup_kaliteSapma-IF($H161="HAYIR",gup_kaliteCeza,0))))</f>
        <v/>
      </c>
    </row>
    <row r="162">
      <c r="A162" s="15" t="n"/>
      <c r="B162" s="15" t="n"/>
      <c r="C162" s="15" t="n"/>
      <c r="D162" s="16" t="n"/>
      <c r="E162" s="17" t="n"/>
      <c r="F162" s="15" t="n"/>
      <c r="G162" s="18" t="n"/>
      <c r="H162" s="15" t="n"/>
      <c r="I162" s="19">
        <f>IF($A162="","",SUMIF(tblGunluk[VarlikId],$A162,tblGunluk[UretimKwh_kwh]))</f>
        <v/>
      </c>
      <c r="J162" s="19">
        <f>IF($A162="","",IFERROR(AVERAGEIF(tblGunluk[VarlikId],$A162,tblGunluk[FormulPr_oran]),0))</f>
        <v/>
      </c>
      <c r="K162" s="19">
        <f>IF($A162="","",SUMIF(tblGunluk[VarlikId],$A162,tblGunluk[KayipKwh_kwh]))</f>
        <v/>
      </c>
      <c r="L162" s="19">
        <f>IF($A162="","",MAX(0,MIN(100,gup_kaliteTaban-IF($J162&lt;gup_esikPr,gup_kaliteCeza,0)-COUNTIFS(tblGunluk[VarlikId],$A162,tblGunluk[AlarmBayrak],"ALARM")*gup_kaliteSapma-IF($H162="HAYIR",gup_kaliteCeza,0))))</f>
        <v/>
      </c>
    </row>
    <row r="163">
      <c r="A163" s="15" t="n"/>
      <c r="B163" s="15" t="n"/>
      <c r="C163" s="15" t="n"/>
      <c r="D163" s="16" t="n"/>
      <c r="E163" s="17" t="n"/>
      <c r="F163" s="15" t="n"/>
      <c r="G163" s="18" t="n"/>
      <c r="H163" s="15" t="n"/>
      <c r="I163" s="19">
        <f>IF($A163="","",SUMIF(tblGunluk[VarlikId],$A163,tblGunluk[UretimKwh_kwh]))</f>
        <v/>
      </c>
      <c r="J163" s="19">
        <f>IF($A163="","",IFERROR(AVERAGEIF(tblGunluk[VarlikId],$A163,tblGunluk[FormulPr_oran]),0))</f>
        <v/>
      </c>
      <c r="K163" s="19">
        <f>IF($A163="","",SUMIF(tblGunluk[VarlikId],$A163,tblGunluk[KayipKwh_kwh]))</f>
        <v/>
      </c>
      <c r="L163" s="19">
        <f>IF($A163="","",MAX(0,MIN(100,gup_kaliteTaban-IF($J163&lt;gup_esikPr,gup_kaliteCeza,0)-COUNTIFS(tblGunluk[VarlikId],$A163,tblGunluk[AlarmBayrak],"ALARM")*gup_kaliteSapma-IF($H163="HAYIR",gup_kaliteCeza,0))))</f>
        <v/>
      </c>
    </row>
    <row r="164">
      <c r="A164" s="15" t="n"/>
      <c r="B164" s="15" t="n"/>
      <c r="C164" s="15" t="n"/>
      <c r="D164" s="16" t="n"/>
      <c r="E164" s="17" t="n"/>
      <c r="F164" s="15" t="n"/>
      <c r="G164" s="18" t="n"/>
      <c r="H164" s="15" t="n"/>
      <c r="I164" s="19">
        <f>IF($A164="","",SUMIF(tblGunluk[VarlikId],$A164,tblGunluk[UretimKwh_kwh]))</f>
        <v/>
      </c>
      <c r="J164" s="19">
        <f>IF($A164="","",IFERROR(AVERAGEIF(tblGunluk[VarlikId],$A164,tblGunluk[FormulPr_oran]),0))</f>
        <v/>
      </c>
      <c r="K164" s="19">
        <f>IF($A164="","",SUMIF(tblGunluk[VarlikId],$A164,tblGunluk[KayipKwh_kwh]))</f>
        <v/>
      </c>
      <c r="L164" s="19">
        <f>IF($A164="","",MAX(0,MIN(100,gup_kaliteTaban-IF($J164&lt;gup_esikPr,gup_kaliteCeza,0)-COUNTIFS(tblGunluk[VarlikId],$A164,tblGunluk[AlarmBayrak],"ALARM")*gup_kaliteSapma-IF($H164="HAYIR",gup_kaliteCeza,0))))</f>
        <v/>
      </c>
    </row>
    <row r="165">
      <c r="A165" s="15" t="n"/>
      <c r="B165" s="15" t="n"/>
      <c r="C165" s="15" t="n"/>
      <c r="D165" s="16" t="n"/>
      <c r="E165" s="17" t="n"/>
      <c r="F165" s="15" t="n"/>
      <c r="G165" s="18" t="n"/>
      <c r="H165" s="15" t="n"/>
      <c r="I165" s="19">
        <f>IF($A165="","",SUMIF(tblGunluk[VarlikId],$A165,tblGunluk[UretimKwh_kwh]))</f>
        <v/>
      </c>
      <c r="J165" s="19">
        <f>IF($A165="","",IFERROR(AVERAGEIF(tblGunluk[VarlikId],$A165,tblGunluk[FormulPr_oran]),0))</f>
        <v/>
      </c>
      <c r="K165" s="19">
        <f>IF($A165="","",SUMIF(tblGunluk[VarlikId],$A165,tblGunluk[KayipKwh_kwh]))</f>
        <v/>
      </c>
      <c r="L165" s="19">
        <f>IF($A165="","",MAX(0,MIN(100,gup_kaliteTaban-IF($J165&lt;gup_esikPr,gup_kaliteCeza,0)-COUNTIFS(tblGunluk[VarlikId],$A165,tblGunluk[AlarmBayrak],"ALARM")*gup_kaliteSapma-IF($H165="HAYIR",gup_kaliteCeza,0))))</f>
        <v/>
      </c>
    </row>
    <row r="166">
      <c r="A166" s="15" t="n"/>
      <c r="B166" s="15" t="n"/>
      <c r="C166" s="15" t="n"/>
      <c r="D166" s="16" t="n"/>
      <c r="E166" s="17" t="n"/>
      <c r="F166" s="15" t="n"/>
      <c r="G166" s="18" t="n"/>
      <c r="H166" s="15" t="n"/>
      <c r="I166" s="19">
        <f>IF($A166="","",SUMIF(tblGunluk[VarlikId],$A166,tblGunluk[UretimKwh_kwh]))</f>
        <v/>
      </c>
      <c r="J166" s="19">
        <f>IF($A166="","",IFERROR(AVERAGEIF(tblGunluk[VarlikId],$A166,tblGunluk[FormulPr_oran]),0))</f>
        <v/>
      </c>
      <c r="K166" s="19">
        <f>IF($A166="","",SUMIF(tblGunluk[VarlikId],$A166,tblGunluk[KayipKwh_kwh]))</f>
        <v/>
      </c>
      <c r="L166" s="19">
        <f>IF($A166="","",MAX(0,MIN(100,gup_kaliteTaban-IF($J166&lt;gup_esikPr,gup_kaliteCeza,0)-COUNTIFS(tblGunluk[VarlikId],$A166,tblGunluk[AlarmBayrak],"ALARM")*gup_kaliteSapma-IF($H166="HAYIR",gup_kaliteCeza,0))))</f>
        <v/>
      </c>
    </row>
    <row r="167">
      <c r="A167" s="15" t="n"/>
      <c r="B167" s="15" t="n"/>
      <c r="C167" s="15" t="n"/>
      <c r="D167" s="16" t="n"/>
      <c r="E167" s="17" t="n"/>
      <c r="F167" s="15" t="n"/>
      <c r="G167" s="18" t="n"/>
      <c r="H167" s="15" t="n"/>
      <c r="I167" s="19">
        <f>IF($A167="","",SUMIF(tblGunluk[VarlikId],$A167,tblGunluk[UretimKwh_kwh]))</f>
        <v/>
      </c>
      <c r="J167" s="19">
        <f>IF($A167="","",IFERROR(AVERAGEIF(tblGunluk[VarlikId],$A167,tblGunluk[FormulPr_oran]),0))</f>
        <v/>
      </c>
      <c r="K167" s="19">
        <f>IF($A167="","",SUMIF(tblGunluk[VarlikId],$A167,tblGunluk[KayipKwh_kwh]))</f>
        <v/>
      </c>
      <c r="L167" s="19">
        <f>IF($A167="","",MAX(0,MIN(100,gup_kaliteTaban-IF($J167&lt;gup_esikPr,gup_kaliteCeza,0)-COUNTIFS(tblGunluk[VarlikId],$A167,tblGunluk[AlarmBayrak],"ALARM")*gup_kaliteSapma-IF($H167="HAYIR",gup_kaliteCeza,0))))</f>
        <v/>
      </c>
    </row>
    <row r="168">
      <c r="A168" s="15" t="n"/>
      <c r="B168" s="15" t="n"/>
      <c r="C168" s="15" t="n"/>
      <c r="D168" s="16" t="n"/>
      <c r="E168" s="17" t="n"/>
      <c r="F168" s="15" t="n"/>
      <c r="G168" s="18" t="n"/>
      <c r="H168" s="15" t="n"/>
      <c r="I168" s="19">
        <f>IF($A168="","",SUMIF(tblGunluk[VarlikId],$A168,tblGunluk[UretimKwh_kwh]))</f>
        <v/>
      </c>
      <c r="J168" s="19">
        <f>IF($A168="","",IFERROR(AVERAGEIF(tblGunluk[VarlikId],$A168,tblGunluk[FormulPr_oran]),0))</f>
        <v/>
      </c>
      <c r="K168" s="19">
        <f>IF($A168="","",SUMIF(tblGunluk[VarlikId],$A168,tblGunluk[KayipKwh_kwh]))</f>
        <v/>
      </c>
      <c r="L168" s="19">
        <f>IF($A168="","",MAX(0,MIN(100,gup_kaliteTaban-IF($J168&lt;gup_esikPr,gup_kaliteCeza,0)-COUNTIFS(tblGunluk[VarlikId],$A168,tblGunluk[AlarmBayrak],"ALARM")*gup_kaliteSapma-IF($H168="HAYIR",gup_kaliteCeza,0))))</f>
        <v/>
      </c>
    </row>
    <row r="169">
      <c r="A169" s="15" t="n"/>
      <c r="B169" s="15" t="n"/>
      <c r="C169" s="15" t="n"/>
      <c r="D169" s="16" t="n"/>
      <c r="E169" s="17" t="n"/>
      <c r="F169" s="15" t="n"/>
      <c r="G169" s="18" t="n"/>
      <c r="H169" s="15" t="n"/>
      <c r="I169" s="19">
        <f>IF($A169="","",SUMIF(tblGunluk[VarlikId],$A169,tblGunluk[UretimKwh_kwh]))</f>
        <v/>
      </c>
      <c r="J169" s="19">
        <f>IF($A169="","",IFERROR(AVERAGEIF(tblGunluk[VarlikId],$A169,tblGunluk[FormulPr_oran]),0))</f>
        <v/>
      </c>
      <c r="K169" s="19">
        <f>IF($A169="","",SUMIF(tblGunluk[VarlikId],$A169,tblGunluk[KayipKwh_kwh]))</f>
        <v/>
      </c>
      <c r="L169" s="19">
        <f>IF($A169="","",MAX(0,MIN(100,gup_kaliteTaban-IF($J169&lt;gup_esikPr,gup_kaliteCeza,0)-COUNTIFS(tblGunluk[VarlikId],$A169,tblGunluk[AlarmBayrak],"ALARM")*gup_kaliteSapma-IF($H169="HAYIR",gup_kaliteCeza,0))))</f>
        <v/>
      </c>
    </row>
    <row r="170">
      <c r="A170" s="15" t="n"/>
      <c r="B170" s="15" t="n"/>
      <c r="C170" s="15" t="n"/>
      <c r="D170" s="16" t="n"/>
      <c r="E170" s="17" t="n"/>
      <c r="F170" s="15" t="n"/>
      <c r="G170" s="18" t="n"/>
      <c r="H170" s="15" t="n"/>
      <c r="I170" s="19">
        <f>IF($A170="","",SUMIF(tblGunluk[VarlikId],$A170,tblGunluk[UretimKwh_kwh]))</f>
        <v/>
      </c>
      <c r="J170" s="19">
        <f>IF($A170="","",IFERROR(AVERAGEIF(tblGunluk[VarlikId],$A170,tblGunluk[FormulPr_oran]),0))</f>
        <v/>
      </c>
      <c r="K170" s="19">
        <f>IF($A170="","",SUMIF(tblGunluk[VarlikId],$A170,tblGunluk[KayipKwh_kwh]))</f>
        <v/>
      </c>
      <c r="L170" s="19">
        <f>IF($A170="","",MAX(0,MIN(100,gup_kaliteTaban-IF($J170&lt;gup_esikPr,gup_kaliteCeza,0)-COUNTIFS(tblGunluk[VarlikId],$A170,tblGunluk[AlarmBayrak],"ALARM")*gup_kaliteSapma-IF($H170="HAYIR",gup_kaliteCeza,0))))</f>
        <v/>
      </c>
    </row>
    <row r="171">
      <c r="A171" s="15" t="n"/>
      <c r="B171" s="15" t="n"/>
      <c r="C171" s="15" t="n"/>
      <c r="D171" s="16" t="n"/>
      <c r="E171" s="17" t="n"/>
      <c r="F171" s="15" t="n"/>
      <c r="G171" s="18" t="n"/>
      <c r="H171" s="15" t="n"/>
      <c r="I171" s="19">
        <f>IF($A171="","",SUMIF(tblGunluk[VarlikId],$A171,tblGunluk[UretimKwh_kwh]))</f>
        <v/>
      </c>
      <c r="J171" s="19">
        <f>IF($A171="","",IFERROR(AVERAGEIF(tblGunluk[VarlikId],$A171,tblGunluk[FormulPr_oran]),0))</f>
        <v/>
      </c>
      <c r="K171" s="19">
        <f>IF($A171="","",SUMIF(tblGunluk[VarlikId],$A171,tblGunluk[KayipKwh_kwh]))</f>
        <v/>
      </c>
      <c r="L171" s="19">
        <f>IF($A171="","",MAX(0,MIN(100,gup_kaliteTaban-IF($J171&lt;gup_esikPr,gup_kaliteCeza,0)-COUNTIFS(tblGunluk[VarlikId],$A171,tblGunluk[AlarmBayrak],"ALARM")*gup_kaliteSapma-IF($H171="HAYIR",gup_kaliteCeza,0))))</f>
        <v/>
      </c>
    </row>
    <row r="172">
      <c r="A172" s="15" t="n"/>
      <c r="B172" s="15" t="n"/>
      <c r="C172" s="15" t="n"/>
      <c r="D172" s="16" t="n"/>
      <c r="E172" s="17" t="n"/>
      <c r="F172" s="15" t="n"/>
      <c r="G172" s="18" t="n"/>
      <c r="H172" s="15" t="n"/>
      <c r="I172" s="19">
        <f>IF($A172="","",SUMIF(tblGunluk[VarlikId],$A172,tblGunluk[UretimKwh_kwh]))</f>
        <v/>
      </c>
      <c r="J172" s="19">
        <f>IF($A172="","",IFERROR(AVERAGEIF(tblGunluk[VarlikId],$A172,tblGunluk[FormulPr_oran]),0))</f>
        <v/>
      </c>
      <c r="K172" s="19">
        <f>IF($A172="","",SUMIF(tblGunluk[VarlikId],$A172,tblGunluk[KayipKwh_kwh]))</f>
        <v/>
      </c>
      <c r="L172" s="19">
        <f>IF($A172="","",MAX(0,MIN(100,gup_kaliteTaban-IF($J172&lt;gup_esikPr,gup_kaliteCeza,0)-COUNTIFS(tblGunluk[VarlikId],$A172,tblGunluk[AlarmBayrak],"ALARM")*gup_kaliteSapma-IF($H172="HAYIR",gup_kaliteCeza,0))))</f>
        <v/>
      </c>
    </row>
    <row r="173">
      <c r="A173" s="15" t="n"/>
      <c r="B173" s="15" t="n"/>
      <c r="C173" s="15" t="n"/>
      <c r="D173" s="16" t="n"/>
      <c r="E173" s="17" t="n"/>
      <c r="F173" s="15" t="n"/>
      <c r="G173" s="18" t="n"/>
      <c r="H173" s="15" t="n"/>
      <c r="I173" s="19">
        <f>IF($A173="","",SUMIF(tblGunluk[VarlikId],$A173,tblGunluk[UretimKwh_kwh]))</f>
        <v/>
      </c>
      <c r="J173" s="19">
        <f>IF($A173="","",IFERROR(AVERAGEIF(tblGunluk[VarlikId],$A173,tblGunluk[FormulPr_oran]),0))</f>
        <v/>
      </c>
      <c r="K173" s="19">
        <f>IF($A173="","",SUMIF(tblGunluk[VarlikId],$A173,tblGunluk[KayipKwh_kwh]))</f>
        <v/>
      </c>
      <c r="L173" s="19">
        <f>IF($A173="","",MAX(0,MIN(100,gup_kaliteTaban-IF($J173&lt;gup_esikPr,gup_kaliteCeza,0)-COUNTIFS(tblGunluk[VarlikId],$A173,tblGunluk[AlarmBayrak],"ALARM")*gup_kaliteSapma-IF($H173="HAYIR",gup_kaliteCeza,0))))</f>
        <v/>
      </c>
    </row>
    <row r="174">
      <c r="A174" s="15" t="n"/>
      <c r="B174" s="15" t="n"/>
      <c r="C174" s="15" t="n"/>
      <c r="D174" s="16" t="n"/>
      <c r="E174" s="17" t="n"/>
      <c r="F174" s="15" t="n"/>
      <c r="G174" s="18" t="n"/>
      <c r="H174" s="15" t="n"/>
      <c r="I174" s="19">
        <f>IF($A174="","",SUMIF(tblGunluk[VarlikId],$A174,tblGunluk[UretimKwh_kwh]))</f>
        <v/>
      </c>
      <c r="J174" s="19">
        <f>IF($A174="","",IFERROR(AVERAGEIF(tblGunluk[VarlikId],$A174,tblGunluk[FormulPr_oran]),0))</f>
        <v/>
      </c>
      <c r="K174" s="19">
        <f>IF($A174="","",SUMIF(tblGunluk[VarlikId],$A174,tblGunluk[KayipKwh_kwh]))</f>
        <v/>
      </c>
      <c r="L174" s="19">
        <f>IF($A174="","",MAX(0,MIN(100,gup_kaliteTaban-IF($J174&lt;gup_esikPr,gup_kaliteCeza,0)-COUNTIFS(tblGunluk[VarlikId],$A174,tblGunluk[AlarmBayrak],"ALARM")*gup_kaliteSapma-IF($H174="HAYIR",gup_kaliteCeza,0))))</f>
        <v/>
      </c>
    </row>
    <row r="175">
      <c r="A175" s="15" t="n"/>
      <c r="B175" s="15" t="n"/>
      <c r="C175" s="15" t="n"/>
      <c r="D175" s="16" t="n"/>
      <c r="E175" s="17" t="n"/>
      <c r="F175" s="15" t="n"/>
      <c r="G175" s="18" t="n"/>
      <c r="H175" s="15" t="n"/>
      <c r="I175" s="19">
        <f>IF($A175="","",SUMIF(tblGunluk[VarlikId],$A175,tblGunluk[UretimKwh_kwh]))</f>
        <v/>
      </c>
      <c r="J175" s="19">
        <f>IF($A175="","",IFERROR(AVERAGEIF(tblGunluk[VarlikId],$A175,tblGunluk[FormulPr_oran]),0))</f>
        <v/>
      </c>
      <c r="K175" s="19">
        <f>IF($A175="","",SUMIF(tblGunluk[VarlikId],$A175,tblGunluk[KayipKwh_kwh]))</f>
        <v/>
      </c>
      <c r="L175" s="19">
        <f>IF($A175="","",MAX(0,MIN(100,gup_kaliteTaban-IF($J175&lt;gup_esikPr,gup_kaliteCeza,0)-COUNTIFS(tblGunluk[VarlikId],$A175,tblGunluk[AlarmBayrak],"ALARM")*gup_kaliteSapma-IF($H175="HAYIR",gup_kaliteCeza,0))))</f>
        <v/>
      </c>
    </row>
    <row r="176">
      <c r="A176" s="15" t="n"/>
      <c r="B176" s="15" t="n"/>
      <c r="C176" s="15" t="n"/>
      <c r="D176" s="16" t="n"/>
      <c r="E176" s="17" t="n"/>
      <c r="F176" s="15" t="n"/>
      <c r="G176" s="18" t="n"/>
      <c r="H176" s="15" t="n"/>
      <c r="I176" s="19">
        <f>IF($A176="","",SUMIF(tblGunluk[VarlikId],$A176,tblGunluk[UretimKwh_kwh]))</f>
        <v/>
      </c>
      <c r="J176" s="19">
        <f>IF($A176="","",IFERROR(AVERAGEIF(tblGunluk[VarlikId],$A176,tblGunluk[FormulPr_oran]),0))</f>
        <v/>
      </c>
      <c r="K176" s="19">
        <f>IF($A176="","",SUMIF(tblGunluk[VarlikId],$A176,tblGunluk[KayipKwh_kwh]))</f>
        <v/>
      </c>
      <c r="L176" s="19">
        <f>IF($A176="","",MAX(0,MIN(100,gup_kaliteTaban-IF($J176&lt;gup_esikPr,gup_kaliteCeza,0)-COUNTIFS(tblGunluk[VarlikId],$A176,tblGunluk[AlarmBayrak],"ALARM")*gup_kaliteSapma-IF($H176="HAYIR",gup_kaliteCeza,0))))</f>
        <v/>
      </c>
    </row>
    <row r="177">
      <c r="A177" s="15" t="n"/>
      <c r="B177" s="15" t="n"/>
      <c r="C177" s="15" t="n"/>
      <c r="D177" s="16" t="n"/>
      <c r="E177" s="17" t="n"/>
      <c r="F177" s="15" t="n"/>
      <c r="G177" s="18" t="n"/>
      <c r="H177" s="15" t="n"/>
      <c r="I177" s="19">
        <f>IF($A177="","",SUMIF(tblGunluk[VarlikId],$A177,tblGunluk[UretimKwh_kwh]))</f>
        <v/>
      </c>
      <c r="J177" s="19">
        <f>IF($A177="","",IFERROR(AVERAGEIF(tblGunluk[VarlikId],$A177,tblGunluk[FormulPr_oran]),0))</f>
        <v/>
      </c>
      <c r="K177" s="19">
        <f>IF($A177="","",SUMIF(tblGunluk[VarlikId],$A177,tblGunluk[KayipKwh_kwh]))</f>
        <v/>
      </c>
      <c r="L177" s="19">
        <f>IF($A177="","",MAX(0,MIN(100,gup_kaliteTaban-IF($J177&lt;gup_esikPr,gup_kaliteCeza,0)-COUNTIFS(tblGunluk[VarlikId],$A177,tblGunluk[AlarmBayrak],"ALARM")*gup_kaliteSapma-IF($H177="HAYIR",gup_kaliteCeza,0))))</f>
        <v/>
      </c>
    </row>
    <row r="178">
      <c r="A178" s="15" t="n"/>
      <c r="B178" s="15" t="n"/>
      <c r="C178" s="15" t="n"/>
      <c r="D178" s="16" t="n"/>
      <c r="E178" s="17" t="n"/>
      <c r="F178" s="15" t="n"/>
      <c r="G178" s="18" t="n"/>
      <c r="H178" s="15" t="n"/>
      <c r="I178" s="19">
        <f>IF($A178="","",SUMIF(tblGunluk[VarlikId],$A178,tblGunluk[UretimKwh_kwh]))</f>
        <v/>
      </c>
      <c r="J178" s="19">
        <f>IF($A178="","",IFERROR(AVERAGEIF(tblGunluk[VarlikId],$A178,tblGunluk[FormulPr_oran]),0))</f>
        <v/>
      </c>
      <c r="K178" s="19">
        <f>IF($A178="","",SUMIF(tblGunluk[VarlikId],$A178,tblGunluk[KayipKwh_kwh]))</f>
        <v/>
      </c>
      <c r="L178" s="19">
        <f>IF($A178="","",MAX(0,MIN(100,gup_kaliteTaban-IF($J178&lt;gup_esikPr,gup_kaliteCeza,0)-COUNTIFS(tblGunluk[VarlikId],$A178,tblGunluk[AlarmBayrak],"ALARM")*gup_kaliteSapma-IF($H178="HAYIR",gup_kaliteCeza,0))))</f>
        <v/>
      </c>
    </row>
    <row r="179">
      <c r="A179" s="15" t="n"/>
      <c r="B179" s="15" t="n"/>
      <c r="C179" s="15" t="n"/>
      <c r="D179" s="16" t="n"/>
      <c r="E179" s="17" t="n"/>
      <c r="F179" s="15" t="n"/>
      <c r="G179" s="18" t="n"/>
      <c r="H179" s="15" t="n"/>
      <c r="I179" s="19">
        <f>IF($A179="","",SUMIF(tblGunluk[VarlikId],$A179,tblGunluk[UretimKwh_kwh]))</f>
        <v/>
      </c>
      <c r="J179" s="19">
        <f>IF($A179="","",IFERROR(AVERAGEIF(tblGunluk[VarlikId],$A179,tblGunluk[FormulPr_oran]),0))</f>
        <v/>
      </c>
      <c r="K179" s="19">
        <f>IF($A179="","",SUMIF(tblGunluk[VarlikId],$A179,tblGunluk[KayipKwh_kwh]))</f>
        <v/>
      </c>
      <c r="L179" s="19">
        <f>IF($A179="","",MAX(0,MIN(100,gup_kaliteTaban-IF($J179&lt;gup_esikPr,gup_kaliteCeza,0)-COUNTIFS(tblGunluk[VarlikId],$A179,tblGunluk[AlarmBayrak],"ALARM")*gup_kaliteSapma-IF($H179="HAYIR",gup_kaliteCeza,0))))</f>
        <v/>
      </c>
    </row>
    <row r="180">
      <c r="A180" s="15" t="n"/>
      <c r="B180" s="15" t="n"/>
      <c r="C180" s="15" t="n"/>
      <c r="D180" s="16" t="n"/>
      <c r="E180" s="17" t="n"/>
      <c r="F180" s="15" t="n"/>
      <c r="G180" s="18" t="n"/>
      <c r="H180" s="15" t="n"/>
      <c r="I180" s="19">
        <f>IF($A180="","",SUMIF(tblGunluk[VarlikId],$A180,tblGunluk[UretimKwh_kwh]))</f>
        <v/>
      </c>
      <c r="J180" s="19">
        <f>IF($A180="","",IFERROR(AVERAGEIF(tblGunluk[VarlikId],$A180,tblGunluk[FormulPr_oran]),0))</f>
        <v/>
      </c>
      <c r="K180" s="19">
        <f>IF($A180="","",SUMIF(tblGunluk[VarlikId],$A180,tblGunluk[KayipKwh_kwh]))</f>
        <v/>
      </c>
      <c r="L180" s="19">
        <f>IF($A180="","",MAX(0,MIN(100,gup_kaliteTaban-IF($J180&lt;gup_esikPr,gup_kaliteCeza,0)-COUNTIFS(tblGunluk[VarlikId],$A180,tblGunluk[AlarmBayrak],"ALARM")*gup_kaliteSapma-IF($H180="HAYIR",gup_kaliteCeza,0))))</f>
        <v/>
      </c>
    </row>
    <row r="181">
      <c r="A181" s="15" t="n"/>
      <c r="B181" s="15" t="n"/>
      <c r="C181" s="15" t="n"/>
      <c r="D181" s="16" t="n"/>
      <c r="E181" s="17" t="n"/>
      <c r="F181" s="15" t="n"/>
      <c r="G181" s="18" t="n"/>
      <c r="H181" s="15" t="n"/>
      <c r="I181" s="19">
        <f>IF($A181="","",SUMIF(tblGunluk[VarlikId],$A181,tblGunluk[UretimKwh_kwh]))</f>
        <v/>
      </c>
      <c r="J181" s="19">
        <f>IF($A181="","",IFERROR(AVERAGEIF(tblGunluk[VarlikId],$A181,tblGunluk[FormulPr_oran]),0))</f>
        <v/>
      </c>
      <c r="K181" s="19">
        <f>IF($A181="","",SUMIF(tblGunluk[VarlikId],$A181,tblGunluk[KayipKwh_kwh]))</f>
        <v/>
      </c>
      <c r="L181" s="19">
        <f>IF($A181="","",MAX(0,MIN(100,gup_kaliteTaban-IF($J181&lt;gup_esikPr,gup_kaliteCeza,0)-COUNTIFS(tblGunluk[VarlikId],$A181,tblGunluk[AlarmBayrak],"ALARM")*gup_kaliteSapma-IF($H181="HAYIR",gup_kaliteCeza,0))))</f>
        <v/>
      </c>
    </row>
    <row r="182">
      <c r="A182" s="15" t="n"/>
      <c r="B182" s="15" t="n"/>
      <c r="C182" s="15" t="n"/>
      <c r="D182" s="16" t="n"/>
      <c r="E182" s="17" t="n"/>
      <c r="F182" s="15" t="n"/>
      <c r="G182" s="18" t="n"/>
      <c r="H182" s="15" t="n"/>
      <c r="I182" s="19">
        <f>IF($A182="","",SUMIF(tblGunluk[VarlikId],$A182,tblGunluk[UretimKwh_kwh]))</f>
        <v/>
      </c>
      <c r="J182" s="19">
        <f>IF($A182="","",IFERROR(AVERAGEIF(tblGunluk[VarlikId],$A182,tblGunluk[FormulPr_oran]),0))</f>
        <v/>
      </c>
      <c r="K182" s="19">
        <f>IF($A182="","",SUMIF(tblGunluk[VarlikId],$A182,tblGunluk[KayipKwh_kwh]))</f>
        <v/>
      </c>
      <c r="L182" s="19">
        <f>IF($A182="","",MAX(0,MIN(100,gup_kaliteTaban-IF($J182&lt;gup_esikPr,gup_kaliteCeza,0)-COUNTIFS(tblGunluk[VarlikId],$A182,tblGunluk[AlarmBayrak],"ALARM")*gup_kaliteSapma-IF($H182="HAYIR",gup_kaliteCeza,0))))</f>
        <v/>
      </c>
    </row>
    <row r="183">
      <c r="A183" s="15" t="n"/>
      <c r="B183" s="15" t="n"/>
      <c r="C183" s="15" t="n"/>
      <c r="D183" s="16" t="n"/>
      <c r="E183" s="17" t="n"/>
      <c r="F183" s="15" t="n"/>
      <c r="G183" s="18" t="n"/>
      <c r="H183" s="15" t="n"/>
      <c r="I183" s="19">
        <f>IF($A183="","",SUMIF(tblGunluk[VarlikId],$A183,tblGunluk[UretimKwh_kwh]))</f>
        <v/>
      </c>
      <c r="J183" s="19">
        <f>IF($A183="","",IFERROR(AVERAGEIF(tblGunluk[VarlikId],$A183,tblGunluk[FormulPr_oran]),0))</f>
        <v/>
      </c>
      <c r="K183" s="19">
        <f>IF($A183="","",SUMIF(tblGunluk[VarlikId],$A183,tblGunluk[KayipKwh_kwh]))</f>
        <v/>
      </c>
      <c r="L183" s="19">
        <f>IF($A183="","",MAX(0,MIN(100,gup_kaliteTaban-IF($J183&lt;gup_esikPr,gup_kaliteCeza,0)-COUNTIFS(tblGunluk[VarlikId],$A183,tblGunluk[AlarmBayrak],"ALARM")*gup_kaliteSapma-IF($H183="HAYIR",gup_kaliteCeza,0))))</f>
        <v/>
      </c>
    </row>
    <row r="184">
      <c r="A184" s="15" t="n"/>
      <c r="B184" s="15" t="n"/>
      <c r="C184" s="15" t="n"/>
      <c r="D184" s="16" t="n"/>
      <c r="E184" s="17" t="n"/>
      <c r="F184" s="15" t="n"/>
      <c r="G184" s="18" t="n"/>
      <c r="H184" s="15" t="n"/>
      <c r="I184" s="19">
        <f>IF($A184="","",SUMIF(tblGunluk[VarlikId],$A184,tblGunluk[UretimKwh_kwh]))</f>
        <v/>
      </c>
      <c r="J184" s="19">
        <f>IF($A184="","",IFERROR(AVERAGEIF(tblGunluk[VarlikId],$A184,tblGunluk[FormulPr_oran]),0))</f>
        <v/>
      </c>
      <c r="K184" s="19">
        <f>IF($A184="","",SUMIF(tblGunluk[VarlikId],$A184,tblGunluk[KayipKwh_kwh]))</f>
        <v/>
      </c>
      <c r="L184" s="19">
        <f>IF($A184="","",MAX(0,MIN(100,gup_kaliteTaban-IF($J184&lt;gup_esikPr,gup_kaliteCeza,0)-COUNTIFS(tblGunluk[VarlikId],$A184,tblGunluk[AlarmBayrak],"ALARM")*gup_kaliteSapma-IF($H184="HAYIR",gup_kaliteCeza,0))))</f>
        <v/>
      </c>
    </row>
    <row r="185">
      <c r="A185" s="15" t="n"/>
      <c r="B185" s="15" t="n"/>
      <c r="C185" s="15" t="n"/>
      <c r="D185" s="16" t="n"/>
      <c r="E185" s="17" t="n"/>
      <c r="F185" s="15" t="n"/>
      <c r="G185" s="18" t="n"/>
      <c r="H185" s="15" t="n"/>
      <c r="I185" s="19">
        <f>IF($A185="","",SUMIF(tblGunluk[VarlikId],$A185,tblGunluk[UretimKwh_kwh]))</f>
        <v/>
      </c>
      <c r="J185" s="19">
        <f>IF($A185="","",IFERROR(AVERAGEIF(tblGunluk[VarlikId],$A185,tblGunluk[FormulPr_oran]),0))</f>
        <v/>
      </c>
      <c r="K185" s="19">
        <f>IF($A185="","",SUMIF(tblGunluk[VarlikId],$A185,tblGunluk[KayipKwh_kwh]))</f>
        <v/>
      </c>
      <c r="L185" s="19">
        <f>IF($A185="","",MAX(0,MIN(100,gup_kaliteTaban-IF($J185&lt;gup_esikPr,gup_kaliteCeza,0)-COUNTIFS(tblGunluk[VarlikId],$A185,tblGunluk[AlarmBayrak],"ALARM")*gup_kaliteSapma-IF($H185="HAYIR",gup_kaliteCeza,0))))</f>
        <v/>
      </c>
    </row>
    <row r="186">
      <c r="A186" s="15" t="n"/>
      <c r="B186" s="15" t="n"/>
      <c r="C186" s="15" t="n"/>
      <c r="D186" s="16" t="n"/>
      <c r="E186" s="17" t="n"/>
      <c r="F186" s="15" t="n"/>
      <c r="G186" s="18" t="n"/>
      <c r="H186" s="15" t="n"/>
      <c r="I186" s="19">
        <f>IF($A186="","",SUMIF(tblGunluk[VarlikId],$A186,tblGunluk[UretimKwh_kwh]))</f>
        <v/>
      </c>
      <c r="J186" s="19">
        <f>IF($A186="","",IFERROR(AVERAGEIF(tblGunluk[VarlikId],$A186,tblGunluk[FormulPr_oran]),0))</f>
        <v/>
      </c>
      <c r="K186" s="19">
        <f>IF($A186="","",SUMIF(tblGunluk[VarlikId],$A186,tblGunluk[KayipKwh_kwh]))</f>
        <v/>
      </c>
      <c r="L186" s="19">
        <f>IF($A186="","",MAX(0,MIN(100,gup_kaliteTaban-IF($J186&lt;gup_esikPr,gup_kaliteCeza,0)-COUNTIFS(tblGunluk[VarlikId],$A186,tblGunluk[AlarmBayrak],"ALARM")*gup_kaliteSapma-IF($H186="HAYIR",gup_kaliteCeza,0))))</f>
        <v/>
      </c>
    </row>
    <row r="187">
      <c r="A187" s="15" t="n"/>
      <c r="B187" s="15" t="n"/>
      <c r="C187" s="15" t="n"/>
      <c r="D187" s="16" t="n"/>
      <c r="E187" s="17" t="n"/>
      <c r="F187" s="15" t="n"/>
      <c r="G187" s="18" t="n"/>
      <c r="H187" s="15" t="n"/>
      <c r="I187" s="19">
        <f>IF($A187="","",SUMIF(tblGunluk[VarlikId],$A187,tblGunluk[UretimKwh_kwh]))</f>
        <v/>
      </c>
      <c r="J187" s="19">
        <f>IF($A187="","",IFERROR(AVERAGEIF(tblGunluk[VarlikId],$A187,tblGunluk[FormulPr_oran]),0))</f>
        <v/>
      </c>
      <c r="K187" s="19">
        <f>IF($A187="","",SUMIF(tblGunluk[VarlikId],$A187,tblGunluk[KayipKwh_kwh]))</f>
        <v/>
      </c>
      <c r="L187" s="19">
        <f>IF($A187="","",MAX(0,MIN(100,gup_kaliteTaban-IF($J187&lt;gup_esikPr,gup_kaliteCeza,0)-COUNTIFS(tblGunluk[VarlikId],$A187,tblGunluk[AlarmBayrak],"ALARM")*gup_kaliteSapma-IF($H187="HAYIR",gup_kaliteCeza,0))))</f>
        <v/>
      </c>
    </row>
    <row r="188">
      <c r="A188" s="15" t="n"/>
      <c r="B188" s="15" t="n"/>
      <c r="C188" s="15" t="n"/>
      <c r="D188" s="16" t="n"/>
      <c r="E188" s="17" t="n"/>
      <c r="F188" s="15" t="n"/>
      <c r="G188" s="18" t="n"/>
      <c r="H188" s="15" t="n"/>
      <c r="I188" s="19">
        <f>IF($A188="","",SUMIF(tblGunluk[VarlikId],$A188,tblGunluk[UretimKwh_kwh]))</f>
        <v/>
      </c>
      <c r="J188" s="19">
        <f>IF($A188="","",IFERROR(AVERAGEIF(tblGunluk[VarlikId],$A188,tblGunluk[FormulPr_oran]),0))</f>
        <v/>
      </c>
      <c r="K188" s="19">
        <f>IF($A188="","",SUMIF(tblGunluk[VarlikId],$A188,tblGunluk[KayipKwh_kwh]))</f>
        <v/>
      </c>
      <c r="L188" s="19">
        <f>IF($A188="","",MAX(0,MIN(100,gup_kaliteTaban-IF($J188&lt;gup_esikPr,gup_kaliteCeza,0)-COUNTIFS(tblGunluk[VarlikId],$A188,tblGunluk[AlarmBayrak],"ALARM")*gup_kaliteSapma-IF($H188="HAYIR",gup_kaliteCeza,0))))</f>
        <v/>
      </c>
    </row>
    <row r="189">
      <c r="A189" s="15" t="n"/>
      <c r="B189" s="15" t="n"/>
      <c r="C189" s="15" t="n"/>
      <c r="D189" s="16" t="n"/>
      <c r="E189" s="17" t="n"/>
      <c r="F189" s="15" t="n"/>
      <c r="G189" s="18" t="n"/>
      <c r="H189" s="15" t="n"/>
      <c r="I189" s="19">
        <f>IF($A189="","",SUMIF(tblGunluk[VarlikId],$A189,tblGunluk[UretimKwh_kwh]))</f>
        <v/>
      </c>
      <c r="J189" s="19">
        <f>IF($A189="","",IFERROR(AVERAGEIF(tblGunluk[VarlikId],$A189,tblGunluk[FormulPr_oran]),0))</f>
        <v/>
      </c>
      <c r="K189" s="19">
        <f>IF($A189="","",SUMIF(tblGunluk[VarlikId],$A189,tblGunluk[KayipKwh_kwh]))</f>
        <v/>
      </c>
      <c r="L189" s="19">
        <f>IF($A189="","",MAX(0,MIN(100,gup_kaliteTaban-IF($J189&lt;gup_esikPr,gup_kaliteCeza,0)-COUNTIFS(tblGunluk[VarlikId],$A189,tblGunluk[AlarmBayrak],"ALARM")*gup_kaliteSapma-IF($H189="HAYIR",gup_kaliteCeza,0))))</f>
        <v/>
      </c>
    </row>
    <row r="190">
      <c r="A190" s="15" t="n"/>
      <c r="B190" s="15" t="n"/>
      <c r="C190" s="15" t="n"/>
      <c r="D190" s="16" t="n"/>
      <c r="E190" s="17" t="n"/>
      <c r="F190" s="15" t="n"/>
      <c r="G190" s="18" t="n"/>
      <c r="H190" s="15" t="n"/>
      <c r="I190" s="19">
        <f>IF($A190="","",SUMIF(tblGunluk[VarlikId],$A190,tblGunluk[UretimKwh_kwh]))</f>
        <v/>
      </c>
      <c r="J190" s="19">
        <f>IF($A190="","",IFERROR(AVERAGEIF(tblGunluk[VarlikId],$A190,tblGunluk[FormulPr_oran]),0))</f>
        <v/>
      </c>
      <c r="K190" s="19">
        <f>IF($A190="","",SUMIF(tblGunluk[VarlikId],$A190,tblGunluk[KayipKwh_kwh]))</f>
        <v/>
      </c>
      <c r="L190" s="19">
        <f>IF($A190="","",MAX(0,MIN(100,gup_kaliteTaban-IF($J190&lt;gup_esikPr,gup_kaliteCeza,0)-COUNTIFS(tblGunluk[VarlikId],$A190,tblGunluk[AlarmBayrak],"ALARM")*gup_kaliteSapma-IF($H190="HAYIR",gup_kaliteCeza,0))))</f>
        <v/>
      </c>
    </row>
    <row r="191">
      <c r="A191" s="15" t="n"/>
      <c r="B191" s="15" t="n"/>
      <c r="C191" s="15" t="n"/>
      <c r="D191" s="16" t="n"/>
      <c r="E191" s="17" t="n"/>
      <c r="F191" s="15" t="n"/>
      <c r="G191" s="18" t="n"/>
      <c r="H191" s="15" t="n"/>
      <c r="I191" s="19">
        <f>IF($A191="","",SUMIF(tblGunluk[VarlikId],$A191,tblGunluk[UretimKwh_kwh]))</f>
        <v/>
      </c>
      <c r="J191" s="19">
        <f>IF($A191="","",IFERROR(AVERAGEIF(tblGunluk[VarlikId],$A191,tblGunluk[FormulPr_oran]),0))</f>
        <v/>
      </c>
      <c r="K191" s="19">
        <f>IF($A191="","",SUMIF(tblGunluk[VarlikId],$A191,tblGunluk[KayipKwh_kwh]))</f>
        <v/>
      </c>
      <c r="L191" s="19">
        <f>IF($A191="","",MAX(0,MIN(100,gup_kaliteTaban-IF($J191&lt;gup_esikPr,gup_kaliteCeza,0)-COUNTIFS(tblGunluk[VarlikId],$A191,tblGunluk[AlarmBayrak],"ALARM")*gup_kaliteSapma-IF($H191="HAYIR",gup_kaliteCeza,0))))</f>
        <v/>
      </c>
    </row>
    <row r="192">
      <c r="A192" s="15" t="n"/>
      <c r="B192" s="15" t="n"/>
      <c r="C192" s="15" t="n"/>
      <c r="D192" s="16" t="n"/>
      <c r="E192" s="17" t="n"/>
      <c r="F192" s="15" t="n"/>
      <c r="G192" s="18" t="n"/>
      <c r="H192" s="15" t="n"/>
      <c r="I192" s="19">
        <f>IF($A192="","",SUMIF(tblGunluk[VarlikId],$A192,tblGunluk[UretimKwh_kwh]))</f>
        <v/>
      </c>
      <c r="J192" s="19">
        <f>IF($A192="","",IFERROR(AVERAGEIF(tblGunluk[VarlikId],$A192,tblGunluk[FormulPr_oran]),0))</f>
        <v/>
      </c>
      <c r="K192" s="19">
        <f>IF($A192="","",SUMIF(tblGunluk[VarlikId],$A192,tblGunluk[KayipKwh_kwh]))</f>
        <v/>
      </c>
      <c r="L192" s="19">
        <f>IF($A192="","",MAX(0,MIN(100,gup_kaliteTaban-IF($J192&lt;gup_esikPr,gup_kaliteCeza,0)-COUNTIFS(tblGunluk[VarlikId],$A192,tblGunluk[AlarmBayrak],"ALARM")*gup_kaliteSapma-IF($H192="HAYIR",gup_kaliteCeza,0))))</f>
        <v/>
      </c>
    </row>
    <row r="193">
      <c r="A193" s="15" t="n"/>
      <c r="B193" s="15" t="n"/>
      <c r="C193" s="15" t="n"/>
      <c r="D193" s="16" t="n"/>
      <c r="E193" s="17" t="n"/>
      <c r="F193" s="15" t="n"/>
      <c r="G193" s="18" t="n"/>
      <c r="H193" s="15" t="n"/>
      <c r="I193" s="19">
        <f>IF($A193="","",SUMIF(tblGunluk[VarlikId],$A193,tblGunluk[UretimKwh_kwh]))</f>
        <v/>
      </c>
      <c r="J193" s="19">
        <f>IF($A193="","",IFERROR(AVERAGEIF(tblGunluk[VarlikId],$A193,tblGunluk[FormulPr_oran]),0))</f>
        <v/>
      </c>
      <c r="K193" s="19">
        <f>IF($A193="","",SUMIF(tblGunluk[VarlikId],$A193,tblGunluk[KayipKwh_kwh]))</f>
        <v/>
      </c>
      <c r="L193" s="19">
        <f>IF($A193="","",MAX(0,MIN(100,gup_kaliteTaban-IF($J193&lt;gup_esikPr,gup_kaliteCeza,0)-COUNTIFS(tblGunluk[VarlikId],$A193,tblGunluk[AlarmBayrak],"ALARM")*gup_kaliteSapma-IF($H193="HAYIR",gup_kaliteCeza,0))))</f>
        <v/>
      </c>
    </row>
    <row r="194">
      <c r="A194" s="15" t="n"/>
      <c r="B194" s="15" t="n"/>
      <c r="C194" s="15" t="n"/>
      <c r="D194" s="16" t="n"/>
      <c r="E194" s="17" t="n"/>
      <c r="F194" s="15" t="n"/>
      <c r="G194" s="18" t="n"/>
      <c r="H194" s="15" t="n"/>
      <c r="I194" s="19">
        <f>IF($A194="","",SUMIF(tblGunluk[VarlikId],$A194,tblGunluk[UretimKwh_kwh]))</f>
        <v/>
      </c>
      <c r="J194" s="19">
        <f>IF($A194="","",IFERROR(AVERAGEIF(tblGunluk[VarlikId],$A194,tblGunluk[FormulPr_oran]),0))</f>
        <v/>
      </c>
      <c r="K194" s="19">
        <f>IF($A194="","",SUMIF(tblGunluk[VarlikId],$A194,tblGunluk[KayipKwh_kwh]))</f>
        <v/>
      </c>
      <c r="L194" s="19">
        <f>IF($A194="","",MAX(0,MIN(100,gup_kaliteTaban-IF($J194&lt;gup_esikPr,gup_kaliteCeza,0)-COUNTIFS(tblGunluk[VarlikId],$A194,tblGunluk[AlarmBayrak],"ALARM")*gup_kaliteSapma-IF($H194="HAYIR",gup_kaliteCeza,0))))</f>
        <v/>
      </c>
    </row>
    <row r="195">
      <c r="A195" s="15" t="n"/>
      <c r="B195" s="15" t="n"/>
      <c r="C195" s="15" t="n"/>
      <c r="D195" s="16" t="n"/>
      <c r="E195" s="17" t="n"/>
      <c r="F195" s="15" t="n"/>
      <c r="G195" s="18" t="n"/>
      <c r="H195" s="15" t="n"/>
      <c r="I195" s="19">
        <f>IF($A195="","",SUMIF(tblGunluk[VarlikId],$A195,tblGunluk[UretimKwh_kwh]))</f>
        <v/>
      </c>
      <c r="J195" s="19">
        <f>IF($A195="","",IFERROR(AVERAGEIF(tblGunluk[VarlikId],$A195,tblGunluk[FormulPr_oran]),0))</f>
        <v/>
      </c>
      <c r="K195" s="19">
        <f>IF($A195="","",SUMIF(tblGunluk[VarlikId],$A195,tblGunluk[KayipKwh_kwh]))</f>
        <v/>
      </c>
      <c r="L195" s="19">
        <f>IF($A195="","",MAX(0,MIN(100,gup_kaliteTaban-IF($J195&lt;gup_esikPr,gup_kaliteCeza,0)-COUNTIFS(tblGunluk[VarlikId],$A195,tblGunluk[AlarmBayrak],"ALARM")*gup_kaliteSapma-IF($H195="HAYIR",gup_kaliteCeza,0))))</f>
        <v/>
      </c>
    </row>
    <row r="196">
      <c r="A196" s="15" t="n"/>
      <c r="B196" s="15" t="n"/>
      <c r="C196" s="15" t="n"/>
      <c r="D196" s="16" t="n"/>
      <c r="E196" s="17" t="n"/>
      <c r="F196" s="15" t="n"/>
      <c r="G196" s="18" t="n"/>
      <c r="H196" s="15" t="n"/>
      <c r="I196" s="19">
        <f>IF($A196="","",SUMIF(tblGunluk[VarlikId],$A196,tblGunluk[UretimKwh_kwh]))</f>
        <v/>
      </c>
      <c r="J196" s="19">
        <f>IF($A196="","",IFERROR(AVERAGEIF(tblGunluk[VarlikId],$A196,tblGunluk[FormulPr_oran]),0))</f>
        <v/>
      </c>
      <c r="K196" s="19">
        <f>IF($A196="","",SUMIF(tblGunluk[VarlikId],$A196,tblGunluk[KayipKwh_kwh]))</f>
        <v/>
      </c>
      <c r="L196" s="19">
        <f>IF($A196="","",MAX(0,MIN(100,gup_kaliteTaban-IF($J196&lt;gup_esikPr,gup_kaliteCeza,0)-COUNTIFS(tblGunluk[VarlikId],$A196,tblGunluk[AlarmBayrak],"ALARM")*gup_kaliteSapma-IF($H196="HAYIR",gup_kaliteCeza,0))))</f>
        <v/>
      </c>
    </row>
    <row r="197">
      <c r="A197" s="15" t="n"/>
      <c r="B197" s="15" t="n"/>
      <c r="C197" s="15" t="n"/>
      <c r="D197" s="16" t="n"/>
      <c r="E197" s="17" t="n"/>
      <c r="F197" s="15" t="n"/>
      <c r="G197" s="18" t="n"/>
      <c r="H197" s="15" t="n"/>
      <c r="I197" s="19">
        <f>IF($A197="","",SUMIF(tblGunluk[VarlikId],$A197,tblGunluk[UretimKwh_kwh]))</f>
        <v/>
      </c>
      <c r="J197" s="19">
        <f>IF($A197="","",IFERROR(AVERAGEIF(tblGunluk[VarlikId],$A197,tblGunluk[FormulPr_oran]),0))</f>
        <v/>
      </c>
      <c r="K197" s="19">
        <f>IF($A197="","",SUMIF(tblGunluk[VarlikId],$A197,tblGunluk[KayipKwh_kwh]))</f>
        <v/>
      </c>
      <c r="L197" s="19">
        <f>IF($A197="","",MAX(0,MIN(100,gup_kaliteTaban-IF($J197&lt;gup_esikPr,gup_kaliteCeza,0)-COUNTIFS(tblGunluk[VarlikId],$A197,tblGunluk[AlarmBayrak],"ALARM")*gup_kaliteSapma-IF($H197="HAYIR",gup_kaliteCeza,0))))</f>
        <v/>
      </c>
    </row>
    <row r="198">
      <c r="A198" s="15" t="n"/>
      <c r="B198" s="15" t="n"/>
      <c r="C198" s="15" t="n"/>
      <c r="D198" s="16" t="n"/>
      <c r="E198" s="17" t="n"/>
      <c r="F198" s="15" t="n"/>
      <c r="G198" s="18" t="n"/>
      <c r="H198" s="15" t="n"/>
      <c r="I198" s="19">
        <f>IF($A198="","",SUMIF(tblGunluk[VarlikId],$A198,tblGunluk[UretimKwh_kwh]))</f>
        <v/>
      </c>
      <c r="J198" s="19">
        <f>IF($A198="","",IFERROR(AVERAGEIF(tblGunluk[VarlikId],$A198,tblGunluk[FormulPr_oran]),0))</f>
        <v/>
      </c>
      <c r="K198" s="19">
        <f>IF($A198="","",SUMIF(tblGunluk[VarlikId],$A198,tblGunluk[KayipKwh_kwh]))</f>
        <v/>
      </c>
      <c r="L198" s="19">
        <f>IF($A198="","",MAX(0,MIN(100,gup_kaliteTaban-IF($J198&lt;gup_esikPr,gup_kaliteCeza,0)-COUNTIFS(tblGunluk[VarlikId],$A198,tblGunluk[AlarmBayrak],"ALARM")*gup_kaliteSapma-IF($H198="HAYIR",gup_kaliteCeza,0))))</f>
        <v/>
      </c>
    </row>
    <row r="199">
      <c r="A199" s="15" t="n"/>
      <c r="B199" s="15" t="n"/>
      <c r="C199" s="15" t="n"/>
      <c r="D199" s="16" t="n"/>
      <c r="E199" s="17" t="n"/>
      <c r="F199" s="15" t="n"/>
      <c r="G199" s="18" t="n"/>
      <c r="H199" s="15" t="n"/>
      <c r="I199" s="19">
        <f>IF($A199="","",SUMIF(tblGunluk[VarlikId],$A199,tblGunluk[UretimKwh_kwh]))</f>
        <v/>
      </c>
      <c r="J199" s="19">
        <f>IF($A199="","",IFERROR(AVERAGEIF(tblGunluk[VarlikId],$A199,tblGunluk[FormulPr_oran]),0))</f>
        <v/>
      </c>
      <c r="K199" s="19">
        <f>IF($A199="","",SUMIF(tblGunluk[VarlikId],$A199,tblGunluk[KayipKwh_kwh]))</f>
        <v/>
      </c>
      <c r="L199" s="19">
        <f>IF($A199="","",MAX(0,MIN(100,gup_kaliteTaban-IF($J199&lt;gup_esikPr,gup_kaliteCeza,0)-COUNTIFS(tblGunluk[VarlikId],$A199,tblGunluk[AlarmBayrak],"ALARM")*gup_kaliteSapma-IF($H199="HAYIR",gup_kaliteCeza,0))))</f>
        <v/>
      </c>
    </row>
    <row r="200">
      <c r="A200" s="15" t="n"/>
      <c r="B200" s="15" t="n"/>
      <c r="C200" s="15" t="n"/>
      <c r="D200" s="16" t="n"/>
      <c r="E200" s="17" t="n"/>
      <c r="F200" s="15" t="n"/>
      <c r="G200" s="18" t="n"/>
      <c r="H200" s="15" t="n"/>
      <c r="I200" s="19">
        <f>IF($A200="","",SUMIF(tblGunluk[VarlikId],$A200,tblGunluk[UretimKwh_kwh]))</f>
        <v/>
      </c>
      <c r="J200" s="19">
        <f>IF($A200="","",IFERROR(AVERAGEIF(tblGunluk[VarlikId],$A200,tblGunluk[FormulPr_oran]),0))</f>
        <v/>
      </c>
      <c r="K200" s="19">
        <f>IF($A200="","",SUMIF(tblGunluk[VarlikId],$A200,tblGunluk[KayipKwh_kwh]))</f>
        <v/>
      </c>
      <c r="L200" s="19">
        <f>IF($A200="","",MAX(0,MIN(100,gup_kaliteTaban-IF($J200&lt;gup_esikPr,gup_kaliteCeza,0)-COUNTIFS(tblGunluk[VarlikId],$A200,tblGunluk[AlarmBayrak],"ALARM")*gup_kaliteSapma-IF($H200="HAYIR",gup_kaliteCeza,0))))</f>
        <v/>
      </c>
    </row>
    <row r="201">
      <c r="A201" s="15" t="n"/>
      <c r="B201" s="15" t="n"/>
      <c r="C201" s="15" t="n"/>
      <c r="D201" s="16" t="n"/>
      <c r="E201" s="17" t="n"/>
      <c r="F201" s="15" t="n"/>
      <c r="G201" s="18" t="n"/>
      <c r="H201" s="15" t="n"/>
      <c r="I201" s="19">
        <f>IF($A201="","",SUMIF(tblGunluk[VarlikId],$A201,tblGunluk[UretimKwh_kwh]))</f>
        <v/>
      </c>
      <c r="J201" s="19">
        <f>IF($A201="","",IFERROR(AVERAGEIF(tblGunluk[VarlikId],$A201,tblGunluk[FormulPr_oran]),0))</f>
        <v/>
      </c>
      <c r="K201" s="19">
        <f>IF($A201="","",SUMIF(tblGunluk[VarlikId],$A201,tblGunluk[KayipKwh_kwh]))</f>
        <v/>
      </c>
      <c r="L201" s="19">
        <f>IF($A201="","",MAX(0,MIN(100,gup_kaliteTaban-IF($J201&lt;gup_esikPr,gup_kaliteCeza,0)-COUNTIFS(tblGunluk[VarlikId],$A201,tblGunluk[AlarmBayrak],"ALARM")*gup_kaliteSapma-IF($H201="HAYIR",gup_kaliteCeza,0))))</f>
        <v/>
      </c>
    </row>
    <row r="202">
      <c r="A202" s="15" t="n"/>
      <c r="B202" s="15" t="n"/>
      <c r="C202" s="15" t="n"/>
      <c r="D202" s="16" t="n"/>
      <c r="E202" s="17" t="n"/>
      <c r="F202" s="15" t="n"/>
      <c r="G202" s="18" t="n"/>
      <c r="H202" s="15" t="n"/>
      <c r="I202" s="19">
        <f>IF($A202="","",SUMIF(tblGunluk[VarlikId],$A202,tblGunluk[UretimKwh_kwh]))</f>
        <v/>
      </c>
      <c r="J202" s="19">
        <f>IF($A202="","",IFERROR(AVERAGEIF(tblGunluk[VarlikId],$A202,tblGunluk[FormulPr_oran]),0))</f>
        <v/>
      </c>
      <c r="K202" s="19">
        <f>IF($A202="","",SUMIF(tblGunluk[VarlikId],$A202,tblGunluk[KayipKwh_kwh]))</f>
        <v/>
      </c>
      <c r="L202" s="19">
        <f>IF($A202="","",MAX(0,MIN(100,gup_kaliteTaban-IF($J202&lt;gup_esikPr,gup_kaliteCeza,0)-COUNTIFS(tblGunluk[VarlikId],$A202,tblGunluk[AlarmBayrak],"ALARM")*gup_kaliteSapma-IF($H202="HAYIR",gup_kaliteCeza,0))))</f>
        <v/>
      </c>
    </row>
    <row r="203">
      <c r="A203" s="15" t="n"/>
      <c r="B203" s="15" t="n"/>
      <c r="C203" s="15" t="n"/>
      <c r="D203" s="16" t="n"/>
      <c r="E203" s="17" t="n"/>
      <c r="F203" s="15" t="n"/>
      <c r="G203" s="18" t="n"/>
      <c r="H203" s="15" t="n"/>
      <c r="I203" s="19">
        <f>IF($A203="","",SUMIF(tblGunluk[VarlikId],$A203,tblGunluk[UretimKwh_kwh]))</f>
        <v/>
      </c>
      <c r="J203" s="19">
        <f>IF($A203="","",IFERROR(AVERAGEIF(tblGunluk[VarlikId],$A203,tblGunluk[FormulPr_oran]),0))</f>
        <v/>
      </c>
      <c r="K203" s="19">
        <f>IF($A203="","",SUMIF(tblGunluk[VarlikId],$A203,tblGunluk[KayipKwh_kwh]))</f>
        <v/>
      </c>
      <c r="L203" s="19">
        <f>IF($A203="","",MAX(0,MIN(100,gup_kaliteTaban-IF($J203&lt;gup_esikPr,gup_kaliteCeza,0)-COUNTIFS(tblGunluk[VarlikId],$A203,tblGunluk[AlarmBayrak],"ALARM")*gup_kaliteSapma-IF($H203="HAYIR",gup_kaliteCeza,0))))</f>
        <v/>
      </c>
    </row>
    <row r="204">
      <c r="A204" s="15" t="n"/>
      <c r="B204" s="15" t="n"/>
      <c r="C204" s="15" t="n"/>
      <c r="D204" s="16" t="n"/>
      <c r="E204" s="17" t="n"/>
      <c r="F204" s="15" t="n"/>
      <c r="G204" s="18" t="n"/>
      <c r="H204" s="15" t="n"/>
      <c r="I204" s="19">
        <f>IF($A204="","",SUMIF(tblGunluk[VarlikId],$A204,tblGunluk[UretimKwh_kwh]))</f>
        <v/>
      </c>
      <c r="J204" s="19">
        <f>IF($A204="","",IFERROR(AVERAGEIF(tblGunluk[VarlikId],$A204,tblGunluk[FormulPr_oran]),0))</f>
        <v/>
      </c>
      <c r="K204" s="19">
        <f>IF($A204="","",SUMIF(tblGunluk[VarlikId],$A204,tblGunluk[KayipKwh_kwh]))</f>
        <v/>
      </c>
      <c r="L204" s="19">
        <f>IF($A204="","",MAX(0,MIN(100,gup_kaliteTaban-IF($J204&lt;gup_esikPr,gup_kaliteCeza,0)-COUNTIFS(tblGunluk[VarlikId],$A204,tblGunluk[AlarmBayrak],"ALARM")*gup_kaliteSapma-IF($H204="HAYIR",gup_kaliteCeza,0))))</f>
        <v/>
      </c>
    </row>
    <row r="205">
      <c r="A205" s="15" t="n"/>
      <c r="B205" s="15" t="n"/>
      <c r="C205" s="15" t="n"/>
      <c r="D205" s="16" t="n"/>
      <c r="E205" s="17" t="n"/>
      <c r="F205" s="15" t="n"/>
      <c r="G205" s="18" t="n"/>
      <c r="H205" s="15" t="n"/>
      <c r="I205" s="19">
        <f>IF($A205="","",SUMIF(tblGunluk[VarlikId],$A205,tblGunluk[UretimKwh_kwh]))</f>
        <v/>
      </c>
      <c r="J205" s="19">
        <f>IF($A205="","",IFERROR(AVERAGEIF(tblGunluk[VarlikId],$A205,tblGunluk[FormulPr_oran]),0))</f>
        <v/>
      </c>
      <c r="K205" s="19">
        <f>IF($A205="","",SUMIF(tblGunluk[VarlikId],$A205,tblGunluk[KayipKwh_kwh]))</f>
        <v/>
      </c>
      <c r="L205" s="19">
        <f>IF($A205="","",MAX(0,MIN(100,gup_kaliteTaban-IF($J205&lt;gup_esikPr,gup_kaliteCeza,0)-COUNTIFS(tblGunluk[VarlikId],$A205,tblGunluk[AlarmBayrak],"ALARM")*gup_kaliteSapma-IF($H205="HAYIR",gup_kaliteCeza,0))))</f>
        <v/>
      </c>
    </row>
    <row r="206">
      <c r="A206" s="15" t="n"/>
      <c r="B206" s="15" t="n"/>
      <c r="C206" s="15" t="n"/>
      <c r="D206" s="16" t="n"/>
      <c r="E206" s="17" t="n"/>
      <c r="F206" s="15" t="n"/>
      <c r="G206" s="18" t="n"/>
      <c r="H206" s="15" t="n"/>
      <c r="I206" s="19">
        <f>IF($A206="","",SUMIF(tblGunluk[VarlikId],$A206,tblGunluk[UretimKwh_kwh]))</f>
        <v/>
      </c>
      <c r="J206" s="19">
        <f>IF($A206="","",IFERROR(AVERAGEIF(tblGunluk[VarlikId],$A206,tblGunluk[FormulPr_oran]),0))</f>
        <v/>
      </c>
      <c r="K206" s="19">
        <f>IF($A206="","",SUMIF(tblGunluk[VarlikId],$A206,tblGunluk[KayipKwh_kwh]))</f>
        <v/>
      </c>
      <c r="L206" s="19">
        <f>IF($A206="","",MAX(0,MIN(100,gup_kaliteTaban-IF($J206&lt;gup_esikPr,gup_kaliteCeza,0)-COUNTIFS(tblGunluk[VarlikId],$A206,tblGunluk[AlarmBayrak],"ALARM")*gup_kaliteSapma-IF($H206="HAYIR",gup_kaliteCeza,0))))</f>
        <v/>
      </c>
    </row>
    <row r="207">
      <c r="A207" s="15" t="n"/>
      <c r="B207" s="15" t="n"/>
      <c r="C207" s="15" t="n"/>
      <c r="D207" s="16" t="n"/>
      <c r="E207" s="17" t="n"/>
      <c r="F207" s="15" t="n"/>
      <c r="G207" s="18" t="n"/>
      <c r="H207" s="15" t="n"/>
      <c r="I207" s="19">
        <f>IF($A207="","",SUMIF(tblGunluk[VarlikId],$A207,tblGunluk[UretimKwh_kwh]))</f>
        <v/>
      </c>
      <c r="J207" s="19">
        <f>IF($A207="","",IFERROR(AVERAGEIF(tblGunluk[VarlikId],$A207,tblGunluk[FormulPr_oran]),0))</f>
        <v/>
      </c>
      <c r="K207" s="19">
        <f>IF($A207="","",SUMIF(tblGunluk[VarlikId],$A207,tblGunluk[KayipKwh_kwh]))</f>
        <v/>
      </c>
      <c r="L207" s="19">
        <f>IF($A207="","",MAX(0,MIN(100,gup_kaliteTaban-IF($J207&lt;gup_esikPr,gup_kaliteCeza,0)-COUNTIFS(tblGunluk[VarlikId],$A207,tblGunluk[AlarmBayrak],"ALARM")*gup_kaliteSapma-IF($H207="HAYIR",gup_kaliteCeza,0))))</f>
        <v/>
      </c>
    </row>
    <row r="208">
      <c r="A208" s="15" t="n"/>
      <c r="B208" s="15" t="n"/>
      <c r="C208" s="15" t="n"/>
      <c r="D208" s="16" t="n"/>
      <c r="E208" s="17" t="n"/>
      <c r="F208" s="15" t="n"/>
      <c r="G208" s="18" t="n"/>
      <c r="H208" s="15" t="n"/>
      <c r="I208" s="19">
        <f>IF($A208="","",SUMIF(tblGunluk[VarlikId],$A208,tblGunluk[UretimKwh_kwh]))</f>
        <v/>
      </c>
      <c r="J208" s="19">
        <f>IF($A208="","",IFERROR(AVERAGEIF(tblGunluk[VarlikId],$A208,tblGunluk[FormulPr_oran]),0))</f>
        <v/>
      </c>
      <c r="K208" s="19">
        <f>IF($A208="","",SUMIF(tblGunluk[VarlikId],$A208,tblGunluk[KayipKwh_kwh]))</f>
        <v/>
      </c>
      <c r="L208" s="19">
        <f>IF($A208="","",MAX(0,MIN(100,gup_kaliteTaban-IF($J208&lt;gup_esikPr,gup_kaliteCeza,0)-COUNTIFS(tblGunluk[VarlikId],$A208,tblGunluk[AlarmBayrak],"ALARM")*gup_kaliteSapma-IF($H208="HAYIR",gup_kaliteCeza,0))))</f>
        <v/>
      </c>
    </row>
    <row r="209">
      <c r="A209" s="15" t="n"/>
      <c r="B209" s="15" t="n"/>
      <c r="C209" s="15" t="n"/>
      <c r="D209" s="16" t="n"/>
      <c r="E209" s="17" t="n"/>
      <c r="F209" s="15" t="n"/>
      <c r="G209" s="18" t="n"/>
      <c r="H209" s="15" t="n"/>
      <c r="I209" s="19">
        <f>IF($A209="","",SUMIF(tblGunluk[VarlikId],$A209,tblGunluk[UretimKwh_kwh]))</f>
        <v/>
      </c>
      <c r="J209" s="19">
        <f>IF($A209="","",IFERROR(AVERAGEIF(tblGunluk[VarlikId],$A209,tblGunluk[FormulPr_oran]),0))</f>
        <v/>
      </c>
      <c r="K209" s="19">
        <f>IF($A209="","",SUMIF(tblGunluk[VarlikId],$A209,tblGunluk[KayipKwh_kwh]))</f>
        <v/>
      </c>
      <c r="L209" s="19">
        <f>IF($A209="","",MAX(0,MIN(100,gup_kaliteTaban-IF($J209&lt;gup_esikPr,gup_kaliteCeza,0)-COUNTIFS(tblGunluk[VarlikId],$A209,tblGunluk[AlarmBayrak],"ALARM")*gup_kaliteSapma-IF($H209="HAYIR",gup_kaliteCeza,0))))</f>
        <v/>
      </c>
    </row>
    <row r="210">
      <c r="A210" s="15" t="n"/>
      <c r="B210" s="15" t="n"/>
      <c r="C210" s="15" t="n"/>
      <c r="D210" s="16" t="n"/>
      <c r="E210" s="17" t="n"/>
      <c r="F210" s="15" t="n"/>
      <c r="G210" s="18" t="n"/>
      <c r="H210" s="15" t="n"/>
      <c r="I210" s="19">
        <f>IF($A210="","",SUMIF(tblGunluk[VarlikId],$A210,tblGunluk[UretimKwh_kwh]))</f>
        <v/>
      </c>
      <c r="J210" s="19">
        <f>IF($A210="","",IFERROR(AVERAGEIF(tblGunluk[VarlikId],$A210,tblGunluk[FormulPr_oran]),0))</f>
        <v/>
      </c>
      <c r="K210" s="19">
        <f>IF($A210="","",SUMIF(tblGunluk[VarlikId],$A210,tblGunluk[KayipKwh_kwh]))</f>
        <v/>
      </c>
      <c r="L210" s="19">
        <f>IF($A210="","",MAX(0,MIN(100,gup_kaliteTaban-IF($J210&lt;gup_esikPr,gup_kaliteCeza,0)-COUNTIFS(tblGunluk[VarlikId],$A210,tblGunluk[AlarmBayrak],"ALARM")*gup_kaliteSapma-IF($H210="HAYIR",gup_kaliteCeza,0))))</f>
        <v/>
      </c>
    </row>
    <row r="211">
      <c r="A211" s="15" t="n"/>
      <c r="B211" s="15" t="n"/>
      <c r="C211" s="15" t="n"/>
      <c r="D211" s="16" t="n"/>
      <c r="E211" s="17" t="n"/>
      <c r="F211" s="15" t="n"/>
      <c r="G211" s="18" t="n"/>
      <c r="H211" s="15" t="n"/>
      <c r="I211" s="19">
        <f>IF($A211="","",SUMIF(tblGunluk[VarlikId],$A211,tblGunluk[UretimKwh_kwh]))</f>
        <v/>
      </c>
      <c r="J211" s="19">
        <f>IF($A211="","",IFERROR(AVERAGEIF(tblGunluk[VarlikId],$A211,tblGunluk[FormulPr_oran]),0))</f>
        <v/>
      </c>
      <c r="K211" s="19">
        <f>IF($A211="","",SUMIF(tblGunluk[VarlikId],$A211,tblGunluk[KayipKwh_kwh]))</f>
        <v/>
      </c>
      <c r="L211" s="19">
        <f>IF($A211="","",MAX(0,MIN(100,gup_kaliteTaban-IF($J211&lt;gup_esikPr,gup_kaliteCeza,0)-COUNTIFS(tblGunluk[VarlikId],$A211,tblGunluk[AlarmBayrak],"ALARM")*gup_kaliteSapma-IF($H211="HAYIR",gup_kaliteCeza,0))))</f>
        <v/>
      </c>
    </row>
    <row r="212">
      <c r="A212" s="15" t="n"/>
      <c r="B212" s="15" t="n"/>
      <c r="C212" s="15" t="n"/>
      <c r="D212" s="16" t="n"/>
      <c r="E212" s="17" t="n"/>
      <c r="F212" s="15" t="n"/>
      <c r="G212" s="18" t="n"/>
      <c r="H212" s="15" t="n"/>
      <c r="I212" s="19">
        <f>IF($A212="","",SUMIF(tblGunluk[VarlikId],$A212,tblGunluk[UretimKwh_kwh]))</f>
        <v/>
      </c>
      <c r="J212" s="19">
        <f>IF($A212="","",IFERROR(AVERAGEIF(tblGunluk[VarlikId],$A212,tblGunluk[FormulPr_oran]),0))</f>
        <v/>
      </c>
      <c r="K212" s="19">
        <f>IF($A212="","",SUMIF(tblGunluk[VarlikId],$A212,tblGunluk[KayipKwh_kwh]))</f>
        <v/>
      </c>
      <c r="L212" s="19">
        <f>IF($A212="","",MAX(0,MIN(100,gup_kaliteTaban-IF($J212&lt;gup_esikPr,gup_kaliteCeza,0)-COUNTIFS(tblGunluk[VarlikId],$A212,tblGunluk[AlarmBayrak],"ALARM")*gup_kaliteSapma-IF($H212="HAYIR",gup_kaliteCeza,0))))</f>
        <v/>
      </c>
    </row>
    <row r="213">
      <c r="A213" s="15" t="n"/>
      <c r="B213" s="15" t="n"/>
      <c r="C213" s="15" t="n"/>
      <c r="D213" s="16" t="n"/>
      <c r="E213" s="17" t="n"/>
      <c r="F213" s="15" t="n"/>
      <c r="G213" s="18" t="n"/>
      <c r="H213" s="15" t="n"/>
      <c r="I213" s="19">
        <f>IF($A213="","",SUMIF(tblGunluk[VarlikId],$A213,tblGunluk[UretimKwh_kwh]))</f>
        <v/>
      </c>
      <c r="J213" s="19">
        <f>IF($A213="","",IFERROR(AVERAGEIF(tblGunluk[VarlikId],$A213,tblGunluk[FormulPr_oran]),0))</f>
        <v/>
      </c>
      <c r="K213" s="19">
        <f>IF($A213="","",SUMIF(tblGunluk[VarlikId],$A213,tblGunluk[KayipKwh_kwh]))</f>
        <v/>
      </c>
      <c r="L213" s="19">
        <f>IF($A213="","",MAX(0,MIN(100,gup_kaliteTaban-IF($J213&lt;gup_esikPr,gup_kaliteCeza,0)-COUNTIFS(tblGunluk[VarlikId],$A213,tblGunluk[AlarmBayrak],"ALARM")*gup_kaliteSapma-IF($H213="HAYIR",gup_kaliteCeza,0))))</f>
        <v/>
      </c>
    </row>
    <row r="214">
      <c r="A214" s="15" t="n"/>
      <c r="B214" s="15" t="n"/>
      <c r="C214" s="15" t="n"/>
      <c r="D214" s="16" t="n"/>
      <c r="E214" s="17" t="n"/>
      <c r="F214" s="15" t="n"/>
      <c r="G214" s="18" t="n"/>
      <c r="H214" s="15" t="n"/>
      <c r="I214" s="19">
        <f>IF($A214="","",SUMIF(tblGunluk[VarlikId],$A214,tblGunluk[UretimKwh_kwh]))</f>
        <v/>
      </c>
      <c r="J214" s="19">
        <f>IF($A214="","",IFERROR(AVERAGEIF(tblGunluk[VarlikId],$A214,tblGunluk[FormulPr_oran]),0))</f>
        <v/>
      </c>
      <c r="K214" s="19">
        <f>IF($A214="","",SUMIF(tblGunluk[VarlikId],$A214,tblGunluk[KayipKwh_kwh]))</f>
        <v/>
      </c>
      <c r="L214" s="19">
        <f>IF($A214="","",MAX(0,MIN(100,gup_kaliteTaban-IF($J214&lt;gup_esikPr,gup_kaliteCeza,0)-COUNTIFS(tblGunluk[VarlikId],$A214,tblGunluk[AlarmBayrak],"ALARM")*gup_kaliteSapma-IF($H214="HAYIR",gup_kaliteCeza,0))))</f>
        <v/>
      </c>
    </row>
    <row r="215">
      <c r="A215" s="15" t="n"/>
      <c r="B215" s="15" t="n"/>
      <c r="C215" s="15" t="n"/>
      <c r="D215" s="16" t="n"/>
      <c r="E215" s="17" t="n"/>
      <c r="F215" s="15" t="n"/>
      <c r="G215" s="18" t="n"/>
      <c r="H215" s="15" t="n"/>
      <c r="I215" s="19">
        <f>IF($A215="","",SUMIF(tblGunluk[VarlikId],$A215,tblGunluk[UretimKwh_kwh]))</f>
        <v/>
      </c>
      <c r="J215" s="19">
        <f>IF($A215="","",IFERROR(AVERAGEIF(tblGunluk[VarlikId],$A215,tblGunluk[FormulPr_oran]),0))</f>
        <v/>
      </c>
      <c r="K215" s="19">
        <f>IF($A215="","",SUMIF(tblGunluk[VarlikId],$A215,tblGunluk[KayipKwh_kwh]))</f>
        <v/>
      </c>
      <c r="L215" s="19">
        <f>IF($A215="","",MAX(0,MIN(100,gup_kaliteTaban-IF($J215&lt;gup_esikPr,gup_kaliteCeza,0)-COUNTIFS(tblGunluk[VarlikId],$A215,tblGunluk[AlarmBayrak],"ALARM")*gup_kaliteSapma-IF($H215="HAYIR",gup_kaliteCeza,0))))</f>
        <v/>
      </c>
    </row>
    <row r="216">
      <c r="A216" s="15" t="n"/>
      <c r="B216" s="15" t="n"/>
      <c r="C216" s="15" t="n"/>
      <c r="D216" s="16" t="n"/>
      <c r="E216" s="17" t="n"/>
      <c r="F216" s="15" t="n"/>
      <c r="G216" s="18" t="n"/>
      <c r="H216" s="15" t="n"/>
      <c r="I216" s="19">
        <f>IF($A216="","",SUMIF(tblGunluk[VarlikId],$A216,tblGunluk[UretimKwh_kwh]))</f>
        <v/>
      </c>
      <c r="J216" s="19">
        <f>IF($A216="","",IFERROR(AVERAGEIF(tblGunluk[VarlikId],$A216,tblGunluk[FormulPr_oran]),0))</f>
        <v/>
      </c>
      <c r="K216" s="19">
        <f>IF($A216="","",SUMIF(tblGunluk[VarlikId],$A216,tblGunluk[KayipKwh_kwh]))</f>
        <v/>
      </c>
      <c r="L216" s="19">
        <f>IF($A216="","",MAX(0,MIN(100,gup_kaliteTaban-IF($J216&lt;gup_esikPr,gup_kaliteCeza,0)-COUNTIFS(tblGunluk[VarlikId],$A216,tblGunluk[AlarmBayrak],"ALARM")*gup_kaliteSapma-IF($H216="HAYIR",gup_kaliteCeza,0))))</f>
        <v/>
      </c>
    </row>
    <row r="217">
      <c r="A217" s="15" t="n"/>
      <c r="B217" s="15" t="n"/>
      <c r="C217" s="15" t="n"/>
      <c r="D217" s="16" t="n"/>
      <c r="E217" s="17" t="n"/>
      <c r="F217" s="15" t="n"/>
      <c r="G217" s="18" t="n"/>
      <c r="H217" s="15" t="n"/>
      <c r="I217" s="19">
        <f>IF($A217="","",SUMIF(tblGunluk[VarlikId],$A217,tblGunluk[UretimKwh_kwh]))</f>
        <v/>
      </c>
      <c r="J217" s="19">
        <f>IF($A217="","",IFERROR(AVERAGEIF(tblGunluk[VarlikId],$A217,tblGunluk[FormulPr_oran]),0))</f>
        <v/>
      </c>
      <c r="K217" s="19">
        <f>IF($A217="","",SUMIF(tblGunluk[VarlikId],$A217,tblGunluk[KayipKwh_kwh]))</f>
        <v/>
      </c>
      <c r="L217" s="19">
        <f>IF($A217="","",MAX(0,MIN(100,gup_kaliteTaban-IF($J217&lt;gup_esikPr,gup_kaliteCeza,0)-COUNTIFS(tblGunluk[VarlikId],$A217,tblGunluk[AlarmBayrak],"ALARM")*gup_kaliteSapma-IF($H217="HAYIR",gup_kaliteCeza,0))))</f>
        <v/>
      </c>
    </row>
    <row r="218">
      <c r="A218" s="15" t="n"/>
      <c r="B218" s="15" t="n"/>
      <c r="C218" s="15" t="n"/>
      <c r="D218" s="16" t="n"/>
      <c r="E218" s="17" t="n"/>
      <c r="F218" s="15" t="n"/>
      <c r="G218" s="18" t="n"/>
      <c r="H218" s="15" t="n"/>
      <c r="I218" s="19">
        <f>IF($A218="","",SUMIF(tblGunluk[VarlikId],$A218,tblGunluk[UretimKwh_kwh]))</f>
        <v/>
      </c>
      <c r="J218" s="19">
        <f>IF($A218="","",IFERROR(AVERAGEIF(tblGunluk[VarlikId],$A218,tblGunluk[FormulPr_oran]),0))</f>
        <v/>
      </c>
      <c r="K218" s="19">
        <f>IF($A218="","",SUMIF(tblGunluk[VarlikId],$A218,tblGunluk[KayipKwh_kwh]))</f>
        <v/>
      </c>
      <c r="L218" s="19">
        <f>IF($A218="","",MAX(0,MIN(100,gup_kaliteTaban-IF($J218&lt;gup_esikPr,gup_kaliteCeza,0)-COUNTIFS(tblGunluk[VarlikId],$A218,tblGunluk[AlarmBayrak],"ALARM")*gup_kaliteSapma-IF($H218="HAYIR",gup_kaliteCeza,0))))</f>
        <v/>
      </c>
    </row>
    <row r="219">
      <c r="A219" s="15" t="n"/>
      <c r="B219" s="15" t="n"/>
      <c r="C219" s="15" t="n"/>
      <c r="D219" s="16" t="n"/>
      <c r="E219" s="17" t="n"/>
      <c r="F219" s="15" t="n"/>
      <c r="G219" s="18" t="n"/>
      <c r="H219" s="15" t="n"/>
      <c r="I219" s="19">
        <f>IF($A219="","",SUMIF(tblGunluk[VarlikId],$A219,tblGunluk[UretimKwh_kwh]))</f>
        <v/>
      </c>
      <c r="J219" s="19">
        <f>IF($A219="","",IFERROR(AVERAGEIF(tblGunluk[VarlikId],$A219,tblGunluk[FormulPr_oran]),0))</f>
        <v/>
      </c>
      <c r="K219" s="19">
        <f>IF($A219="","",SUMIF(tblGunluk[VarlikId],$A219,tblGunluk[KayipKwh_kwh]))</f>
        <v/>
      </c>
      <c r="L219" s="19">
        <f>IF($A219="","",MAX(0,MIN(100,gup_kaliteTaban-IF($J219&lt;gup_esikPr,gup_kaliteCeza,0)-COUNTIFS(tblGunluk[VarlikId],$A219,tblGunluk[AlarmBayrak],"ALARM")*gup_kaliteSapma-IF($H219="HAYIR",gup_kaliteCeza,0))))</f>
        <v/>
      </c>
    </row>
    <row r="220">
      <c r="A220" s="15" t="n"/>
      <c r="B220" s="15" t="n"/>
      <c r="C220" s="15" t="n"/>
      <c r="D220" s="16" t="n"/>
      <c r="E220" s="17" t="n"/>
      <c r="F220" s="15" t="n"/>
      <c r="G220" s="18" t="n"/>
      <c r="H220" s="15" t="n"/>
      <c r="I220" s="19">
        <f>IF($A220="","",SUMIF(tblGunluk[VarlikId],$A220,tblGunluk[UretimKwh_kwh]))</f>
        <v/>
      </c>
      <c r="J220" s="19">
        <f>IF($A220="","",IFERROR(AVERAGEIF(tblGunluk[VarlikId],$A220,tblGunluk[FormulPr_oran]),0))</f>
        <v/>
      </c>
      <c r="K220" s="19">
        <f>IF($A220="","",SUMIF(tblGunluk[VarlikId],$A220,tblGunluk[KayipKwh_kwh]))</f>
        <v/>
      </c>
      <c r="L220" s="19">
        <f>IF($A220="","",MAX(0,MIN(100,gup_kaliteTaban-IF($J220&lt;gup_esikPr,gup_kaliteCeza,0)-COUNTIFS(tblGunluk[VarlikId],$A220,tblGunluk[AlarmBayrak],"ALARM")*gup_kaliteSapma-IF($H220="HAYIR",gup_kaliteCeza,0))))</f>
        <v/>
      </c>
    </row>
    <row r="221">
      <c r="A221" s="15" t="n"/>
      <c r="B221" s="15" t="n"/>
      <c r="C221" s="15" t="n"/>
      <c r="D221" s="16" t="n"/>
      <c r="E221" s="17" t="n"/>
      <c r="F221" s="15" t="n"/>
      <c r="G221" s="18" t="n"/>
      <c r="H221" s="15" t="n"/>
      <c r="I221" s="19">
        <f>IF($A221="","",SUMIF(tblGunluk[VarlikId],$A221,tblGunluk[UretimKwh_kwh]))</f>
        <v/>
      </c>
      <c r="J221" s="19">
        <f>IF($A221="","",IFERROR(AVERAGEIF(tblGunluk[VarlikId],$A221,tblGunluk[FormulPr_oran]),0))</f>
        <v/>
      </c>
      <c r="K221" s="19">
        <f>IF($A221="","",SUMIF(tblGunluk[VarlikId],$A221,tblGunluk[KayipKwh_kwh]))</f>
        <v/>
      </c>
      <c r="L221" s="19">
        <f>IF($A221="","",MAX(0,MIN(100,gup_kaliteTaban-IF($J221&lt;gup_esikPr,gup_kaliteCeza,0)-COUNTIFS(tblGunluk[VarlikId],$A221,tblGunluk[AlarmBayrak],"ALARM")*gup_kaliteSapma-IF($H221="HAYIR",gup_kaliteCeza,0))))</f>
        <v/>
      </c>
    </row>
    <row r="222">
      <c r="A222" s="15" t="n"/>
      <c r="B222" s="15" t="n"/>
      <c r="C222" s="15" t="n"/>
      <c r="D222" s="16" t="n"/>
      <c r="E222" s="17" t="n"/>
      <c r="F222" s="15" t="n"/>
      <c r="G222" s="18" t="n"/>
      <c r="H222" s="15" t="n"/>
      <c r="I222" s="19">
        <f>IF($A222="","",SUMIF(tblGunluk[VarlikId],$A222,tblGunluk[UretimKwh_kwh]))</f>
        <v/>
      </c>
      <c r="J222" s="19">
        <f>IF($A222="","",IFERROR(AVERAGEIF(tblGunluk[VarlikId],$A222,tblGunluk[FormulPr_oran]),0))</f>
        <v/>
      </c>
      <c r="K222" s="19">
        <f>IF($A222="","",SUMIF(tblGunluk[VarlikId],$A222,tblGunluk[KayipKwh_kwh]))</f>
        <v/>
      </c>
      <c r="L222" s="19">
        <f>IF($A222="","",MAX(0,MIN(100,gup_kaliteTaban-IF($J222&lt;gup_esikPr,gup_kaliteCeza,0)-COUNTIFS(tblGunluk[VarlikId],$A222,tblGunluk[AlarmBayrak],"ALARM")*gup_kaliteSapma-IF($H222="HAYIR",gup_kaliteCeza,0))))</f>
        <v/>
      </c>
    </row>
    <row r="223">
      <c r="A223" s="15" t="n"/>
      <c r="B223" s="15" t="n"/>
      <c r="C223" s="15" t="n"/>
      <c r="D223" s="16" t="n"/>
      <c r="E223" s="17" t="n"/>
      <c r="F223" s="15" t="n"/>
      <c r="G223" s="18" t="n"/>
      <c r="H223" s="15" t="n"/>
      <c r="I223" s="19">
        <f>IF($A223="","",SUMIF(tblGunluk[VarlikId],$A223,tblGunluk[UretimKwh_kwh]))</f>
        <v/>
      </c>
      <c r="J223" s="19">
        <f>IF($A223="","",IFERROR(AVERAGEIF(tblGunluk[VarlikId],$A223,tblGunluk[FormulPr_oran]),0))</f>
        <v/>
      </c>
      <c r="K223" s="19">
        <f>IF($A223="","",SUMIF(tblGunluk[VarlikId],$A223,tblGunluk[KayipKwh_kwh]))</f>
        <v/>
      </c>
      <c r="L223" s="19">
        <f>IF($A223="","",MAX(0,MIN(100,gup_kaliteTaban-IF($J223&lt;gup_esikPr,gup_kaliteCeza,0)-COUNTIFS(tblGunluk[VarlikId],$A223,tblGunluk[AlarmBayrak],"ALARM")*gup_kaliteSapma-IF($H223="HAYIR",gup_kaliteCeza,0))))</f>
        <v/>
      </c>
    </row>
    <row r="224">
      <c r="A224" s="15" t="n"/>
      <c r="B224" s="15" t="n"/>
      <c r="C224" s="15" t="n"/>
      <c r="D224" s="16" t="n"/>
      <c r="E224" s="17" t="n"/>
      <c r="F224" s="15" t="n"/>
      <c r="G224" s="18" t="n"/>
      <c r="H224" s="15" t="n"/>
      <c r="I224" s="19">
        <f>IF($A224="","",SUMIF(tblGunluk[VarlikId],$A224,tblGunluk[UretimKwh_kwh]))</f>
        <v/>
      </c>
      <c r="J224" s="19">
        <f>IF($A224="","",IFERROR(AVERAGEIF(tblGunluk[VarlikId],$A224,tblGunluk[FormulPr_oran]),0))</f>
        <v/>
      </c>
      <c r="K224" s="19">
        <f>IF($A224="","",SUMIF(tblGunluk[VarlikId],$A224,tblGunluk[KayipKwh_kwh]))</f>
        <v/>
      </c>
      <c r="L224" s="19">
        <f>IF($A224="","",MAX(0,MIN(100,gup_kaliteTaban-IF($J224&lt;gup_esikPr,gup_kaliteCeza,0)-COUNTIFS(tblGunluk[VarlikId],$A224,tblGunluk[AlarmBayrak],"ALARM")*gup_kaliteSapma-IF($H224="HAYIR",gup_kaliteCeza,0))))</f>
        <v/>
      </c>
    </row>
    <row r="225">
      <c r="A225" s="15" t="n"/>
      <c r="B225" s="15" t="n"/>
      <c r="C225" s="15" t="n"/>
      <c r="D225" s="16" t="n"/>
      <c r="E225" s="17" t="n"/>
      <c r="F225" s="15" t="n"/>
      <c r="G225" s="18" t="n"/>
      <c r="H225" s="15" t="n"/>
      <c r="I225" s="19">
        <f>IF($A225="","",SUMIF(tblGunluk[VarlikId],$A225,tblGunluk[UretimKwh_kwh]))</f>
        <v/>
      </c>
      <c r="J225" s="19">
        <f>IF($A225="","",IFERROR(AVERAGEIF(tblGunluk[VarlikId],$A225,tblGunluk[FormulPr_oran]),0))</f>
        <v/>
      </c>
      <c r="K225" s="19">
        <f>IF($A225="","",SUMIF(tblGunluk[VarlikId],$A225,tblGunluk[KayipKwh_kwh]))</f>
        <v/>
      </c>
      <c r="L225" s="19">
        <f>IF($A225="","",MAX(0,MIN(100,gup_kaliteTaban-IF($J225&lt;gup_esikPr,gup_kaliteCeza,0)-COUNTIFS(tblGunluk[VarlikId],$A225,tblGunluk[AlarmBayrak],"ALARM")*gup_kaliteSapma-IF($H225="HAYIR",gup_kaliteCeza,0))))</f>
        <v/>
      </c>
    </row>
    <row r="226">
      <c r="A226" s="15" t="n"/>
      <c r="B226" s="15" t="n"/>
      <c r="C226" s="15" t="n"/>
      <c r="D226" s="16" t="n"/>
      <c r="E226" s="17" t="n"/>
      <c r="F226" s="15" t="n"/>
      <c r="G226" s="18" t="n"/>
      <c r="H226" s="15" t="n"/>
      <c r="I226" s="19">
        <f>IF($A226="","",SUMIF(tblGunluk[VarlikId],$A226,tblGunluk[UretimKwh_kwh]))</f>
        <v/>
      </c>
      <c r="J226" s="19">
        <f>IF($A226="","",IFERROR(AVERAGEIF(tblGunluk[VarlikId],$A226,tblGunluk[FormulPr_oran]),0))</f>
        <v/>
      </c>
      <c r="K226" s="19">
        <f>IF($A226="","",SUMIF(tblGunluk[VarlikId],$A226,tblGunluk[KayipKwh_kwh]))</f>
        <v/>
      </c>
      <c r="L226" s="19">
        <f>IF($A226="","",MAX(0,MIN(100,gup_kaliteTaban-IF($J226&lt;gup_esikPr,gup_kaliteCeza,0)-COUNTIFS(tblGunluk[VarlikId],$A226,tblGunluk[AlarmBayrak],"ALARM")*gup_kaliteSapma-IF($H226="HAYIR",gup_kaliteCeza,0))))</f>
        <v/>
      </c>
    </row>
    <row r="227">
      <c r="A227" s="15" t="n"/>
      <c r="B227" s="15" t="n"/>
      <c r="C227" s="15" t="n"/>
      <c r="D227" s="16" t="n"/>
      <c r="E227" s="17" t="n"/>
      <c r="F227" s="15" t="n"/>
      <c r="G227" s="18" t="n"/>
      <c r="H227" s="15" t="n"/>
      <c r="I227" s="19">
        <f>IF($A227="","",SUMIF(tblGunluk[VarlikId],$A227,tblGunluk[UretimKwh_kwh]))</f>
        <v/>
      </c>
      <c r="J227" s="19">
        <f>IF($A227="","",IFERROR(AVERAGEIF(tblGunluk[VarlikId],$A227,tblGunluk[FormulPr_oran]),0))</f>
        <v/>
      </c>
      <c r="K227" s="19">
        <f>IF($A227="","",SUMIF(tblGunluk[VarlikId],$A227,tblGunluk[KayipKwh_kwh]))</f>
        <v/>
      </c>
      <c r="L227" s="19">
        <f>IF($A227="","",MAX(0,MIN(100,gup_kaliteTaban-IF($J227&lt;gup_esikPr,gup_kaliteCeza,0)-COUNTIFS(tblGunluk[VarlikId],$A227,tblGunluk[AlarmBayrak],"ALARM")*gup_kaliteSapma-IF($H227="HAYIR",gup_kaliteCeza,0))))</f>
        <v/>
      </c>
    </row>
    <row r="228">
      <c r="A228" s="15" t="n"/>
      <c r="B228" s="15" t="n"/>
      <c r="C228" s="15" t="n"/>
      <c r="D228" s="16" t="n"/>
      <c r="E228" s="17" t="n"/>
      <c r="F228" s="15" t="n"/>
      <c r="G228" s="18" t="n"/>
      <c r="H228" s="15" t="n"/>
      <c r="I228" s="19">
        <f>IF($A228="","",SUMIF(tblGunluk[VarlikId],$A228,tblGunluk[UretimKwh_kwh]))</f>
        <v/>
      </c>
      <c r="J228" s="19">
        <f>IF($A228="","",IFERROR(AVERAGEIF(tblGunluk[VarlikId],$A228,tblGunluk[FormulPr_oran]),0))</f>
        <v/>
      </c>
      <c r="K228" s="19">
        <f>IF($A228="","",SUMIF(tblGunluk[VarlikId],$A228,tblGunluk[KayipKwh_kwh]))</f>
        <v/>
      </c>
      <c r="L228" s="19">
        <f>IF($A228="","",MAX(0,MIN(100,gup_kaliteTaban-IF($J228&lt;gup_esikPr,gup_kaliteCeza,0)-COUNTIFS(tblGunluk[VarlikId],$A228,tblGunluk[AlarmBayrak],"ALARM")*gup_kaliteSapma-IF($H228="HAYIR",gup_kaliteCeza,0))))</f>
        <v/>
      </c>
    </row>
    <row r="229">
      <c r="A229" s="15" t="n"/>
      <c r="B229" s="15" t="n"/>
      <c r="C229" s="15" t="n"/>
      <c r="D229" s="16" t="n"/>
      <c r="E229" s="17" t="n"/>
      <c r="F229" s="15" t="n"/>
      <c r="G229" s="18" t="n"/>
      <c r="H229" s="15" t="n"/>
      <c r="I229" s="19">
        <f>IF($A229="","",SUMIF(tblGunluk[VarlikId],$A229,tblGunluk[UretimKwh_kwh]))</f>
        <v/>
      </c>
      <c r="J229" s="19">
        <f>IF($A229="","",IFERROR(AVERAGEIF(tblGunluk[VarlikId],$A229,tblGunluk[FormulPr_oran]),0))</f>
        <v/>
      </c>
      <c r="K229" s="19">
        <f>IF($A229="","",SUMIF(tblGunluk[VarlikId],$A229,tblGunluk[KayipKwh_kwh]))</f>
        <v/>
      </c>
      <c r="L229" s="19">
        <f>IF($A229="","",MAX(0,MIN(100,gup_kaliteTaban-IF($J229&lt;gup_esikPr,gup_kaliteCeza,0)-COUNTIFS(tblGunluk[VarlikId],$A229,tblGunluk[AlarmBayrak],"ALARM")*gup_kaliteSapma-IF($H229="HAYIR",gup_kaliteCeza,0))))</f>
        <v/>
      </c>
    </row>
    <row r="230">
      <c r="A230" s="15" t="n"/>
      <c r="B230" s="15" t="n"/>
      <c r="C230" s="15" t="n"/>
      <c r="D230" s="16" t="n"/>
      <c r="E230" s="17" t="n"/>
      <c r="F230" s="15" t="n"/>
      <c r="G230" s="18" t="n"/>
      <c r="H230" s="15" t="n"/>
      <c r="I230" s="19">
        <f>IF($A230="","",SUMIF(tblGunluk[VarlikId],$A230,tblGunluk[UretimKwh_kwh]))</f>
        <v/>
      </c>
      <c r="J230" s="19">
        <f>IF($A230="","",IFERROR(AVERAGEIF(tblGunluk[VarlikId],$A230,tblGunluk[FormulPr_oran]),0))</f>
        <v/>
      </c>
      <c r="K230" s="19">
        <f>IF($A230="","",SUMIF(tblGunluk[VarlikId],$A230,tblGunluk[KayipKwh_kwh]))</f>
        <v/>
      </c>
      <c r="L230" s="19">
        <f>IF($A230="","",MAX(0,MIN(100,gup_kaliteTaban-IF($J230&lt;gup_esikPr,gup_kaliteCeza,0)-COUNTIFS(tblGunluk[VarlikId],$A230,tblGunluk[AlarmBayrak],"ALARM")*gup_kaliteSapma-IF($H230="HAYIR",gup_kaliteCeza,0))))</f>
        <v/>
      </c>
    </row>
    <row r="231">
      <c r="A231" s="15" t="n"/>
      <c r="B231" s="15" t="n"/>
      <c r="C231" s="15" t="n"/>
      <c r="D231" s="16" t="n"/>
      <c r="E231" s="17" t="n"/>
      <c r="F231" s="15" t="n"/>
      <c r="G231" s="18" t="n"/>
      <c r="H231" s="15" t="n"/>
      <c r="I231" s="19">
        <f>IF($A231="","",SUMIF(tblGunluk[VarlikId],$A231,tblGunluk[UretimKwh_kwh]))</f>
        <v/>
      </c>
      <c r="J231" s="19">
        <f>IF($A231="","",IFERROR(AVERAGEIF(tblGunluk[VarlikId],$A231,tblGunluk[FormulPr_oran]),0))</f>
        <v/>
      </c>
      <c r="K231" s="19">
        <f>IF($A231="","",SUMIF(tblGunluk[VarlikId],$A231,tblGunluk[KayipKwh_kwh]))</f>
        <v/>
      </c>
      <c r="L231" s="19">
        <f>IF($A231="","",MAX(0,MIN(100,gup_kaliteTaban-IF($J231&lt;gup_esikPr,gup_kaliteCeza,0)-COUNTIFS(tblGunluk[VarlikId],$A231,tblGunluk[AlarmBayrak],"ALARM")*gup_kaliteSapma-IF($H231="HAYIR",gup_kaliteCeza,0))))</f>
        <v/>
      </c>
    </row>
    <row r="232">
      <c r="A232" s="15" t="n"/>
      <c r="B232" s="15" t="n"/>
      <c r="C232" s="15" t="n"/>
      <c r="D232" s="16" t="n"/>
      <c r="E232" s="17" t="n"/>
      <c r="F232" s="15" t="n"/>
      <c r="G232" s="18" t="n"/>
      <c r="H232" s="15" t="n"/>
      <c r="I232" s="19">
        <f>IF($A232="","",SUMIF(tblGunluk[VarlikId],$A232,tblGunluk[UretimKwh_kwh]))</f>
        <v/>
      </c>
      <c r="J232" s="19">
        <f>IF($A232="","",IFERROR(AVERAGEIF(tblGunluk[VarlikId],$A232,tblGunluk[FormulPr_oran]),0))</f>
        <v/>
      </c>
      <c r="K232" s="19">
        <f>IF($A232="","",SUMIF(tblGunluk[VarlikId],$A232,tblGunluk[KayipKwh_kwh]))</f>
        <v/>
      </c>
      <c r="L232" s="19">
        <f>IF($A232="","",MAX(0,MIN(100,gup_kaliteTaban-IF($J232&lt;gup_esikPr,gup_kaliteCeza,0)-COUNTIFS(tblGunluk[VarlikId],$A232,tblGunluk[AlarmBayrak],"ALARM")*gup_kaliteSapma-IF($H232="HAYIR",gup_kaliteCeza,0))))</f>
        <v/>
      </c>
    </row>
    <row r="233">
      <c r="A233" s="15" t="n"/>
      <c r="B233" s="15" t="n"/>
      <c r="C233" s="15" t="n"/>
      <c r="D233" s="16" t="n"/>
      <c r="E233" s="17" t="n"/>
      <c r="F233" s="15" t="n"/>
      <c r="G233" s="18" t="n"/>
      <c r="H233" s="15" t="n"/>
      <c r="I233" s="19">
        <f>IF($A233="","",SUMIF(tblGunluk[VarlikId],$A233,tblGunluk[UretimKwh_kwh]))</f>
        <v/>
      </c>
      <c r="J233" s="19">
        <f>IF($A233="","",IFERROR(AVERAGEIF(tblGunluk[VarlikId],$A233,tblGunluk[FormulPr_oran]),0))</f>
        <v/>
      </c>
      <c r="K233" s="19">
        <f>IF($A233="","",SUMIF(tblGunluk[VarlikId],$A233,tblGunluk[KayipKwh_kwh]))</f>
        <v/>
      </c>
      <c r="L233" s="19">
        <f>IF($A233="","",MAX(0,MIN(100,gup_kaliteTaban-IF($J233&lt;gup_esikPr,gup_kaliteCeza,0)-COUNTIFS(tblGunluk[VarlikId],$A233,tblGunluk[AlarmBayrak],"ALARM")*gup_kaliteSapma-IF($H233="HAYIR",gup_kaliteCeza,0))))</f>
        <v/>
      </c>
    </row>
    <row r="234">
      <c r="A234" s="15" t="n"/>
      <c r="B234" s="15" t="n"/>
      <c r="C234" s="15" t="n"/>
      <c r="D234" s="16" t="n"/>
      <c r="E234" s="17" t="n"/>
      <c r="F234" s="15" t="n"/>
      <c r="G234" s="18" t="n"/>
      <c r="H234" s="15" t="n"/>
      <c r="I234" s="19">
        <f>IF($A234="","",SUMIF(tblGunluk[VarlikId],$A234,tblGunluk[UretimKwh_kwh]))</f>
        <v/>
      </c>
      <c r="J234" s="19">
        <f>IF($A234="","",IFERROR(AVERAGEIF(tblGunluk[VarlikId],$A234,tblGunluk[FormulPr_oran]),0))</f>
        <v/>
      </c>
      <c r="K234" s="19">
        <f>IF($A234="","",SUMIF(tblGunluk[VarlikId],$A234,tblGunluk[KayipKwh_kwh]))</f>
        <v/>
      </c>
      <c r="L234" s="19">
        <f>IF($A234="","",MAX(0,MIN(100,gup_kaliteTaban-IF($J234&lt;gup_esikPr,gup_kaliteCeza,0)-COUNTIFS(tblGunluk[VarlikId],$A234,tblGunluk[AlarmBayrak],"ALARM")*gup_kaliteSapma-IF($H234="HAYIR",gup_kaliteCeza,0))))</f>
        <v/>
      </c>
    </row>
    <row r="235">
      <c r="A235" s="15" t="n"/>
      <c r="B235" s="15" t="n"/>
      <c r="C235" s="15" t="n"/>
      <c r="D235" s="16" t="n"/>
      <c r="E235" s="17" t="n"/>
      <c r="F235" s="15" t="n"/>
      <c r="G235" s="18" t="n"/>
      <c r="H235" s="15" t="n"/>
      <c r="I235" s="19">
        <f>IF($A235="","",SUMIF(tblGunluk[VarlikId],$A235,tblGunluk[UretimKwh_kwh]))</f>
        <v/>
      </c>
      <c r="J235" s="19">
        <f>IF($A235="","",IFERROR(AVERAGEIF(tblGunluk[VarlikId],$A235,tblGunluk[FormulPr_oran]),0))</f>
        <v/>
      </c>
      <c r="K235" s="19">
        <f>IF($A235="","",SUMIF(tblGunluk[VarlikId],$A235,tblGunluk[KayipKwh_kwh]))</f>
        <v/>
      </c>
      <c r="L235" s="19">
        <f>IF($A235="","",MAX(0,MIN(100,gup_kaliteTaban-IF($J235&lt;gup_esikPr,gup_kaliteCeza,0)-COUNTIFS(tblGunluk[VarlikId],$A235,tblGunluk[AlarmBayrak],"ALARM")*gup_kaliteSapma-IF($H235="HAYIR",gup_kaliteCeza,0))))</f>
        <v/>
      </c>
    </row>
    <row r="236">
      <c r="A236" s="15" t="n"/>
      <c r="B236" s="15" t="n"/>
      <c r="C236" s="15" t="n"/>
      <c r="D236" s="16" t="n"/>
      <c r="E236" s="17" t="n"/>
      <c r="F236" s="15" t="n"/>
      <c r="G236" s="18" t="n"/>
      <c r="H236" s="15" t="n"/>
      <c r="I236" s="19">
        <f>IF($A236="","",SUMIF(tblGunluk[VarlikId],$A236,tblGunluk[UretimKwh_kwh]))</f>
        <v/>
      </c>
      <c r="J236" s="19">
        <f>IF($A236="","",IFERROR(AVERAGEIF(tblGunluk[VarlikId],$A236,tblGunluk[FormulPr_oran]),0))</f>
        <v/>
      </c>
      <c r="K236" s="19">
        <f>IF($A236="","",SUMIF(tblGunluk[VarlikId],$A236,tblGunluk[KayipKwh_kwh]))</f>
        <v/>
      </c>
      <c r="L236" s="19">
        <f>IF($A236="","",MAX(0,MIN(100,gup_kaliteTaban-IF($J236&lt;gup_esikPr,gup_kaliteCeza,0)-COUNTIFS(tblGunluk[VarlikId],$A236,tblGunluk[AlarmBayrak],"ALARM")*gup_kaliteSapma-IF($H236="HAYIR",gup_kaliteCeza,0))))</f>
        <v/>
      </c>
    </row>
    <row r="237">
      <c r="A237" s="15" t="n"/>
      <c r="B237" s="15" t="n"/>
      <c r="C237" s="15" t="n"/>
      <c r="D237" s="16" t="n"/>
      <c r="E237" s="17" t="n"/>
      <c r="F237" s="15" t="n"/>
      <c r="G237" s="18" t="n"/>
      <c r="H237" s="15" t="n"/>
      <c r="I237" s="19">
        <f>IF($A237="","",SUMIF(tblGunluk[VarlikId],$A237,tblGunluk[UretimKwh_kwh]))</f>
        <v/>
      </c>
      <c r="J237" s="19">
        <f>IF($A237="","",IFERROR(AVERAGEIF(tblGunluk[VarlikId],$A237,tblGunluk[FormulPr_oran]),0))</f>
        <v/>
      </c>
      <c r="K237" s="19">
        <f>IF($A237="","",SUMIF(tblGunluk[VarlikId],$A237,tblGunluk[KayipKwh_kwh]))</f>
        <v/>
      </c>
      <c r="L237" s="19">
        <f>IF($A237="","",MAX(0,MIN(100,gup_kaliteTaban-IF($J237&lt;gup_esikPr,gup_kaliteCeza,0)-COUNTIFS(tblGunluk[VarlikId],$A237,tblGunluk[AlarmBayrak],"ALARM")*gup_kaliteSapma-IF($H237="HAYIR",gup_kaliteCeza,0))))</f>
        <v/>
      </c>
    </row>
    <row r="238">
      <c r="A238" s="15" t="n"/>
      <c r="B238" s="15" t="n"/>
      <c r="C238" s="15" t="n"/>
      <c r="D238" s="16" t="n"/>
      <c r="E238" s="17" t="n"/>
      <c r="F238" s="15" t="n"/>
      <c r="G238" s="18" t="n"/>
      <c r="H238" s="15" t="n"/>
      <c r="I238" s="19">
        <f>IF($A238="","",SUMIF(tblGunluk[VarlikId],$A238,tblGunluk[UretimKwh_kwh]))</f>
        <v/>
      </c>
      <c r="J238" s="19">
        <f>IF($A238="","",IFERROR(AVERAGEIF(tblGunluk[VarlikId],$A238,tblGunluk[FormulPr_oran]),0))</f>
        <v/>
      </c>
      <c r="K238" s="19">
        <f>IF($A238="","",SUMIF(tblGunluk[VarlikId],$A238,tblGunluk[KayipKwh_kwh]))</f>
        <v/>
      </c>
      <c r="L238" s="19">
        <f>IF($A238="","",MAX(0,MIN(100,gup_kaliteTaban-IF($J238&lt;gup_esikPr,gup_kaliteCeza,0)-COUNTIFS(tblGunluk[VarlikId],$A238,tblGunluk[AlarmBayrak],"ALARM")*gup_kaliteSapma-IF($H238="HAYIR",gup_kaliteCeza,0))))</f>
        <v/>
      </c>
    </row>
    <row r="239">
      <c r="A239" s="15" t="n"/>
      <c r="B239" s="15" t="n"/>
      <c r="C239" s="15" t="n"/>
      <c r="D239" s="16" t="n"/>
      <c r="E239" s="17" t="n"/>
      <c r="F239" s="15" t="n"/>
      <c r="G239" s="18" t="n"/>
      <c r="H239" s="15" t="n"/>
      <c r="I239" s="19">
        <f>IF($A239="","",SUMIF(tblGunluk[VarlikId],$A239,tblGunluk[UretimKwh_kwh]))</f>
        <v/>
      </c>
      <c r="J239" s="19">
        <f>IF($A239="","",IFERROR(AVERAGEIF(tblGunluk[VarlikId],$A239,tblGunluk[FormulPr_oran]),0))</f>
        <v/>
      </c>
      <c r="K239" s="19">
        <f>IF($A239="","",SUMIF(tblGunluk[VarlikId],$A239,tblGunluk[KayipKwh_kwh]))</f>
        <v/>
      </c>
      <c r="L239" s="19">
        <f>IF($A239="","",MAX(0,MIN(100,gup_kaliteTaban-IF($J239&lt;gup_esikPr,gup_kaliteCeza,0)-COUNTIFS(tblGunluk[VarlikId],$A239,tblGunluk[AlarmBayrak],"ALARM")*gup_kaliteSapma-IF($H239="HAYIR",gup_kaliteCeza,0))))</f>
        <v/>
      </c>
    </row>
    <row r="240">
      <c r="A240" s="15" t="n"/>
      <c r="B240" s="15" t="n"/>
      <c r="C240" s="15" t="n"/>
      <c r="D240" s="16" t="n"/>
      <c r="E240" s="17" t="n"/>
      <c r="F240" s="15" t="n"/>
      <c r="G240" s="18" t="n"/>
      <c r="H240" s="15" t="n"/>
      <c r="I240" s="19">
        <f>IF($A240="","",SUMIF(tblGunluk[VarlikId],$A240,tblGunluk[UretimKwh_kwh]))</f>
        <v/>
      </c>
      <c r="J240" s="19">
        <f>IF($A240="","",IFERROR(AVERAGEIF(tblGunluk[VarlikId],$A240,tblGunluk[FormulPr_oran]),0))</f>
        <v/>
      </c>
      <c r="K240" s="19">
        <f>IF($A240="","",SUMIF(tblGunluk[VarlikId],$A240,tblGunluk[KayipKwh_kwh]))</f>
        <v/>
      </c>
      <c r="L240" s="19">
        <f>IF($A240="","",MAX(0,MIN(100,gup_kaliteTaban-IF($J240&lt;gup_esikPr,gup_kaliteCeza,0)-COUNTIFS(tblGunluk[VarlikId],$A240,tblGunluk[AlarmBayrak],"ALARM")*gup_kaliteSapma-IF($H240="HAYIR",gup_kaliteCeza,0))))</f>
        <v/>
      </c>
    </row>
    <row r="241">
      <c r="A241" s="15" t="n"/>
      <c r="B241" s="15" t="n"/>
      <c r="C241" s="15" t="n"/>
      <c r="D241" s="16" t="n"/>
      <c r="E241" s="17" t="n"/>
      <c r="F241" s="15" t="n"/>
      <c r="G241" s="18" t="n"/>
      <c r="H241" s="15" t="n"/>
      <c r="I241" s="19">
        <f>IF($A241="","",SUMIF(tblGunluk[VarlikId],$A241,tblGunluk[UretimKwh_kwh]))</f>
        <v/>
      </c>
      <c r="J241" s="19">
        <f>IF($A241="","",IFERROR(AVERAGEIF(tblGunluk[VarlikId],$A241,tblGunluk[FormulPr_oran]),0))</f>
        <v/>
      </c>
      <c r="K241" s="19">
        <f>IF($A241="","",SUMIF(tblGunluk[VarlikId],$A241,tblGunluk[KayipKwh_kwh]))</f>
        <v/>
      </c>
      <c r="L241" s="19">
        <f>IF($A241="","",MAX(0,MIN(100,gup_kaliteTaban-IF($J241&lt;gup_esikPr,gup_kaliteCeza,0)-COUNTIFS(tblGunluk[VarlikId],$A241,tblGunluk[AlarmBayrak],"ALARM")*gup_kaliteSapma-IF($H241="HAYIR",gup_kaliteCeza,0))))</f>
        <v/>
      </c>
    </row>
    <row r="242">
      <c r="A242" s="15" t="n"/>
      <c r="B242" s="15" t="n"/>
      <c r="C242" s="15" t="n"/>
      <c r="D242" s="16" t="n"/>
      <c r="E242" s="17" t="n"/>
      <c r="F242" s="15" t="n"/>
      <c r="G242" s="18" t="n"/>
      <c r="H242" s="15" t="n"/>
      <c r="I242" s="19">
        <f>IF($A242="","",SUMIF(tblGunluk[VarlikId],$A242,tblGunluk[UretimKwh_kwh]))</f>
        <v/>
      </c>
      <c r="J242" s="19">
        <f>IF($A242="","",IFERROR(AVERAGEIF(tblGunluk[VarlikId],$A242,tblGunluk[FormulPr_oran]),0))</f>
        <v/>
      </c>
      <c r="K242" s="19">
        <f>IF($A242="","",SUMIF(tblGunluk[VarlikId],$A242,tblGunluk[KayipKwh_kwh]))</f>
        <v/>
      </c>
      <c r="L242" s="19">
        <f>IF($A242="","",MAX(0,MIN(100,gup_kaliteTaban-IF($J242&lt;gup_esikPr,gup_kaliteCeza,0)-COUNTIFS(tblGunluk[VarlikId],$A242,tblGunluk[AlarmBayrak],"ALARM")*gup_kaliteSapma-IF($H242="HAYIR",gup_kaliteCeza,0))))</f>
        <v/>
      </c>
    </row>
    <row r="243">
      <c r="A243" s="15" t="n"/>
      <c r="B243" s="15" t="n"/>
      <c r="C243" s="15" t="n"/>
      <c r="D243" s="16" t="n"/>
      <c r="E243" s="17" t="n"/>
      <c r="F243" s="15" t="n"/>
      <c r="G243" s="18" t="n"/>
      <c r="H243" s="15" t="n"/>
      <c r="I243" s="19">
        <f>IF($A243="","",SUMIF(tblGunluk[VarlikId],$A243,tblGunluk[UretimKwh_kwh]))</f>
        <v/>
      </c>
      <c r="J243" s="19">
        <f>IF($A243="","",IFERROR(AVERAGEIF(tblGunluk[VarlikId],$A243,tblGunluk[FormulPr_oran]),0))</f>
        <v/>
      </c>
      <c r="K243" s="19">
        <f>IF($A243="","",SUMIF(tblGunluk[VarlikId],$A243,tblGunluk[KayipKwh_kwh]))</f>
        <v/>
      </c>
      <c r="L243" s="19">
        <f>IF($A243="","",MAX(0,MIN(100,gup_kaliteTaban-IF($J243&lt;gup_esikPr,gup_kaliteCeza,0)-COUNTIFS(tblGunluk[VarlikId],$A243,tblGunluk[AlarmBayrak],"ALARM")*gup_kaliteSapma-IF($H243="HAYIR",gup_kaliteCeza,0))))</f>
        <v/>
      </c>
    </row>
    <row r="244">
      <c r="A244" s="15" t="n"/>
      <c r="B244" s="15" t="n"/>
      <c r="C244" s="15" t="n"/>
      <c r="D244" s="16" t="n"/>
      <c r="E244" s="17" t="n"/>
      <c r="F244" s="15" t="n"/>
      <c r="G244" s="18" t="n"/>
      <c r="H244" s="15" t="n"/>
      <c r="I244" s="19">
        <f>IF($A244="","",SUMIF(tblGunluk[VarlikId],$A244,tblGunluk[UretimKwh_kwh]))</f>
        <v/>
      </c>
      <c r="J244" s="19">
        <f>IF($A244="","",IFERROR(AVERAGEIF(tblGunluk[VarlikId],$A244,tblGunluk[FormulPr_oran]),0))</f>
        <v/>
      </c>
      <c r="K244" s="19">
        <f>IF($A244="","",SUMIF(tblGunluk[VarlikId],$A244,tblGunluk[KayipKwh_kwh]))</f>
        <v/>
      </c>
      <c r="L244" s="19">
        <f>IF($A244="","",MAX(0,MIN(100,gup_kaliteTaban-IF($J244&lt;gup_esikPr,gup_kaliteCeza,0)-COUNTIFS(tblGunluk[VarlikId],$A244,tblGunluk[AlarmBayrak],"ALARM")*gup_kaliteSapma-IF($H244="HAYIR",gup_kaliteCeza,0))))</f>
        <v/>
      </c>
    </row>
    <row r="245">
      <c r="A245" s="15" t="n"/>
      <c r="B245" s="15" t="n"/>
      <c r="C245" s="15" t="n"/>
      <c r="D245" s="16" t="n"/>
      <c r="E245" s="17" t="n"/>
      <c r="F245" s="15" t="n"/>
      <c r="G245" s="18" t="n"/>
      <c r="H245" s="15" t="n"/>
      <c r="I245" s="19">
        <f>IF($A245="","",SUMIF(tblGunluk[VarlikId],$A245,tblGunluk[UretimKwh_kwh]))</f>
        <v/>
      </c>
      <c r="J245" s="19">
        <f>IF($A245="","",IFERROR(AVERAGEIF(tblGunluk[VarlikId],$A245,tblGunluk[FormulPr_oran]),0))</f>
        <v/>
      </c>
      <c r="K245" s="19">
        <f>IF($A245="","",SUMIF(tblGunluk[VarlikId],$A245,tblGunluk[KayipKwh_kwh]))</f>
        <v/>
      </c>
      <c r="L245" s="19">
        <f>IF($A245="","",MAX(0,MIN(100,gup_kaliteTaban-IF($J245&lt;gup_esikPr,gup_kaliteCeza,0)-COUNTIFS(tblGunluk[VarlikId],$A245,tblGunluk[AlarmBayrak],"ALARM")*gup_kaliteSapma-IF($H245="HAYIR",gup_kaliteCeza,0))))</f>
        <v/>
      </c>
    </row>
    <row r="246">
      <c r="A246" s="15" t="n"/>
      <c r="B246" s="15" t="n"/>
      <c r="C246" s="15" t="n"/>
      <c r="D246" s="16" t="n"/>
      <c r="E246" s="17" t="n"/>
      <c r="F246" s="15" t="n"/>
      <c r="G246" s="18" t="n"/>
      <c r="H246" s="15" t="n"/>
      <c r="I246" s="19">
        <f>IF($A246="","",SUMIF(tblGunluk[VarlikId],$A246,tblGunluk[UretimKwh_kwh]))</f>
        <v/>
      </c>
      <c r="J246" s="19">
        <f>IF($A246="","",IFERROR(AVERAGEIF(tblGunluk[VarlikId],$A246,tblGunluk[FormulPr_oran]),0))</f>
        <v/>
      </c>
      <c r="K246" s="19">
        <f>IF($A246="","",SUMIF(tblGunluk[VarlikId],$A246,tblGunluk[KayipKwh_kwh]))</f>
        <v/>
      </c>
      <c r="L246" s="19">
        <f>IF($A246="","",MAX(0,MIN(100,gup_kaliteTaban-IF($J246&lt;gup_esikPr,gup_kaliteCeza,0)-COUNTIFS(tblGunluk[VarlikId],$A246,tblGunluk[AlarmBayrak],"ALARM")*gup_kaliteSapma-IF($H246="HAYIR",gup_kaliteCeza,0))))</f>
        <v/>
      </c>
    </row>
    <row r="247">
      <c r="A247" s="15" t="n"/>
      <c r="B247" s="15" t="n"/>
      <c r="C247" s="15" t="n"/>
      <c r="D247" s="16" t="n"/>
      <c r="E247" s="17" t="n"/>
      <c r="F247" s="15" t="n"/>
      <c r="G247" s="18" t="n"/>
      <c r="H247" s="15" t="n"/>
      <c r="I247" s="19">
        <f>IF($A247="","",SUMIF(tblGunluk[VarlikId],$A247,tblGunluk[UretimKwh_kwh]))</f>
        <v/>
      </c>
      <c r="J247" s="19">
        <f>IF($A247="","",IFERROR(AVERAGEIF(tblGunluk[VarlikId],$A247,tblGunluk[FormulPr_oran]),0))</f>
        <v/>
      </c>
      <c r="K247" s="19">
        <f>IF($A247="","",SUMIF(tblGunluk[VarlikId],$A247,tblGunluk[KayipKwh_kwh]))</f>
        <v/>
      </c>
      <c r="L247" s="19">
        <f>IF($A247="","",MAX(0,MIN(100,gup_kaliteTaban-IF($J247&lt;gup_esikPr,gup_kaliteCeza,0)-COUNTIFS(tblGunluk[VarlikId],$A247,tblGunluk[AlarmBayrak],"ALARM")*gup_kaliteSapma-IF($H247="HAYIR",gup_kaliteCeza,0))))</f>
        <v/>
      </c>
    </row>
    <row r="248">
      <c r="A248" s="15" t="n"/>
      <c r="B248" s="15" t="n"/>
      <c r="C248" s="15" t="n"/>
      <c r="D248" s="16" t="n"/>
      <c r="E248" s="17" t="n"/>
      <c r="F248" s="15" t="n"/>
      <c r="G248" s="18" t="n"/>
      <c r="H248" s="15" t="n"/>
      <c r="I248" s="19">
        <f>IF($A248="","",SUMIF(tblGunluk[VarlikId],$A248,tblGunluk[UretimKwh_kwh]))</f>
        <v/>
      </c>
      <c r="J248" s="19">
        <f>IF($A248="","",IFERROR(AVERAGEIF(tblGunluk[VarlikId],$A248,tblGunluk[FormulPr_oran]),0))</f>
        <v/>
      </c>
      <c r="K248" s="19">
        <f>IF($A248="","",SUMIF(tblGunluk[VarlikId],$A248,tblGunluk[KayipKwh_kwh]))</f>
        <v/>
      </c>
      <c r="L248" s="19">
        <f>IF($A248="","",MAX(0,MIN(100,gup_kaliteTaban-IF($J248&lt;gup_esikPr,gup_kaliteCeza,0)-COUNTIFS(tblGunluk[VarlikId],$A248,tblGunluk[AlarmBayrak],"ALARM")*gup_kaliteSapma-IF($H248="HAYIR",gup_kaliteCeza,0))))</f>
        <v/>
      </c>
    </row>
    <row r="249">
      <c r="A249" s="15" t="n"/>
      <c r="B249" s="15" t="n"/>
      <c r="C249" s="15" t="n"/>
      <c r="D249" s="16" t="n"/>
      <c r="E249" s="17" t="n"/>
      <c r="F249" s="15" t="n"/>
      <c r="G249" s="18" t="n"/>
      <c r="H249" s="15" t="n"/>
      <c r="I249" s="19">
        <f>IF($A249="","",SUMIF(tblGunluk[VarlikId],$A249,tblGunluk[UretimKwh_kwh]))</f>
        <v/>
      </c>
      <c r="J249" s="19">
        <f>IF($A249="","",IFERROR(AVERAGEIF(tblGunluk[VarlikId],$A249,tblGunluk[FormulPr_oran]),0))</f>
        <v/>
      </c>
      <c r="K249" s="19">
        <f>IF($A249="","",SUMIF(tblGunluk[VarlikId],$A249,tblGunluk[KayipKwh_kwh]))</f>
        <v/>
      </c>
      <c r="L249" s="19">
        <f>IF($A249="","",MAX(0,MIN(100,gup_kaliteTaban-IF($J249&lt;gup_esikPr,gup_kaliteCeza,0)-COUNTIFS(tblGunluk[VarlikId],$A249,tblGunluk[AlarmBayrak],"ALARM")*gup_kaliteSapma-IF($H249="HAYIR",gup_kaliteCeza,0))))</f>
        <v/>
      </c>
    </row>
    <row r="250">
      <c r="A250" s="15" t="n"/>
      <c r="B250" s="15" t="n"/>
      <c r="C250" s="15" t="n"/>
      <c r="D250" s="16" t="n"/>
      <c r="E250" s="17" t="n"/>
      <c r="F250" s="15" t="n"/>
      <c r="G250" s="18" t="n"/>
      <c r="H250" s="15" t="n"/>
      <c r="I250" s="19">
        <f>IF($A250="","",SUMIF(tblGunluk[VarlikId],$A250,tblGunluk[UretimKwh_kwh]))</f>
        <v/>
      </c>
      <c r="J250" s="19">
        <f>IF($A250="","",IFERROR(AVERAGEIF(tblGunluk[VarlikId],$A250,tblGunluk[FormulPr_oran]),0))</f>
        <v/>
      </c>
      <c r="K250" s="19">
        <f>IF($A250="","",SUMIF(tblGunluk[VarlikId],$A250,tblGunluk[KayipKwh_kwh]))</f>
        <v/>
      </c>
      <c r="L250" s="19">
        <f>IF($A250="","",MAX(0,MIN(100,gup_kaliteTaban-IF($J250&lt;gup_esikPr,gup_kaliteCeza,0)-COUNTIFS(tblGunluk[VarlikId],$A250,tblGunluk[AlarmBayrak],"ALARM")*gup_kaliteSapma-IF($H250="HAYIR",gup_kaliteCeza,0))))</f>
        <v/>
      </c>
    </row>
    <row r="251">
      <c r="A251" s="15" t="n"/>
      <c r="B251" s="15" t="n"/>
      <c r="C251" s="15" t="n"/>
      <c r="D251" s="16" t="n"/>
      <c r="E251" s="17" t="n"/>
      <c r="F251" s="15" t="n"/>
      <c r="G251" s="18" t="n"/>
      <c r="H251" s="15" t="n"/>
      <c r="I251" s="19">
        <f>IF($A251="","",SUMIF(tblGunluk[VarlikId],$A251,tblGunluk[UretimKwh_kwh]))</f>
        <v/>
      </c>
      <c r="J251" s="19">
        <f>IF($A251="","",IFERROR(AVERAGEIF(tblGunluk[VarlikId],$A251,tblGunluk[FormulPr_oran]),0))</f>
        <v/>
      </c>
      <c r="K251" s="19">
        <f>IF($A251="","",SUMIF(tblGunluk[VarlikId],$A251,tblGunluk[KayipKwh_kwh]))</f>
        <v/>
      </c>
      <c r="L251" s="19">
        <f>IF($A251="","",MAX(0,MIN(100,gup_kaliteTaban-IF($J251&lt;gup_esikPr,gup_kaliteCeza,0)-COUNTIFS(tblGunluk[VarlikId],$A251,tblGunluk[AlarmBayrak],"ALARM")*gup_kaliteSapma-IF($H251="HAYIR",gup_kaliteCeza,0))))</f>
        <v/>
      </c>
    </row>
    <row r="252">
      <c r="A252" s="15" t="n"/>
      <c r="B252" s="15" t="n"/>
      <c r="C252" s="15" t="n"/>
      <c r="D252" s="16" t="n"/>
      <c r="E252" s="17" t="n"/>
      <c r="F252" s="15" t="n"/>
      <c r="G252" s="18" t="n"/>
      <c r="H252" s="15" t="n"/>
      <c r="I252" s="19">
        <f>IF($A252="","",SUMIF(tblGunluk[VarlikId],$A252,tblGunluk[UretimKwh_kwh]))</f>
        <v/>
      </c>
      <c r="J252" s="19">
        <f>IF($A252="","",IFERROR(AVERAGEIF(tblGunluk[VarlikId],$A252,tblGunluk[FormulPr_oran]),0))</f>
        <v/>
      </c>
      <c r="K252" s="19">
        <f>IF($A252="","",SUMIF(tblGunluk[VarlikId],$A252,tblGunluk[KayipKwh_kwh]))</f>
        <v/>
      </c>
      <c r="L252" s="19">
        <f>IF($A252="","",MAX(0,MIN(100,gup_kaliteTaban-IF($J252&lt;gup_esikPr,gup_kaliteCeza,0)-COUNTIFS(tblGunluk[VarlikId],$A252,tblGunluk[AlarmBayrak],"ALARM")*gup_kaliteSapma-IF($H252="HAYIR",gup_kaliteCeza,0))))</f>
        <v/>
      </c>
    </row>
    <row r="253">
      <c r="A253" s="15" t="n"/>
      <c r="B253" s="15" t="n"/>
      <c r="C253" s="15" t="n"/>
      <c r="D253" s="16" t="n"/>
      <c r="E253" s="17" t="n"/>
      <c r="F253" s="15" t="n"/>
      <c r="G253" s="18" t="n"/>
      <c r="H253" s="15" t="n"/>
      <c r="I253" s="19">
        <f>IF($A253="","",SUMIF(tblGunluk[VarlikId],$A253,tblGunluk[UretimKwh_kwh]))</f>
        <v/>
      </c>
      <c r="J253" s="19">
        <f>IF($A253="","",IFERROR(AVERAGEIF(tblGunluk[VarlikId],$A253,tblGunluk[FormulPr_oran]),0))</f>
        <v/>
      </c>
      <c r="K253" s="19">
        <f>IF($A253="","",SUMIF(tblGunluk[VarlikId],$A253,tblGunluk[KayipKwh_kwh]))</f>
        <v/>
      </c>
      <c r="L253" s="19">
        <f>IF($A253="","",MAX(0,MIN(100,gup_kaliteTaban-IF($J253&lt;gup_esikPr,gup_kaliteCeza,0)-COUNTIFS(tblGunluk[VarlikId],$A253,tblGunluk[AlarmBayrak],"ALARM")*gup_kaliteSapma-IF($H253="HAYIR",gup_kaliteCeza,0))))</f>
        <v/>
      </c>
    </row>
    <row r="254">
      <c r="A254" s="15" t="n"/>
      <c r="B254" s="15" t="n"/>
      <c r="C254" s="15" t="n"/>
      <c r="D254" s="16" t="n"/>
      <c r="E254" s="17" t="n"/>
      <c r="F254" s="15" t="n"/>
      <c r="G254" s="18" t="n"/>
      <c r="H254" s="15" t="n"/>
      <c r="I254" s="19">
        <f>IF($A254="","",SUMIF(tblGunluk[VarlikId],$A254,tblGunluk[UretimKwh_kwh]))</f>
        <v/>
      </c>
      <c r="J254" s="19">
        <f>IF($A254="","",IFERROR(AVERAGEIF(tblGunluk[VarlikId],$A254,tblGunluk[FormulPr_oran]),0))</f>
        <v/>
      </c>
      <c r="K254" s="19">
        <f>IF($A254="","",SUMIF(tblGunluk[VarlikId],$A254,tblGunluk[KayipKwh_kwh]))</f>
        <v/>
      </c>
      <c r="L254" s="19">
        <f>IF($A254="","",MAX(0,MIN(100,gup_kaliteTaban-IF($J254&lt;gup_esikPr,gup_kaliteCeza,0)-COUNTIFS(tblGunluk[VarlikId],$A254,tblGunluk[AlarmBayrak],"ALARM")*gup_kaliteSapma-IF($H254="HAYIR",gup_kaliteCeza,0))))</f>
        <v/>
      </c>
    </row>
    <row r="255">
      <c r="A255" s="15" t="n"/>
      <c r="B255" s="15" t="n"/>
      <c r="C255" s="15" t="n"/>
      <c r="D255" s="16" t="n"/>
      <c r="E255" s="17" t="n"/>
      <c r="F255" s="15" t="n"/>
      <c r="G255" s="18" t="n"/>
      <c r="H255" s="15" t="n"/>
      <c r="I255" s="19">
        <f>IF($A255="","",SUMIF(tblGunluk[VarlikId],$A255,tblGunluk[UretimKwh_kwh]))</f>
        <v/>
      </c>
      <c r="J255" s="19">
        <f>IF($A255="","",IFERROR(AVERAGEIF(tblGunluk[VarlikId],$A255,tblGunluk[FormulPr_oran]),0))</f>
        <v/>
      </c>
      <c r="K255" s="19">
        <f>IF($A255="","",SUMIF(tblGunluk[VarlikId],$A255,tblGunluk[KayipKwh_kwh]))</f>
        <v/>
      </c>
      <c r="L255" s="19">
        <f>IF($A255="","",MAX(0,MIN(100,gup_kaliteTaban-IF($J255&lt;gup_esikPr,gup_kaliteCeza,0)-COUNTIFS(tblGunluk[VarlikId],$A255,tblGunluk[AlarmBayrak],"ALARM")*gup_kaliteSapma-IF($H255="HAYIR",gup_kaliteCeza,0))))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H6:H255">
    <cfRule type="cellIs" priority="1" operator="equal" dxfId="0">
      <formula>"HAYIR"</formula>
    </cfRule>
  </conditionalFormatting>
  <conditionalFormatting sqref="L6:L255">
    <cfRule type="cellIs" priority="2" operator="lessThan" dxfId="1">
      <formula>gup_esikSaglik</formula>
    </cfRule>
  </conditionalFormatting>
  <conditionalFormatting sqref="J6:J255">
    <cfRule type="cellIs" priority="3" operator="lessThan" dxfId="0">
      <formula>gup_esikPr</formula>
    </cfRule>
  </conditionalFormatting>
  <dataValidations count="8">
    <dataValidation sqref="A6:A255" showDropDown="0" showInputMessage="1" showErrorMessage="1" allowBlank="1" errorTitle="Kimlik" error="En az 1 karakter" promptTitle="Varlık Kimliği" prompt="GES-##### girin" type="textLength" errorStyle="stop" operator="greaterThan">
      <formula1>1</formula1>
      <formula2>40</formula2>
    </dataValidation>
    <dataValidation sqref="B6:B255" showDropDown="0" showInputMessage="1" showErrorMessage="1" allowBlank="1" errorTitle="Santral Ad" error="Geçersiz" promptTitle="Santral Ad" prompt="Santral 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Tip" error="Geçersiz" promptTitle="Tip" prompt="Tip girin" type="textLength" errorStyle="stop" operator="greaterThanOrEqual">
      <formula1>0</formula1>
      <formula2>80</formula2>
    </dataValidation>
    <dataValidation sqref="F6:F255" showDropDown="0" showInputMessage="1" showErrorMessage="1" allowBlank="1" errorTitle="Konum" error="Geçersiz" promptTitle="Konum" prompt="Konum girin" type="textLength" errorStyle="stop" operator="greaterThanOrEqual">
      <formula1>0</formula1>
      <formula2>80</formula2>
    </dataValidation>
    <dataValidation sqref="D6:D255" showDropDown="0" showInputMessage="1" showErrorMessage="1" allowBlank="1" errorTitle="Kapasite [kWp]" error="0 veya üzeri" promptTitle="Kapasite [kWp]" prompt="Kapasite [kWp] ≥ 0" type="decimal" errorStyle="stop" operator="greaterThanOrEqual">
      <formula1>0</formula1>
    </dataValidation>
    <dataValidation sqref="E6:E255" showDropDown="0" showInputMessage="1" showErrorMessage="1" allowBlank="1" errorTitle="İnverter" error="0 veya üzeri" promptTitle="İnverter" prompt="İnverter ≥ 0" type="decimal" errorStyle="stop" operator="greaterThanOrEqual">
      <formula1>0</formula1>
    </dataValidation>
    <dataValidation sqref="G6:G255" showDropDown="0" showInputMessage="1" showErrorMessage="1" allowBlank="1" errorTitle="Hedef PR" error="0 veya üzeri" promptTitle="Hedef PR" prompt="Hedef PR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B3D2E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GUNLUK GIRIS — GES Üretim &amp; Performans Takibi</t>
        </is>
      </c>
    </row>
    <row r="3" ht="20" customHeight="1">
      <c r="A3" s="10" t="inlineStr">
        <is>
          <t>GÜNLÜK saha girişi — satır başına en fazla 6 manuel alan (S02)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UretimKwh_kwh</t>
        </is>
      </c>
      <c r="E5" s="14" t="inlineStr">
        <is>
          <t>IsinimKwhm2_kwhm2</t>
        </is>
      </c>
      <c r="F5" s="14" t="inlineStr">
        <is>
          <t>KayipKwh_kwh</t>
        </is>
      </c>
      <c r="G5" s="14" t="inlineStr">
        <is>
          <t>KayipTuru</t>
        </is>
      </c>
      <c r="H5" s="14" t="inlineStr">
        <is>
          <t>FormulKapasite_kwp</t>
        </is>
      </c>
      <c r="I5" s="14" t="inlineStr">
        <is>
          <t>FormulTeorik_kwh</t>
        </is>
      </c>
      <c r="J5" s="14" t="inlineStr">
        <is>
          <t>FormulPr_oran</t>
        </is>
      </c>
      <c r="K5" s="14" t="inlineStr">
        <is>
          <t>FormulKayipPay_oran</t>
        </is>
      </c>
      <c r="L5" s="14" t="inlineStr">
        <is>
          <t>FormulNet_kwh</t>
        </is>
      </c>
      <c r="M5" s="14" t="inlineStr">
        <is>
          <t>SaglikSkor_puan</t>
        </is>
      </c>
      <c r="N5" s="14" t="inlineStr">
        <is>
          <t>AlarmBayrak</t>
        </is>
      </c>
      <c r="O5" s="14" t="inlineStr">
        <is>
          <t>FormulKayitDolu</t>
        </is>
      </c>
      <c r="P5" s="14" t="inlineStr">
        <is>
          <t>FormulYetim</t>
        </is>
      </c>
    </row>
    <row r="6">
      <c r="A6" s="15" t="inlineStr">
        <is>
          <t>GUP-00001</t>
        </is>
      </c>
      <c r="B6" s="15" t="inlineStr">
        <is>
          <t>GES-00001</t>
        </is>
      </c>
      <c r="C6" s="62" t="n">
        <v>46242</v>
      </c>
      <c r="D6" s="16" t="n">
        <v>341.9</v>
      </c>
      <c r="E6" s="21" t="n">
        <v>3.85</v>
      </c>
      <c r="F6" s="16" t="n">
        <v>120.1</v>
      </c>
      <c r="G6" s="15" t="inlineStr">
        <is>
          <t>GOLGE</t>
        </is>
      </c>
      <c r="H6" s="19">
        <f>IF($A6="","",IFERROR(SUMIF(tblVarliklar[VarlikId],$B6,tblVarliklar[KapasiteKwp_kwp]),gup_varsayilanKapasite))</f>
        <v/>
      </c>
      <c r="I6" s="19">
        <f>IF($A6="","",$E6*$H6)</f>
        <v/>
      </c>
      <c r="J6" s="19">
        <f>IF(OR($A6="",$I6=0),"",$D6/$I6)</f>
        <v/>
      </c>
      <c r="K6" s="19">
        <f>IF(OR($A6="",$I6=0),"",$F6/$I6)</f>
        <v/>
      </c>
      <c r="L6" s="19">
        <f>IF($A6="","",$D6)</f>
        <v/>
      </c>
      <c r="M6" s="19">
        <f>IF($A6="","",MAX(0,MIN(100,gup_kaliteTaban-IF($J6&lt;gup_esikPr,gup_kaliteCeza,0)-IF($F6&gt;gup_esikKayipKwh,gup_kaliteSapma,0)-IF($P6="YETIM",gup_kaliteCeza,0))))</f>
        <v/>
      </c>
      <c r="N6" s="19">
        <f>IF($A6="","",IF(OR($J6&lt;gup_esikPr,$F6&gt;gup_esikKayipKwh,$M6&lt;gup_esikSaglik),"ALARM","UYGUN"))</f>
        <v/>
      </c>
      <c r="O6" s="19">
        <f>IF($A6="","",1)</f>
        <v/>
      </c>
      <c r="P6" s="19">
        <f>IF($A6="","",IF(OR($B6="",COUNTIF(tblVarliklar[VarlikId],$B6)=0),"YETIM","TAMAM"))</f>
        <v/>
      </c>
    </row>
    <row r="7">
      <c r="A7" s="15" t="inlineStr">
        <is>
          <t>GUP-00002</t>
        </is>
      </c>
      <c r="B7" s="15" t="inlineStr">
        <is>
          <t>GES-00002</t>
        </is>
      </c>
      <c r="C7" s="62" t="n">
        <v>46239</v>
      </c>
      <c r="D7" s="16" t="n">
        <v>2907</v>
      </c>
      <c r="E7" s="21" t="n">
        <v>4.5</v>
      </c>
      <c r="F7" s="16" t="n">
        <v>918</v>
      </c>
      <c r="G7" s="15" t="inlineStr">
        <is>
          <t>INVERTER</t>
        </is>
      </c>
      <c r="H7" s="19">
        <f>IF($A7="","",IFERROR(SUMIF(tblVarliklar[VarlikId],$B7,tblVarliklar[KapasiteKwp_kwp]),gup_varsayilanKapasite))</f>
        <v/>
      </c>
      <c r="I7" s="19">
        <f>IF($A7="","",$E7*$H7)</f>
        <v/>
      </c>
      <c r="J7" s="19">
        <f>IF(OR($A7="",$I7=0),"",$D7/$I7)</f>
        <v/>
      </c>
      <c r="K7" s="19">
        <f>IF(OR($A7="",$I7=0),"",$F7/$I7)</f>
        <v/>
      </c>
      <c r="L7" s="19">
        <f>IF($A7="","",$D7)</f>
        <v/>
      </c>
      <c r="M7" s="19">
        <f>IF($A7="","",MAX(0,MIN(100,gup_kaliteTaban-IF($J7&lt;gup_esikPr,gup_kaliteCeza,0)-IF($F7&gt;gup_esikKayipKwh,gup_kaliteSapma,0)-IF($P7="YETIM",gup_kaliteCeza,0))))</f>
        <v/>
      </c>
      <c r="N7" s="19">
        <f>IF($A7="","",IF(OR($J7&lt;gup_esikPr,$F7&gt;gup_esikKayipKwh,$M7&lt;gup_esikSaglik),"ALARM","UYGUN"))</f>
        <v/>
      </c>
      <c r="O7" s="19">
        <f>IF($A7="","",1)</f>
        <v/>
      </c>
      <c r="P7" s="19">
        <f>IF($A7="","",IF(OR($B7="",COUNTIF(tblVarliklar[VarlikId],$B7)=0),"YETIM","TAMAM"))</f>
        <v/>
      </c>
    </row>
    <row r="8">
      <c r="A8" s="15" t="inlineStr">
        <is>
          <t>GUP-00003</t>
        </is>
      </c>
      <c r="B8" s="15" t="inlineStr">
        <is>
          <t>GES-00003</t>
        </is>
      </c>
      <c r="C8" s="62" t="n">
        <v>46236</v>
      </c>
      <c r="D8" s="16" t="n">
        <v>337.1</v>
      </c>
      <c r="E8" s="21" t="n">
        <v>4.55</v>
      </c>
      <c r="F8" s="16" t="n">
        <v>95.09999999999999</v>
      </c>
      <c r="G8" s="15" t="inlineStr">
        <is>
          <t>ARIZA</t>
        </is>
      </c>
      <c r="H8" s="19">
        <f>IF($A8="","",IFERROR(SUMIF(tblVarliklar[VarlikId],$B8,tblVarliklar[KapasiteKwp_kwp]),gup_varsayilanKapasite))</f>
        <v/>
      </c>
      <c r="I8" s="19">
        <f>IF($A8="","",$E8*$H8)</f>
        <v/>
      </c>
      <c r="J8" s="19">
        <f>IF(OR($A8="",$I8=0),"",$D8/$I8)</f>
        <v/>
      </c>
      <c r="K8" s="19">
        <f>IF(OR($A8="",$I8=0),"",$F8/$I8)</f>
        <v/>
      </c>
      <c r="L8" s="19">
        <f>IF($A8="","",$D8)</f>
        <v/>
      </c>
      <c r="M8" s="19">
        <f>IF($A8="","",MAX(0,MIN(100,gup_kaliteTaban-IF($J8&lt;gup_esikPr,gup_kaliteCeza,0)-IF($F8&gt;gup_esikKayipKwh,gup_kaliteSapma,0)-IF($P8="YETIM",gup_kaliteCeza,0))))</f>
        <v/>
      </c>
      <c r="N8" s="19">
        <f>IF($A8="","",IF(OR($J8&lt;gup_esikPr,$F8&gt;gup_esikKayipKwh,$M8&lt;gup_esikSaglik),"ALARM","UYGUN"))</f>
        <v/>
      </c>
      <c r="O8" s="19">
        <f>IF($A8="","",1)</f>
        <v/>
      </c>
      <c r="P8" s="19">
        <f>IF($A8="","",IF(OR($B8="",COUNTIF(tblVarliklar[VarlikId],$B8)=0),"YETIM","TAMAM"))</f>
        <v/>
      </c>
    </row>
    <row r="9">
      <c r="A9" s="15" t="inlineStr">
        <is>
          <t>GUP-00004</t>
        </is>
      </c>
      <c r="B9" s="15" t="inlineStr">
        <is>
          <t>GES-00004</t>
        </is>
      </c>
      <c r="C9" s="62" t="n">
        <v>46233</v>
      </c>
      <c r="D9" s="16" t="n">
        <v>4992</v>
      </c>
      <c r="E9" s="21" t="n">
        <v>5.2</v>
      </c>
      <c r="F9" s="16" t="n">
        <v>1248</v>
      </c>
      <c r="G9" s="15" t="inlineStr">
        <is>
          <t>ISINIM</t>
        </is>
      </c>
      <c r="H9" s="19">
        <f>IF($A9="","",IFERROR(SUMIF(tblVarliklar[VarlikId],$B9,tblVarliklar[KapasiteKwp_kwp]),gup_varsayilanKapasite))</f>
        <v/>
      </c>
      <c r="I9" s="19">
        <f>IF($A9="","",$E9*$H9)</f>
        <v/>
      </c>
      <c r="J9" s="19">
        <f>IF(OR($A9="",$I9=0),"",$D9/$I9)</f>
        <v/>
      </c>
      <c r="K9" s="19">
        <f>IF(OR($A9="",$I9=0),"",$F9/$I9)</f>
        <v/>
      </c>
      <c r="L9" s="19">
        <f>IF($A9="","",$D9)</f>
        <v/>
      </c>
      <c r="M9" s="19">
        <f>IF($A9="","",MAX(0,MIN(100,gup_kaliteTaban-IF($J9&lt;gup_esikPr,gup_kaliteCeza,0)-IF($F9&gt;gup_esikKayipKwh,gup_kaliteSapma,0)-IF($P9="YETIM",gup_kaliteCeza,0))))</f>
        <v/>
      </c>
      <c r="N9" s="19">
        <f>IF($A9="","",IF(OR($J9&lt;gup_esikPr,$F9&gt;gup_esikKayipKwh,$M9&lt;gup_esikSaglik),"ALARM","UYGUN"))</f>
        <v/>
      </c>
      <c r="O9" s="19">
        <f>IF($A9="","",1)</f>
        <v/>
      </c>
      <c r="P9" s="19">
        <f>IF($A9="","",IF(OR($B9="",COUNTIF(tblVarliklar[VarlikId],$B9)=0),"YETIM","TAMAM"))</f>
        <v/>
      </c>
    </row>
    <row r="10">
      <c r="A10" s="15" t="inlineStr">
        <is>
          <t>GUP-00005</t>
        </is>
      </c>
      <c r="B10" s="15" t="inlineStr">
        <is>
          <t>GES-00005</t>
        </is>
      </c>
      <c r="C10" s="62" t="n">
        <v>46230</v>
      </c>
      <c r="D10" s="16" t="n">
        <v>269.6</v>
      </c>
      <c r="E10" s="21" t="n">
        <v>5.85</v>
      </c>
      <c r="F10" s="16" t="n">
        <v>104.8</v>
      </c>
      <c r="G10" s="15" t="inlineStr">
        <is>
          <t>DIGER</t>
        </is>
      </c>
      <c r="H10" s="19">
        <f>IF($A10="","",IFERROR(SUMIF(tblVarliklar[VarlikId],$B10,tblVarliklar[KapasiteKwp_kwp]),gup_varsayilanKapasite))</f>
        <v/>
      </c>
      <c r="I10" s="19">
        <f>IF($A10="","",$E10*$H10)</f>
        <v/>
      </c>
      <c r="J10" s="19">
        <f>IF(OR($A10="",$I10=0),"",$D10/$I10)</f>
        <v/>
      </c>
      <c r="K10" s="19">
        <f>IF(OR($A10="",$I10=0),"",$F10/$I10)</f>
        <v/>
      </c>
      <c r="L10" s="19">
        <f>IF($A10="","",$D10)</f>
        <v/>
      </c>
      <c r="M10" s="19">
        <f>IF($A10="","",MAX(0,MIN(100,gup_kaliteTaban-IF($J10&lt;gup_esikPr,gup_kaliteCeza,0)-IF($F10&gt;gup_esikKayipKwh,gup_kaliteSapma,0)-IF($P10="YETIM",gup_kaliteCeza,0))))</f>
        <v/>
      </c>
      <c r="N10" s="19">
        <f>IF($A10="","",IF(OR($J10&lt;gup_esikPr,$F10&gt;gup_esikKayipKwh,$M10&lt;gup_esikSaglik),"ALARM","UYGUN"))</f>
        <v/>
      </c>
      <c r="O10" s="19">
        <f>IF($A10="","",1)</f>
        <v/>
      </c>
      <c r="P10" s="19">
        <f>IF($A10="","",IF(OR($B10="",COUNTIF(tblVarliklar[VarlikId],$B10)=0),"YETIM","TAMAM"))</f>
        <v/>
      </c>
    </row>
    <row r="11">
      <c r="A11" s="15" t="inlineStr">
        <is>
          <t>GUP-00006</t>
        </is>
      </c>
      <c r="B11" s="15" t="inlineStr">
        <is>
          <t>GES-00006</t>
        </is>
      </c>
      <c r="C11" s="62" t="n">
        <v>46227</v>
      </c>
      <c r="D11" s="16" t="n">
        <v>2270.3</v>
      </c>
      <c r="E11" s="21" t="n">
        <v>5.9</v>
      </c>
      <c r="F11" s="16" t="n">
        <v>797.7</v>
      </c>
      <c r="G11" s="15" t="inlineStr">
        <is>
          <t>KIRLENME</t>
        </is>
      </c>
      <c r="H11" s="19">
        <f>IF($A11="","",IFERROR(SUMIF(tblVarliklar[VarlikId],$B11,tblVarliklar[KapasiteKwp_kwp]),gup_varsayilanKapasite))</f>
        <v/>
      </c>
      <c r="I11" s="19">
        <f>IF($A11="","",$E11*$H11)</f>
        <v/>
      </c>
      <c r="J11" s="19">
        <f>IF(OR($A11="",$I11=0),"",$D11/$I11)</f>
        <v/>
      </c>
      <c r="K11" s="19">
        <f>IF(OR($A11="",$I11=0),"",$F11/$I11)</f>
        <v/>
      </c>
      <c r="L11" s="19">
        <f>IF($A11="","",$D11)</f>
        <v/>
      </c>
      <c r="M11" s="19">
        <f>IF($A11="","",MAX(0,MIN(100,gup_kaliteTaban-IF($J11&lt;gup_esikPr,gup_kaliteCeza,0)-IF($F11&gt;gup_esikKayipKwh,gup_kaliteSapma,0)-IF($P11="YETIM",gup_kaliteCeza,0))))</f>
        <v/>
      </c>
      <c r="N11" s="19">
        <f>IF($A11="","",IF(OR($J11&lt;gup_esikPr,$F11&gt;gup_esikKayipKwh,$M11&lt;gup_esikSaglik),"ALARM","UYGUN"))</f>
        <v/>
      </c>
      <c r="O11" s="19">
        <f>IF($A11="","",1)</f>
        <v/>
      </c>
      <c r="P11" s="19">
        <f>IF($A11="","",IF(OR($B11="",COUNTIF(tblVarliklar[VarlikId],$B11)=0),"YETIM","TAMAM"))</f>
        <v/>
      </c>
    </row>
    <row r="12">
      <c r="A12" s="15" t="inlineStr">
        <is>
          <t>GUP-00007</t>
        </is>
      </c>
      <c r="B12" s="15" t="inlineStr">
        <is>
          <t>GES-00007</t>
        </is>
      </c>
      <c r="C12" s="62" t="n">
        <v>46224</v>
      </c>
      <c r="D12" s="16" t="n">
        <v>284.2</v>
      </c>
      <c r="E12" s="21" t="n">
        <v>3.4</v>
      </c>
      <c r="F12" s="16" t="n">
        <v>89.8</v>
      </c>
      <c r="G12" s="15" t="inlineStr">
        <is>
          <t>GOLGE</t>
        </is>
      </c>
      <c r="H12" s="19">
        <f>IF($A12="","",IFERROR(SUMIF(tblVarliklar[VarlikId],$B12,tblVarliklar[KapasiteKwp_kwp]),gup_varsayilanKapasite))</f>
        <v/>
      </c>
      <c r="I12" s="19">
        <f>IF($A12="","",$E12*$H12)</f>
        <v/>
      </c>
      <c r="J12" s="19">
        <f>IF(OR($A12="",$I12=0),"",$D12/$I12)</f>
        <v/>
      </c>
      <c r="K12" s="19">
        <f>IF(OR($A12="",$I12=0),"",$F12/$I12)</f>
        <v/>
      </c>
      <c r="L12" s="19">
        <f>IF($A12="","",$D12)</f>
        <v/>
      </c>
      <c r="M12" s="19">
        <f>IF($A12="","",MAX(0,MIN(100,gup_kaliteTaban-IF($J12&lt;gup_esikPr,gup_kaliteCeza,0)-IF($F12&gt;gup_esikKayipKwh,gup_kaliteSapma,0)-IF($P12="YETIM",gup_kaliteCeza,0))))</f>
        <v/>
      </c>
      <c r="N12" s="19">
        <f>IF($A12="","",IF(OR($J12&lt;gup_esikPr,$F12&gt;gup_esikKayipKwh,$M12&lt;gup_esikSaglik),"ALARM","UYGUN"))</f>
        <v/>
      </c>
      <c r="O12" s="19">
        <f>IF($A12="","",1)</f>
        <v/>
      </c>
      <c r="P12" s="19">
        <f>IF($A12="","",IF(OR($B12="",COUNTIF(tblVarliklar[VarlikId],$B12)=0),"YETIM","TAMAM"))</f>
        <v/>
      </c>
    </row>
    <row r="13">
      <c r="A13" s="15" t="inlineStr">
        <is>
          <t>GUP-00008</t>
        </is>
      </c>
      <c r="B13" s="15" t="inlineStr">
        <is>
          <t>GES-00008</t>
        </is>
      </c>
      <c r="C13" s="62" t="n">
        <v>46221</v>
      </c>
      <c r="D13" s="16" t="n">
        <v>1200.4</v>
      </c>
      <c r="E13" s="21" t="n">
        <v>4.05</v>
      </c>
      <c r="F13" s="16" t="n">
        <v>338.6</v>
      </c>
      <c r="G13" s="15" t="inlineStr">
        <is>
          <t>INVERTER</t>
        </is>
      </c>
      <c r="H13" s="19">
        <f>IF($A13="","",IFERROR(SUMIF(tblVarliklar[VarlikId],$B13,tblVarliklar[KapasiteKwp_kwp]),gup_varsayilanKapasite))</f>
        <v/>
      </c>
      <c r="I13" s="19">
        <f>IF($A13="","",$E13*$H13)</f>
        <v/>
      </c>
      <c r="J13" s="19">
        <f>IF(OR($A13="",$I13=0),"",$D13/$I13)</f>
        <v/>
      </c>
      <c r="K13" s="19">
        <f>IF(OR($A13="",$I13=0),"",$F13/$I13)</f>
        <v/>
      </c>
      <c r="L13" s="19">
        <f>IF($A13="","",$D13)</f>
        <v/>
      </c>
      <c r="M13" s="19">
        <f>IF($A13="","",MAX(0,MIN(100,gup_kaliteTaban-IF($J13&lt;gup_esikPr,gup_kaliteCeza,0)-IF($F13&gt;gup_esikKayipKwh,gup_kaliteSapma,0)-IF($P13="YETIM",gup_kaliteCeza,0))))</f>
        <v/>
      </c>
      <c r="N13" s="19">
        <f>IF($A13="","",IF(OR($J13&lt;gup_esikPr,$F13&gt;gup_esikKayipKwh,$M13&lt;gup_esikSaglik),"ALARM","UYGUN"))</f>
        <v/>
      </c>
      <c r="O13" s="19">
        <f>IF($A13="","",1)</f>
        <v/>
      </c>
      <c r="P13" s="19">
        <f>IF($A13="","",IF(OR($B13="",COUNTIF(tblVarliklar[VarlikId],$B13)=0),"YETIM","TAMAM"))</f>
        <v/>
      </c>
    </row>
    <row r="14">
      <c r="A14" s="15" t="inlineStr">
        <is>
          <t>GUP-00009</t>
        </is>
      </c>
      <c r="B14" s="15" t="inlineStr">
        <is>
          <t>GES-00001</t>
        </is>
      </c>
      <c r="C14" s="62" t="n">
        <v>46218</v>
      </c>
      <c r="D14" s="16" t="n">
        <v>393.6</v>
      </c>
      <c r="E14" s="21" t="n">
        <v>4.1</v>
      </c>
      <c r="F14" s="16" t="n">
        <v>98.40000000000001</v>
      </c>
      <c r="G14" s="15" t="inlineStr">
        <is>
          <t>ARIZA</t>
        </is>
      </c>
      <c r="H14" s="19">
        <f>IF($A14="","",IFERROR(SUMIF(tblVarliklar[VarlikId],$B14,tblVarliklar[KapasiteKwp_kwp]),gup_varsayilanKapasite))</f>
        <v/>
      </c>
      <c r="I14" s="19">
        <f>IF($A14="","",$E14*$H14)</f>
        <v/>
      </c>
      <c r="J14" s="19">
        <f>IF(OR($A14="",$I14=0),"",$D14/$I14)</f>
        <v/>
      </c>
      <c r="K14" s="19">
        <f>IF(OR($A14="",$I14=0),"",$F14/$I14)</f>
        <v/>
      </c>
      <c r="L14" s="19">
        <f>IF($A14="","",$D14)</f>
        <v/>
      </c>
      <c r="M14" s="19">
        <f>IF($A14="","",MAX(0,MIN(100,gup_kaliteTaban-IF($J14&lt;gup_esikPr,gup_kaliteCeza,0)-IF($F14&gt;gup_esikKayipKwh,gup_kaliteSapma,0)-IF($P14="YETIM",gup_kaliteCeza,0))))</f>
        <v/>
      </c>
      <c r="N14" s="19">
        <f>IF($A14="","",IF(OR($J14&lt;gup_esikPr,$F14&gt;gup_esikKayipKwh,$M14&lt;gup_esikSaglik),"ALARM","UYGUN"))</f>
        <v/>
      </c>
      <c r="O14" s="19">
        <f>IF($A14="","",1)</f>
        <v/>
      </c>
      <c r="P14" s="19">
        <f>IF($A14="","",IF(OR($B14="",COUNTIF(tblVarliklar[VarlikId],$B14)=0),"YETIM","TAMAM"))</f>
        <v/>
      </c>
    </row>
    <row r="15">
      <c r="A15" s="15" t="inlineStr">
        <is>
          <t>GUP-00010</t>
        </is>
      </c>
      <c r="B15" s="15" t="inlineStr">
        <is>
          <t>GES-00002</t>
        </is>
      </c>
      <c r="C15" s="62" t="n">
        <v>46215</v>
      </c>
      <c r="D15" s="16" t="n">
        <v>2907</v>
      </c>
      <c r="E15" s="21" t="n">
        <v>4.75</v>
      </c>
      <c r="F15" s="16" t="n">
        <v>1130.5</v>
      </c>
      <c r="G15" s="15" t="inlineStr">
        <is>
          <t>ISINIM</t>
        </is>
      </c>
      <c r="H15" s="19">
        <f>IF($A15="","",IFERROR(SUMIF(tblVarliklar[VarlikId],$B15,tblVarliklar[KapasiteKwp_kwp]),gup_varsayilanKapasite))</f>
        <v/>
      </c>
      <c r="I15" s="19">
        <f>IF($A15="","",$E15*$H15)</f>
        <v/>
      </c>
      <c r="J15" s="19">
        <f>IF(OR($A15="",$I15=0),"",$D15/$I15)</f>
        <v/>
      </c>
      <c r="K15" s="19">
        <f>IF(OR($A15="",$I15=0),"",$F15/$I15)</f>
        <v/>
      </c>
      <c r="L15" s="19">
        <f>IF($A15="","",$D15)</f>
        <v/>
      </c>
      <c r="M15" s="19">
        <f>IF($A15="","",MAX(0,MIN(100,gup_kaliteTaban-IF($J15&lt;gup_esikPr,gup_kaliteCeza,0)-IF($F15&gt;gup_esikKayipKwh,gup_kaliteSapma,0)-IF($P15="YETIM",gup_kaliteCeza,0))))</f>
        <v/>
      </c>
      <c r="N15" s="19">
        <f>IF($A15="","",IF(OR($J15&lt;gup_esikPr,$F15&gt;gup_esikKayipKwh,$M15&lt;gup_esikSaglik),"ALARM","UYGUN"))</f>
        <v/>
      </c>
      <c r="O15" s="19">
        <f>IF($A15="","",1)</f>
        <v/>
      </c>
      <c r="P15" s="19">
        <f>IF($A15="","",IF(OR($B15="",COUNTIF(tblVarliklar[VarlikId],$B15)=0),"YETIM","TAMAM"))</f>
        <v/>
      </c>
    </row>
    <row r="16">
      <c r="A16" s="15" t="inlineStr">
        <is>
          <t>GUP-00011</t>
        </is>
      </c>
      <c r="B16" s="15" t="inlineStr">
        <is>
          <t>GES-00003</t>
        </is>
      </c>
      <c r="C16" s="62" t="n">
        <v>46212</v>
      </c>
      <c r="D16" s="16" t="n">
        <v>379.6</v>
      </c>
      <c r="E16" s="21" t="n">
        <v>5.4</v>
      </c>
      <c r="F16" s="16" t="n">
        <v>133.4</v>
      </c>
      <c r="G16" s="15" t="inlineStr">
        <is>
          <t>DIGER</t>
        </is>
      </c>
      <c r="H16" s="19">
        <f>IF($A16="","",IFERROR(SUMIF(tblVarliklar[VarlikId],$B16,tblVarliklar[KapasiteKwp_kwp]),gup_varsayilanKapasite))</f>
        <v/>
      </c>
      <c r="I16" s="19">
        <f>IF($A16="","",$E16*$H16)</f>
        <v/>
      </c>
      <c r="J16" s="19">
        <f>IF(OR($A16="",$I16=0),"",$D16/$I16)</f>
        <v/>
      </c>
      <c r="K16" s="19">
        <f>IF(OR($A16="",$I16=0),"",$F16/$I16)</f>
        <v/>
      </c>
      <c r="L16" s="19">
        <f>IF($A16="","",$D16)</f>
        <v/>
      </c>
      <c r="M16" s="19">
        <f>IF($A16="","",MAX(0,MIN(100,gup_kaliteTaban-IF($J16&lt;gup_esikPr,gup_kaliteCeza,0)-IF($F16&gt;gup_esikKayipKwh,gup_kaliteSapma,0)-IF($P16="YETIM",gup_kaliteCeza,0))))</f>
        <v/>
      </c>
      <c r="N16" s="19">
        <f>IF($A16="","",IF(OR($J16&lt;gup_esikPr,$F16&gt;gup_esikKayipKwh,$M16&lt;gup_esikSaglik),"ALARM","UYGUN"))</f>
        <v/>
      </c>
      <c r="O16" s="19">
        <f>IF($A16="","",1)</f>
        <v/>
      </c>
      <c r="P16" s="19">
        <f>IF($A16="","",IF(OR($B16="",COUNTIF(tblVarliklar[VarlikId],$B16)=0),"YETIM","TAMAM"))</f>
        <v/>
      </c>
    </row>
    <row r="17">
      <c r="A17" s="15" t="inlineStr">
        <is>
          <t>GUP-00012</t>
        </is>
      </c>
      <c r="B17" s="15" t="inlineStr">
        <is>
          <t>GES-00004</t>
        </is>
      </c>
      <c r="C17" s="62" t="n">
        <v>46209</v>
      </c>
      <c r="D17" s="16" t="n">
        <v>3597</v>
      </c>
      <c r="E17" s="21" t="n">
        <v>5.45</v>
      </c>
      <c r="F17" s="16" t="n">
        <v>2943</v>
      </c>
      <c r="G17" s="15" t="inlineStr">
        <is>
          <t>KIRLENME</t>
        </is>
      </c>
      <c r="H17" s="19">
        <f>IF($A17="","",IFERROR(SUMIF(tblVarliklar[VarlikId],$B17,tblVarliklar[KapasiteKwp_kwp]),gup_varsayilanKapasite))</f>
        <v/>
      </c>
      <c r="I17" s="19">
        <f>IF($A17="","",$E17*$H17)</f>
        <v/>
      </c>
      <c r="J17" s="19">
        <f>IF(OR($A17="",$I17=0),"",$D17/$I17)</f>
        <v/>
      </c>
      <c r="K17" s="19">
        <f>IF(OR($A17="",$I17=0),"",$F17/$I17)</f>
        <v/>
      </c>
      <c r="L17" s="19">
        <f>IF($A17="","",$D17)</f>
        <v/>
      </c>
      <c r="M17" s="19">
        <f>IF($A17="","",MAX(0,MIN(100,gup_kaliteTaban-IF($J17&lt;gup_esikPr,gup_kaliteCeza,0)-IF($F17&gt;gup_esikKayipKwh,gup_kaliteSapma,0)-IF($P17="YETIM",gup_kaliteCeza,0))))</f>
        <v/>
      </c>
      <c r="N17" s="19">
        <f>IF($A17="","",IF(OR($J17&lt;gup_esikPr,$F17&gt;gup_esikKayipKwh,$M17&lt;gup_esikSaglik),"ALARM","UYGUN"))</f>
        <v/>
      </c>
      <c r="O17" s="19">
        <f>IF($A17="","",1)</f>
        <v/>
      </c>
      <c r="P17" s="19">
        <f>IF($A17="","",IF(OR($B17="",COUNTIF(tblVarliklar[VarlikId],$B17)=0),"YETIM","TAMAM"))</f>
        <v/>
      </c>
    </row>
    <row r="18">
      <c r="A18" s="15" t="inlineStr">
        <is>
          <t>GUP-00013</t>
        </is>
      </c>
      <c r="B18" s="15" t="inlineStr">
        <is>
          <t>GES-00005</t>
        </is>
      </c>
      <c r="C18" s="62" t="n">
        <v>46206</v>
      </c>
      <c r="D18" s="16" t="n">
        <v>304.5</v>
      </c>
      <c r="E18" s="21" t="n">
        <v>6.1</v>
      </c>
      <c r="F18" s="16" t="n">
        <v>85.90000000000001</v>
      </c>
      <c r="G18" s="15" t="inlineStr">
        <is>
          <t>GOLGE</t>
        </is>
      </c>
      <c r="H18" s="19">
        <f>IF($A18="","",IFERROR(SUMIF(tblVarliklar[VarlikId],$B18,tblVarliklar[KapasiteKwp_kwp]),gup_varsayilanKapasite))</f>
        <v/>
      </c>
      <c r="I18" s="19">
        <f>IF($A18="","",$E18*$H18)</f>
        <v/>
      </c>
      <c r="J18" s="19">
        <f>IF(OR($A18="",$I18=0),"",$D18/$I18)</f>
        <v/>
      </c>
      <c r="K18" s="19">
        <f>IF(OR($A18="",$I18=0),"",$F18/$I18)</f>
        <v/>
      </c>
      <c r="L18" s="19">
        <f>IF($A18="","",$D18)</f>
        <v/>
      </c>
      <c r="M18" s="19">
        <f>IF($A18="","",MAX(0,MIN(100,gup_kaliteTaban-IF($J18&lt;gup_esikPr,gup_kaliteCeza,0)-IF($F18&gt;gup_esikKayipKwh,gup_kaliteSapma,0)-IF($P18="YETIM",gup_kaliteCeza,0))))</f>
        <v/>
      </c>
      <c r="N18" s="19">
        <f>IF($A18="","",IF(OR($J18&lt;gup_esikPr,$F18&gt;gup_esikKayipKwh,$M18&lt;gup_esikSaglik),"ALARM","UYGUN"))</f>
        <v/>
      </c>
      <c r="O18" s="19">
        <f>IF($A18="","",1)</f>
        <v/>
      </c>
      <c r="P18" s="19">
        <f>IF($A18="","",IF(OR($B18="",COUNTIF(tblVarliklar[VarlikId],$B18)=0),"YETIM","TAMAM"))</f>
        <v/>
      </c>
    </row>
    <row r="19">
      <c r="A19" s="15" t="inlineStr">
        <is>
          <t>GUP-00014</t>
        </is>
      </c>
      <c r="B19" s="15" t="inlineStr">
        <is>
          <t>GES-00006</t>
        </is>
      </c>
      <c r="C19" s="62" t="n">
        <v>46203</v>
      </c>
      <c r="D19" s="16" t="n">
        <v>1497.6</v>
      </c>
      <c r="E19" s="21" t="n">
        <v>3.6</v>
      </c>
      <c r="F19" s="16" t="n">
        <v>374.4</v>
      </c>
      <c r="G19" s="15" t="inlineStr">
        <is>
          <t>INVERTER</t>
        </is>
      </c>
      <c r="H19" s="19">
        <f>IF($A19="","",IFERROR(SUMIF(tblVarliklar[VarlikId],$B19,tblVarliklar[KapasiteKwp_kwp]),gup_varsayilanKapasite))</f>
        <v/>
      </c>
      <c r="I19" s="19">
        <f>IF($A19="","",$E19*$H19)</f>
        <v/>
      </c>
      <c r="J19" s="19">
        <f>IF(OR($A19="",$I19=0),"",$D19/$I19)</f>
        <v/>
      </c>
      <c r="K19" s="19">
        <f>IF(OR($A19="",$I19=0),"",$F19/$I19)</f>
        <v/>
      </c>
      <c r="L19" s="19">
        <f>IF($A19="","",$D19)</f>
        <v/>
      </c>
      <c r="M19" s="19">
        <f>IF($A19="","",MAX(0,MIN(100,gup_kaliteTaban-IF($J19&lt;gup_esikPr,gup_kaliteCeza,0)-IF($F19&gt;gup_esikKayipKwh,gup_kaliteSapma,0)-IF($P19="YETIM",gup_kaliteCeza,0))))</f>
        <v/>
      </c>
      <c r="N19" s="19">
        <f>IF($A19="","",IF(OR($J19&lt;gup_esikPr,$F19&gt;gup_esikKayipKwh,$M19&lt;gup_esikSaglik),"ALARM","UYGUN"))</f>
        <v/>
      </c>
      <c r="O19" s="19">
        <f>IF($A19="","",1)</f>
        <v/>
      </c>
      <c r="P19" s="19">
        <f>IF($A19="","",IF(OR($B19="",COUNTIF(tblVarliklar[VarlikId],$B19)=0),"YETIM","TAMAM"))</f>
        <v/>
      </c>
    </row>
    <row r="20">
      <c r="A20" s="15" t="inlineStr">
        <is>
          <t>GUP-00015</t>
        </is>
      </c>
      <c r="B20" s="15" t="inlineStr">
        <is>
          <t>GES-00007</t>
        </is>
      </c>
      <c r="C20" s="62" t="n">
        <v>46200</v>
      </c>
      <c r="D20" s="16" t="n">
        <v>289.1</v>
      </c>
      <c r="E20" s="21" t="n">
        <v>3.65</v>
      </c>
      <c r="F20" s="16" t="n">
        <v>112.4</v>
      </c>
      <c r="G20" s="15" t="inlineStr">
        <is>
          <t>ARIZA</t>
        </is>
      </c>
      <c r="H20" s="19">
        <f>IF($A20="","",IFERROR(SUMIF(tblVarliklar[VarlikId],$B20,tblVarliklar[KapasiteKwp_kwp]),gup_varsayilanKapasite))</f>
        <v/>
      </c>
      <c r="I20" s="19">
        <f>IF($A20="","",$E20*$H20)</f>
        <v/>
      </c>
      <c r="J20" s="19">
        <f>IF(OR($A20="",$I20=0),"",$D20/$I20)</f>
        <v/>
      </c>
      <c r="K20" s="19">
        <f>IF(OR($A20="",$I20=0),"",$F20/$I20)</f>
        <v/>
      </c>
      <c r="L20" s="19">
        <f>IF($A20="","",$D20)</f>
        <v/>
      </c>
      <c r="M20" s="19">
        <f>IF($A20="","",MAX(0,MIN(100,gup_kaliteTaban-IF($J20&lt;gup_esikPr,gup_kaliteCeza,0)-IF($F20&gt;gup_esikKayipKwh,gup_kaliteSapma,0)-IF($P20="YETIM",gup_kaliteCeza,0))))</f>
        <v/>
      </c>
      <c r="N20" s="19">
        <f>IF($A20="","",IF(OR($J20&lt;gup_esikPr,$F20&gt;gup_esikKayipKwh,$M20&lt;gup_esikSaglik),"ALARM","UYGUN"))</f>
        <v/>
      </c>
      <c r="O20" s="19">
        <f>IF($A20="","",1)</f>
        <v/>
      </c>
      <c r="P20" s="19">
        <f>IF($A20="","",IF(OR($B20="",COUNTIF(tblVarliklar[VarlikId],$B20)=0),"YETIM","TAMAM"))</f>
        <v/>
      </c>
    </row>
    <row r="21">
      <c r="A21" s="15" t="inlineStr">
        <is>
          <t>GUP-00016</t>
        </is>
      </c>
      <c r="B21" s="15" t="inlineStr">
        <is>
          <t>GES-00008</t>
        </is>
      </c>
      <c r="C21" s="62" t="n">
        <v>46197</v>
      </c>
      <c r="D21" s="16" t="n">
        <v>1209.2</v>
      </c>
      <c r="E21" s="21" t="n">
        <v>4.3</v>
      </c>
      <c r="F21" s="16" t="n">
        <v>424.8</v>
      </c>
      <c r="G21" s="15" t="inlineStr">
        <is>
          <t>ISINIM</t>
        </is>
      </c>
      <c r="H21" s="19">
        <f>IF($A21="","",IFERROR(SUMIF(tblVarliklar[VarlikId],$B21,tblVarliklar[KapasiteKwp_kwp]),gup_varsayilanKapasite))</f>
        <v/>
      </c>
      <c r="I21" s="19">
        <f>IF($A21="","",$E21*$H21)</f>
        <v/>
      </c>
      <c r="J21" s="19">
        <f>IF(OR($A21="",$I21=0),"",$D21/$I21)</f>
        <v/>
      </c>
      <c r="K21" s="19">
        <f>IF(OR($A21="",$I21=0),"",$F21/$I21)</f>
        <v/>
      </c>
      <c r="L21" s="19">
        <f>IF($A21="","",$D21)</f>
        <v/>
      </c>
      <c r="M21" s="19">
        <f>IF($A21="","",MAX(0,MIN(100,gup_kaliteTaban-IF($J21&lt;gup_esikPr,gup_kaliteCeza,0)-IF($F21&gt;gup_esikKayipKwh,gup_kaliteSapma,0)-IF($P21="YETIM",gup_kaliteCeza,0))))</f>
        <v/>
      </c>
      <c r="N21" s="19">
        <f>IF($A21="","",IF(OR($J21&lt;gup_esikPr,$F21&gt;gup_esikKayipKwh,$M21&lt;gup_esikSaglik),"ALARM","UYGUN"))</f>
        <v/>
      </c>
      <c r="O21" s="19">
        <f>IF($A21="","",1)</f>
        <v/>
      </c>
      <c r="P21" s="19">
        <f>IF($A21="","",IF(OR($B21="",COUNTIF(tblVarliklar[VarlikId],$B21)=0),"YETIM","TAMAM"))</f>
        <v/>
      </c>
    </row>
    <row r="22">
      <c r="A22" s="15" t="inlineStr">
        <is>
          <t>GUP-00017</t>
        </is>
      </c>
      <c r="B22" s="15" t="inlineStr">
        <is>
          <t>GES-00001</t>
        </is>
      </c>
      <c r="C22" s="62" t="n">
        <v>46194</v>
      </c>
      <c r="D22" s="16" t="n">
        <v>451.4</v>
      </c>
      <c r="E22" s="21" t="n">
        <v>4.95</v>
      </c>
      <c r="F22" s="16" t="n">
        <v>142.6</v>
      </c>
      <c r="G22" s="15" t="inlineStr">
        <is>
          <t>DIGER</t>
        </is>
      </c>
      <c r="H22" s="19">
        <f>IF($A22="","",IFERROR(SUMIF(tblVarliklar[VarlikId],$B22,tblVarliklar[KapasiteKwp_kwp]),gup_varsayilanKapasite))</f>
        <v/>
      </c>
      <c r="I22" s="19">
        <f>IF($A22="","",$E22*$H22)</f>
        <v/>
      </c>
      <c r="J22" s="19">
        <f>IF(OR($A22="",$I22=0),"",$D22/$I22)</f>
        <v/>
      </c>
      <c r="K22" s="19">
        <f>IF(OR($A22="",$I22=0),"",$F22/$I22)</f>
        <v/>
      </c>
      <c r="L22" s="19">
        <f>IF($A22="","",$D22)</f>
        <v/>
      </c>
      <c r="M22" s="19">
        <f>IF($A22="","",MAX(0,MIN(100,gup_kaliteTaban-IF($J22&lt;gup_esikPr,gup_kaliteCeza,0)-IF($F22&gt;gup_esikKayipKwh,gup_kaliteSapma,0)-IF($P22="YETIM",gup_kaliteCeza,0))))</f>
        <v/>
      </c>
      <c r="N22" s="19">
        <f>IF($A22="","",IF(OR($J22&lt;gup_esikPr,$F22&gt;gup_esikKayipKwh,$M22&lt;gup_esikSaglik),"ALARM","UYGUN"))</f>
        <v/>
      </c>
      <c r="O22" s="19">
        <f>IF($A22="","",1)</f>
        <v/>
      </c>
      <c r="P22" s="19">
        <f>IF($A22="","",IF(OR($B22="",COUNTIF(tblVarliklar[VarlikId],$B22)=0),"YETIM","TAMAM"))</f>
        <v/>
      </c>
    </row>
    <row r="23">
      <c r="A23" s="15" t="inlineStr">
        <is>
          <t>GUP-00018</t>
        </is>
      </c>
      <c r="B23" s="15" t="inlineStr">
        <is>
          <t>GES-00002</t>
        </is>
      </c>
      <c r="C23" s="62" t="n">
        <v>46191</v>
      </c>
      <c r="D23" s="16" t="n">
        <v>3315</v>
      </c>
      <c r="E23" s="21" t="n">
        <v>5</v>
      </c>
      <c r="F23" s="16" t="n">
        <v>935</v>
      </c>
      <c r="G23" s="15" t="inlineStr">
        <is>
          <t>KIRLENME</t>
        </is>
      </c>
      <c r="H23" s="19">
        <f>IF($A23="","",IFERROR(SUMIF(tblVarliklar[VarlikId],$B23,tblVarliklar[KapasiteKwp_kwp]),gup_varsayilanKapasite))</f>
        <v/>
      </c>
      <c r="I23" s="19">
        <f>IF($A23="","",$E23*$H23)</f>
        <v/>
      </c>
      <c r="J23" s="19">
        <f>IF(OR($A23="",$I23=0),"",$D23/$I23)</f>
        <v/>
      </c>
      <c r="K23" s="19">
        <f>IF(OR($A23="",$I23=0),"",$F23/$I23)</f>
        <v/>
      </c>
      <c r="L23" s="19">
        <f>IF($A23="","",$D23)</f>
        <v/>
      </c>
      <c r="M23" s="19">
        <f>IF($A23="","",MAX(0,MIN(100,gup_kaliteTaban-IF($J23&lt;gup_esikPr,gup_kaliteCeza,0)-IF($F23&gt;gup_esikKayipKwh,gup_kaliteSapma,0)-IF($P23="YETIM",gup_kaliteCeza,0))))</f>
        <v/>
      </c>
      <c r="N23" s="19">
        <f>IF($A23="","",IF(OR($J23&lt;gup_esikPr,$F23&gt;gup_esikKayipKwh,$M23&lt;gup_esikSaglik),"ALARM","UYGUN"))</f>
        <v/>
      </c>
      <c r="O23" s="19">
        <f>IF($A23="","",1)</f>
        <v/>
      </c>
      <c r="P23" s="19">
        <f>IF($A23="","",IF(OR($B23="",COUNTIF(tblVarliklar[VarlikId],$B23)=0),"YETIM","TAMAM"))</f>
        <v/>
      </c>
    </row>
    <row r="24">
      <c r="A24" s="15" t="inlineStr">
        <is>
          <t>GUP-00019</t>
        </is>
      </c>
      <c r="B24" s="15" t="inlineStr">
        <is>
          <t>GES-00003</t>
        </is>
      </c>
      <c r="C24" s="62" t="n">
        <v>46188</v>
      </c>
      <c r="D24" s="16" t="n">
        <v>429.4</v>
      </c>
      <c r="E24" s="21" t="n">
        <v>5.65</v>
      </c>
      <c r="F24" s="16" t="n">
        <v>107.4</v>
      </c>
      <c r="G24" s="15" t="inlineStr">
        <is>
          <t>GOLGE</t>
        </is>
      </c>
      <c r="H24" s="19">
        <f>IF($A24="","",IFERROR(SUMIF(tblVarliklar[VarlikId],$B24,tblVarliklar[KapasiteKwp_kwp]),gup_varsayilanKapasite))</f>
        <v/>
      </c>
      <c r="I24" s="19">
        <f>IF($A24="","",$E24*$H24)</f>
        <v/>
      </c>
      <c r="J24" s="19">
        <f>IF(OR($A24="",$I24=0),"",$D24/$I24)</f>
        <v/>
      </c>
      <c r="K24" s="19">
        <f>IF(OR($A24="",$I24=0),"",$F24/$I24)</f>
        <v/>
      </c>
      <c r="L24" s="19">
        <f>IF($A24="","",$D24)</f>
        <v/>
      </c>
      <c r="M24" s="19">
        <f>IF($A24="","",MAX(0,MIN(100,gup_kaliteTaban-IF($J24&lt;gup_esikPr,gup_kaliteCeza,0)-IF($F24&gt;gup_esikKayipKwh,gup_kaliteSapma,0)-IF($P24="YETIM",gup_kaliteCeza,0))))</f>
        <v/>
      </c>
      <c r="N24" s="19">
        <f>IF($A24="","",IF(OR($J24&lt;gup_esikPr,$F24&gt;gup_esikKayipKwh,$M24&lt;gup_esikSaglik),"ALARM","UYGUN"))</f>
        <v/>
      </c>
      <c r="O24" s="19">
        <f>IF($A24="","",1)</f>
        <v/>
      </c>
      <c r="P24" s="19">
        <f>IF($A24="","",IF(OR($B24="",COUNTIF(tblVarliklar[VarlikId],$B24)=0),"YETIM","TAMAM"))</f>
        <v/>
      </c>
    </row>
    <row r="25">
      <c r="A25" s="15" t="inlineStr">
        <is>
          <t>GUP-00020</t>
        </is>
      </c>
      <c r="B25" s="15" t="inlineStr">
        <is>
          <t>GES-00004</t>
        </is>
      </c>
      <c r="C25" s="62" t="n">
        <v>46185</v>
      </c>
      <c r="D25" s="16" t="n">
        <v>5443.2</v>
      </c>
      <c r="E25" s="21" t="n">
        <v>6.3</v>
      </c>
      <c r="F25" s="16" t="n">
        <v>2116.8</v>
      </c>
      <c r="G25" s="15" t="inlineStr">
        <is>
          <t>INVERTER</t>
        </is>
      </c>
      <c r="H25" s="19">
        <f>IF($A25="","",IFERROR(SUMIF(tblVarliklar[VarlikId],$B25,tblVarliklar[KapasiteKwp_kwp]),gup_varsayilanKapasite))</f>
        <v/>
      </c>
      <c r="I25" s="19">
        <f>IF($A25="","",$E25*$H25)</f>
        <v/>
      </c>
      <c r="J25" s="19">
        <f>IF(OR($A25="",$I25=0),"",$D25/$I25)</f>
        <v/>
      </c>
      <c r="K25" s="19">
        <f>IF(OR($A25="",$I25=0),"",$F25/$I25)</f>
        <v/>
      </c>
      <c r="L25" s="19">
        <f>IF($A25="","",$D25)</f>
        <v/>
      </c>
      <c r="M25" s="19">
        <f>IF($A25="","",MAX(0,MIN(100,gup_kaliteTaban-IF($J25&lt;gup_esikPr,gup_kaliteCeza,0)-IF($F25&gt;gup_esikKayipKwh,gup_kaliteSapma,0)-IF($P25="YETIM",gup_kaliteCeza,0))))</f>
        <v/>
      </c>
      <c r="N25" s="19">
        <f>IF($A25="","",IF(OR($J25&lt;gup_esikPr,$F25&gt;gup_esikKayipKwh,$M25&lt;gup_esikSaglik),"ALARM","UYGUN"))</f>
        <v/>
      </c>
      <c r="O25" s="19">
        <f>IF($A25="","",1)</f>
        <v/>
      </c>
      <c r="P25" s="19">
        <f>IF($A25="","",IF(OR($B25="",COUNTIF(tblVarliklar[VarlikId],$B25)=0),"YETIM","TAMAM"))</f>
        <v/>
      </c>
    </row>
    <row r="26">
      <c r="A26" s="15" t="inlineStr">
        <is>
          <t>GUP-00021</t>
        </is>
      </c>
      <c r="B26" s="15" t="inlineStr">
        <is>
          <t>GES-00005</t>
        </is>
      </c>
      <c r="C26" s="62" t="n">
        <v>46182</v>
      </c>
      <c r="D26" s="16" t="n">
        <v>151.6</v>
      </c>
      <c r="E26" s="21" t="n">
        <v>3.2</v>
      </c>
      <c r="F26" s="16" t="n">
        <v>53.2</v>
      </c>
      <c r="G26" s="15" t="inlineStr">
        <is>
          <t>ARIZA</t>
        </is>
      </c>
      <c r="H26" s="19">
        <f>IF($A26="","",IFERROR(SUMIF(tblVarliklar[VarlikId],$B26,tblVarliklar[KapasiteKwp_kwp]),gup_varsayilanKapasite))</f>
        <v/>
      </c>
      <c r="I26" s="19">
        <f>IF($A26="","",$E26*$H26)</f>
        <v/>
      </c>
      <c r="J26" s="19">
        <f>IF(OR($A26="",$I26=0),"",$D26/$I26)</f>
        <v/>
      </c>
      <c r="K26" s="19">
        <f>IF(OR($A26="",$I26=0),"",$F26/$I26)</f>
        <v/>
      </c>
      <c r="L26" s="19">
        <f>IF($A26="","",$D26)</f>
        <v/>
      </c>
      <c r="M26" s="19">
        <f>IF($A26="","",MAX(0,MIN(100,gup_kaliteTaban-IF($J26&lt;gup_esikPr,gup_kaliteCeza,0)-IF($F26&gt;gup_esikKayipKwh,gup_kaliteSapma,0)-IF($P26="YETIM",gup_kaliteCeza,0))))</f>
        <v/>
      </c>
      <c r="N26" s="19">
        <f>IF($A26="","",IF(OR($J26&lt;gup_esikPr,$F26&gt;gup_esikKayipKwh,$M26&lt;gup_esikSaglik),"ALARM","UYGUN"))</f>
        <v/>
      </c>
      <c r="O26" s="19">
        <f>IF($A26="","",1)</f>
        <v/>
      </c>
      <c r="P26" s="19">
        <f>IF($A26="","",IF(OR($B26="",COUNTIF(tblVarliklar[VarlikId],$B26)=0),"YETIM","TAMAM"))</f>
        <v/>
      </c>
    </row>
    <row r="27">
      <c r="A27" s="15" t="inlineStr">
        <is>
          <t>GUP-00022</t>
        </is>
      </c>
      <c r="B27" s="15" t="inlineStr">
        <is>
          <t>GES-00006</t>
        </is>
      </c>
      <c r="C27" s="62" t="n">
        <v>46179</v>
      </c>
      <c r="D27" s="16" t="n">
        <v>1521.5</v>
      </c>
      <c r="E27" s="21" t="n">
        <v>3.85</v>
      </c>
      <c r="F27" s="16" t="n">
        <v>480.5</v>
      </c>
      <c r="G27" s="15" t="inlineStr">
        <is>
          <t>ISINIM</t>
        </is>
      </c>
      <c r="H27" s="19">
        <f>IF($A27="","",IFERROR(SUMIF(tblVarliklar[VarlikId],$B27,tblVarliklar[KapasiteKwp_kwp]),gup_varsayilanKapasite))</f>
        <v/>
      </c>
      <c r="I27" s="19">
        <f>IF($A27="","",$E27*$H27)</f>
        <v/>
      </c>
      <c r="J27" s="19">
        <f>IF(OR($A27="",$I27=0),"",$D27/$I27)</f>
        <v/>
      </c>
      <c r="K27" s="19">
        <f>IF(OR($A27="",$I27=0),"",$F27/$I27)</f>
        <v/>
      </c>
      <c r="L27" s="19">
        <f>IF($A27="","",$D27)</f>
        <v/>
      </c>
      <c r="M27" s="19">
        <f>IF($A27="","",MAX(0,MIN(100,gup_kaliteTaban-IF($J27&lt;gup_esikPr,gup_kaliteCeza,0)-IF($F27&gt;gup_esikKayipKwh,gup_kaliteSapma,0)-IF($P27="YETIM",gup_kaliteCeza,0))))</f>
        <v/>
      </c>
      <c r="N27" s="19">
        <f>IF($A27="","",IF(OR($J27&lt;gup_esikPr,$F27&gt;gup_esikKayipKwh,$M27&lt;gup_esikSaglik),"ALARM","UYGUN"))</f>
        <v/>
      </c>
      <c r="O27" s="19">
        <f>IF($A27="","",1)</f>
        <v/>
      </c>
      <c r="P27" s="19">
        <f>IF($A27="","",IF(OR($B27="",COUNTIF(tblVarliklar[VarlikId],$B27)=0),"YETIM","TAMAM"))</f>
        <v/>
      </c>
    </row>
    <row r="28">
      <c r="A28" s="15" t="inlineStr">
        <is>
          <t>GUP-00023</t>
        </is>
      </c>
      <c r="B28" s="15" t="inlineStr">
        <is>
          <t>GES-00007</t>
        </is>
      </c>
      <c r="C28" s="62" t="n">
        <v>46176</v>
      </c>
      <c r="D28" s="16" t="n">
        <v>386.1</v>
      </c>
      <c r="E28" s="21" t="n">
        <v>4.5</v>
      </c>
      <c r="F28" s="16" t="n">
        <v>108.9</v>
      </c>
      <c r="G28" s="15" t="inlineStr">
        <is>
          <t>DIGER</t>
        </is>
      </c>
      <c r="H28" s="19">
        <f>IF($A28="","",IFERROR(SUMIF(tblVarliklar[VarlikId],$B28,tblVarliklar[KapasiteKwp_kwp]),gup_varsayilanKapasite))</f>
        <v/>
      </c>
      <c r="I28" s="19">
        <f>IF($A28="","",$E28*$H28)</f>
        <v/>
      </c>
      <c r="J28" s="19">
        <f>IF(OR($A28="",$I28=0),"",$D28/$I28)</f>
        <v/>
      </c>
      <c r="K28" s="19">
        <f>IF(OR($A28="",$I28=0),"",$F28/$I28)</f>
        <v/>
      </c>
      <c r="L28" s="19">
        <f>IF($A28="","",$D28)</f>
        <v/>
      </c>
      <c r="M28" s="19">
        <f>IF($A28="","",MAX(0,MIN(100,gup_kaliteTaban-IF($J28&lt;gup_esikPr,gup_kaliteCeza,0)-IF($F28&gt;gup_esikKayipKwh,gup_kaliteSapma,0)-IF($P28="YETIM",gup_kaliteCeza,0))))</f>
        <v/>
      </c>
      <c r="N28" s="19">
        <f>IF($A28="","",IF(OR($J28&lt;gup_esikPr,$F28&gt;gup_esikKayipKwh,$M28&lt;gup_esikSaglik),"ALARM","UYGUN"))</f>
        <v/>
      </c>
      <c r="O28" s="19">
        <f>IF($A28="","",1)</f>
        <v/>
      </c>
      <c r="P28" s="19">
        <f>IF($A28="","",IF(OR($B28="",COUNTIF(tblVarliklar[VarlikId],$B28)=0),"YETIM","TAMAM"))</f>
        <v/>
      </c>
    </row>
    <row r="29">
      <c r="A29" s="15" t="inlineStr">
        <is>
          <t>GUP-00024</t>
        </is>
      </c>
      <c r="B29" s="15" t="inlineStr">
        <is>
          <t>GES-00008</t>
        </is>
      </c>
      <c r="C29" s="62" t="n">
        <v>46173</v>
      </c>
      <c r="D29" s="16" t="n">
        <v>951</v>
      </c>
      <c r="E29" s="21" t="n">
        <v>4.55</v>
      </c>
      <c r="F29" s="16" t="n">
        <v>778</v>
      </c>
      <c r="G29" s="15" t="inlineStr">
        <is>
          <t>KIRLENME</t>
        </is>
      </c>
      <c r="H29" s="19">
        <f>IF($A29="","",IFERROR(SUMIF(tblVarliklar[VarlikId],$B29,tblVarliklar[KapasiteKwp_kwp]),gup_varsayilanKapasite))</f>
        <v/>
      </c>
      <c r="I29" s="19">
        <f>IF($A29="","",$E29*$H29)</f>
        <v/>
      </c>
      <c r="J29" s="19">
        <f>IF(OR($A29="",$I29=0),"",$D29/$I29)</f>
        <v/>
      </c>
      <c r="K29" s="19">
        <f>IF(OR($A29="",$I29=0),"",$F29/$I29)</f>
        <v/>
      </c>
      <c r="L29" s="19">
        <f>IF($A29="","",$D29)</f>
        <v/>
      </c>
      <c r="M29" s="19">
        <f>IF($A29="","",MAX(0,MIN(100,gup_kaliteTaban-IF($J29&lt;gup_esikPr,gup_kaliteCeza,0)-IF($F29&gt;gup_esikKayipKwh,gup_kaliteSapma,0)-IF($P29="YETIM",gup_kaliteCeza,0))))</f>
        <v/>
      </c>
      <c r="N29" s="19">
        <f>IF($A29="","",IF(OR($J29&lt;gup_esikPr,$F29&gt;gup_esikKayipKwh,$M29&lt;gup_esikSaglik),"ALARM","UYGUN"))</f>
        <v/>
      </c>
      <c r="O29" s="19">
        <f>IF($A29="","",1)</f>
        <v/>
      </c>
      <c r="P29" s="19">
        <f>IF($A29="","",IF(OR($B29="",COUNTIF(tblVarliklar[VarlikId],$B29)=0),"YETIM","TAMAM"))</f>
        <v/>
      </c>
    </row>
    <row r="30">
      <c r="A30" s="15" t="inlineStr">
        <is>
          <t>GUP-00025</t>
        </is>
      </c>
      <c r="B30" s="15" t="inlineStr">
        <is>
          <t>GES-00001</t>
        </is>
      </c>
      <c r="C30" s="62" t="n">
        <v>46170</v>
      </c>
      <c r="D30" s="16" t="n">
        <v>449.3</v>
      </c>
      <c r="E30" s="21" t="n">
        <v>5.2</v>
      </c>
      <c r="F30" s="16" t="n">
        <v>174.7</v>
      </c>
      <c r="G30" s="15" t="inlineStr">
        <is>
          <t>GOLGE</t>
        </is>
      </c>
      <c r="H30" s="19">
        <f>IF($A30="","",IFERROR(SUMIF(tblVarliklar[VarlikId],$B30,tblVarliklar[KapasiteKwp_kwp]),gup_varsayilanKapasite))</f>
        <v/>
      </c>
      <c r="I30" s="19">
        <f>IF($A30="","",$E30*$H30)</f>
        <v/>
      </c>
      <c r="J30" s="19">
        <f>IF(OR($A30="",$I30=0),"",$D30/$I30)</f>
        <v/>
      </c>
      <c r="K30" s="19">
        <f>IF(OR($A30="",$I30=0),"",$F30/$I30)</f>
        <v/>
      </c>
      <c r="L30" s="19">
        <f>IF($A30="","",$D30)</f>
        <v/>
      </c>
      <c r="M30" s="19">
        <f>IF($A30="","",MAX(0,MIN(100,gup_kaliteTaban-IF($J30&lt;gup_esikPr,gup_kaliteCeza,0)-IF($F30&gt;gup_esikKayipKwh,gup_kaliteSapma,0)-IF($P30="YETIM",gup_kaliteCeza,0))))</f>
        <v/>
      </c>
      <c r="N30" s="19">
        <f>IF($A30="","",IF(OR($J30&lt;gup_esikPr,$F30&gt;gup_esikKayipKwh,$M30&lt;gup_esikSaglik),"ALARM","UYGUN"))</f>
        <v/>
      </c>
      <c r="O30" s="19">
        <f>IF($A30="","",1)</f>
        <v/>
      </c>
      <c r="P30" s="19">
        <f>IF($A30="","",IF(OR($B30="",COUNTIF(tblVarliklar[VarlikId],$B30)=0),"YETIM","TAMAM"))</f>
        <v/>
      </c>
    </row>
    <row r="31">
      <c r="A31" s="15" t="inlineStr">
        <is>
          <t>GUP-00026</t>
        </is>
      </c>
      <c r="B31" s="15" t="inlineStr">
        <is>
          <t>GES-00002</t>
        </is>
      </c>
      <c r="C31" s="62" t="n">
        <v>46167</v>
      </c>
      <c r="D31" s="16" t="n">
        <v>3679.7</v>
      </c>
      <c r="E31" s="21" t="n">
        <v>5.85</v>
      </c>
      <c r="F31" s="16" t="n">
        <v>1292.8</v>
      </c>
      <c r="G31" s="15" t="inlineStr">
        <is>
          <t>INVERTER</t>
        </is>
      </c>
      <c r="H31" s="19">
        <f>IF($A31="","",IFERROR(SUMIF(tblVarliklar[VarlikId],$B31,tblVarliklar[KapasiteKwp_kwp]),gup_varsayilanKapasite))</f>
        <v/>
      </c>
      <c r="I31" s="19">
        <f>IF($A31="","",$E31*$H31)</f>
        <v/>
      </c>
      <c r="J31" s="19">
        <f>IF(OR($A31="",$I31=0),"",$D31/$I31)</f>
        <v/>
      </c>
      <c r="K31" s="19">
        <f>IF(OR($A31="",$I31=0),"",$F31/$I31)</f>
        <v/>
      </c>
      <c r="L31" s="19">
        <f>IF($A31="","",$D31)</f>
        <v/>
      </c>
      <c r="M31" s="19">
        <f>IF($A31="","",MAX(0,MIN(100,gup_kaliteTaban-IF($J31&lt;gup_esikPr,gup_kaliteCeza,0)-IF($F31&gt;gup_esikKayipKwh,gup_kaliteSapma,0)-IF($P31="YETIM",gup_kaliteCeza,0))))</f>
        <v/>
      </c>
      <c r="N31" s="19">
        <f>IF($A31="","",IF(OR($J31&lt;gup_esikPr,$F31&gt;gup_esikKayipKwh,$M31&lt;gup_esikSaglik),"ALARM","UYGUN"))</f>
        <v/>
      </c>
      <c r="O31" s="19">
        <f>IF($A31="","",1)</f>
        <v/>
      </c>
      <c r="P31" s="19">
        <f>IF($A31="","",IF(OR($B31="",COUNTIF(tblVarliklar[VarlikId],$B31)=0),"YETIM","TAMAM"))</f>
        <v/>
      </c>
    </row>
    <row r="32">
      <c r="A32" s="15" t="inlineStr">
        <is>
          <t>GUP-00027</t>
        </is>
      </c>
      <c r="B32" s="15" t="inlineStr">
        <is>
          <t>GES-00003</t>
        </is>
      </c>
      <c r="C32" s="62" t="n">
        <v>46164</v>
      </c>
      <c r="D32" s="16" t="n">
        <v>426</v>
      </c>
      <c r="E32" s="21" t="n">
        <v>5.9</v>
      </c>
      <c r="F32" s="16" t="n">
        <v>134.5</v>
      </c>
      <c r="G32" s="15" t="inlineStr">
        <is>
          <t>ARIZA</t>
        </is>
      </c>
      <c r="H32" s="19">
        <f>IF($A32="","",IFERROR(SUMIF(tblVarliklar[VarlikId],$B32,tblVarliklar[KapasiteKwp_kwp]),gup_varsayilanKapasite))</f>
        <v/>
      </c>
      <c r="I32" s="19">
        <f>IF($A32="","",$E32*$H32)</f>
        <v/>
      </c>
      <c r="J32" s="19">
        <f>IF(OR($A32="",$I32=0),"",$D32/$I32)</f>
        <v/>
      </c>
      <c r="K32" s="19">
        <f>IF(OR($A32="",$I32=0),"",$F32/$I32)</f>
        <v/>
      </c>
      <c r="L32" s="19">
        <f>IF($A32="","",$D32)</f>
        <v/>
      </c>
      <c r="M32" s="19">
        <f>IF($A32="","",MAX(0,MIN(100,gup_kaliteTaban-IF($J32&lt;gup_esikPr,gup_kaliteCeza,0)-IF($F32&gt;gup_esikKayipKwh,gup_kaliteSapma,0)-IF($P32="YETIM",gup_kaliteCeza,0))))</f>
        <v/>
      </c>
      <c r="N32" s="19">
        <f>IF($A32="","",IF(OR($J32&lt;gup_esikPr,$F32&gt;gup_esikKayipKwh,$M32&lt;gup_esikSaglik),"ALARM","UYGUN"))</f>
        <v/>
      </c>
      <c r="O32" s="19">
        <f>IF($A32="","",1)</f>
        <v/>
      </c>
      <c r="P32" s="19">
        <f>IF($A32="","",IF(OR($B32="",COUNTIF(tblVarliklar[VarlikId],$B32)=0),"YETIM","TAMAM"))</f>
        <v/>
      </c>
    </row>
    <row r="33">
      <c r="A33" s="15" t="inlineStr">
        <is>
          <t>GUP-00028</t>
        </is>
      </c>
      <c r="B33" s="15" t="inlineStr">
        <is>
          <t>GES-00004</t>
        </is>
      </c>
      <c r="C33" s="62" t="n">
        <v>46161</v>
      </c>
      <c r="D33" s="16" t="n">
        <v>3182.4</v>
      </c>
      <c r="E33" s="21" t="n">
        <v>3.4</v>
      </c>
      <c r="F33" s="16" t="n">
        <v>897.6</v>
      </c>
      <c r="G33" s="15" t="inlineStr">
        <is>
          <t>ISINIM</t>
        </is>
      </c>
      <c r="H33" s="19">
        <f>IF($A33="","",IFERROR(SUMIF(tblVarliklar[VarlikId],$B33,tblVarliklar[KapasiteKwp_kwp]),gup_varsayilanKapasite))</f>
        <v/>
      </c>
      <c r="I33" s="19">
        <f>IF($A33="","",$E33*$H33)</f>
        <v/>
      </c>
      <c r="J33" s="19">
        <f>IF(OR($A33="",$I33=0),"",$D33/$I33)</f>
        <v/>
      </c>
      <c r="K33" s="19">
        <f>IF(OR($A33="",$I33=0),"",$F33/$I33)</f>
        <v/>
      </c>
      <c r="L33" s="19">
        <f>IF($A33="","",$D33)</f>
        <v/>
      </c>
      <c r="M33" s="19">
        <f>IF($A33="","",MAX(0,MIN(100,gup_kaliteTaban-IF($J33&lt;gup_esikPr,gup_kaliteCeza,0)-IF($F33&gt;gup_esikKayipKwh,gup_kaliteSapma,0)-IF($P33="YETIM",gup_kaliteCeza,0))))</f>
        <v/>
      </c>
      <c r="N33" s="19">
        <f>IF($A33="","",IF(OR($J33&lt;gup_esikPr,$F33&gt;gup_esikKayipKwh,$M33&lt;gup_esikSaglik),"ALARM","UYGUN"))</f>
        <v/>
      </c>
      <c r="O33" s="19">
        <f>IF($A33="","",1)</f>
        <v/>
      </c>
      <c r="P33" s="19">
        <f>IF($A33="","",IF(OR($B33="",COUNTIF(tblVarliklar[VarlikId],$B33)=0),"YETIM","TAMAM"))</f>
        <v/>
      </c>
    </row>
    <row r="34">
      <c r="A34" s="15" t="inlineStr">
        <is>
          <t>GUP-00029</t>
        </is>
      </c>
      <c r="B34" s="15" t="inlineStr">
        <is>
          <t>GES-00005</t>
        </is>
      </c>
      <c r="C34" s="62" t="n">
        <v>46158</v>
      </c>
      <c r="D34" s="16" t="n">
        <v>207.4</v>
      </c>
      <c r="E34" s="21" t="n">
        <v>4.05</v>
      </c>
      <c r="F34" s="16" t="n">
        <v>51.8</v>
      </c>
      <c r="G34" s="15" t="inlineStr">
        <is>
          <t>DIGER</t>
        </is>
      </c>
      <c r="H34" s="19">
        <f>IF($A34="","",IFERROR(SUMIF(tblVarliklar[VarlikId],$B34,tblVarliklar[KapasiteKwp_kwp]),gup_varsayilanKapasite))</f>
        <v/>
      </c>
      <c r="I34" s="19">
        <f>IF($A34="","",$E34*$H34)</f>
        <v/>
      </c>
      <c r="J34" s="19">
        <f>IF(OR($A34="",$I34=0),"",$D34/$I34)</f>
        <v/>
      </c>
      <c r="K34" s="19">
        <f>IF(OR($A34="",$I34=0),"",$F34/$I34)</f>
        <v/>
      </c>
      <c r="L34" s="19">
        <f>IF($A34="","",$D34)</f>
        <v/>
      </c>
      <c r="M34" s="19">
        <f>IF($A34="","",MAX(0,MIN(100,gup_kaliteTaban-IF($J34&lt;gup_esikPr,gup_kaliteCeza,0)-IF($F34&gt;gup_esikKayipKwh,gup_kaliteSapma,0)-IF($P34="YETIM",gup_kaliteCeza,0))))</f>
        <v/>
      </c>
      <c r="N34" s="19">
        <f>IF($A34="","",IF(OR($J34&lt;gup_esikPr,$F34&gt;gup_esikKayipKwh,$M34&lt;gup_esikSaglik),"ALARM","UYGUN"))</f>
        <v/>
      </c>
      <c r="O34" s="19">
        <f>IF($A34="","",1)</f>
        <v/>
      </c>
      <c r="P34" s="19">
        <f>IF($A34="","",IF(OR($B34="",COUNTIF(tblVarliklar[VarlikId],$B34)=0),"YETIM","TAMAM"))</f>
        <v/>
      </c>
    </row>
    <row r="35">
      <c r="A35" s="15" t="inlineStr">
        <is>
          <t>GUP-00030</t>
        </is>
      </c>
      <c r="B35" s="15" t="inlineStr"/>
      <c r="C35" s="62" t="n">
        <v>46155</v>
      </c>
      <c r="D35" s="16" t="n">
        <v>1535</v>
      </c>
      <c r="E35" s="21" t="n">
        <v>4.1</v>
      </c>
      <c r="F35" s="16" t="n">
        <v>597</v>
      </c>
      <c r="G35" s="15" t="inlineStr">
        <is>
          <t>KIRLENME</t>
        </is>
      </c>
      <c r="H35" s="19">
        <f>IF($A35="","",IFERROR(SUMIF(tblVarliklar[VarlikId],$B35,tblVarliklar[KapasiteKwp_kwp]),gup_varsayilanKapasite))</f>
        <v/>
      </c>
      <c r="I35" s="19">
        <f>IF($A35="","",$E35*$H35)</f>
        <v/>
      </c>
      <c r="J35" s="19">
        <f>IF(OR($A35="",$I35=0),"",$D35/$I35)</f>
        <v/>
      </c>
      <c r="K35" s="19">
        <f>IF(OR($A35="",$I35=0),"",$F35/$I35)</f>
        <v/>
      </c>
      <c r="L35" s="19">
        <f>IF($A35="","",$D35)</f>
        <v/>
      </c>
      <c r="M35" s="19">
        <f>IF($A35="","",MAX(0,MIN(100,gup_kaliteTaban-IF($J35&lt;gup_esikPr,gup_kaliteCeza,0)-IF($F35&gt;gup_esikKayipKwh,gup_kaliteSapma,0)-IF($P35="YETIM",gup_kaliteCeza,0))))</f>
        <v/>
      </c>
      <c r="N35" s="19">
        <f>IF($A35="","",IF(OR($J35&lt;gup_esikPr,$F35&gt;gup_esikKayipKwh,$M35&lt;gup_esikSaglik),"ALARM","UYGUN"))</f>
        <v/>
      </c>
      <c r="O35" s="19">
        <f>IF($A35="","",1)</f>
        <v/>
      </c>
      <c r="P35" s="19">
        <f>IF($A35="","",IF(OR($B35="",COUNTIF(tblVarliklar[VarlikId],$B35)=0),"YETIM","TAMAM"))</f>
        <v/>
      </c>
    </row>
    <row r="36">
      <c r="A36" s="15" t="inlineStr">
        <is>
          <t>GUP-00031</t>
        </is>
      </c>
      <c r="B36" s="15" t="inlineStr">
        <is>
          <t>GES-00007</t>
        </is>
      </c>
      <c r="C36" s="62" t="n">
        <v>46152</v>
      </c>
      <c r="D36" s="16" t="n">
        <v>386.6</v>
      </c>
      <c r="E36" s="21" t="n">
        <v>4.75</v>
      </c>
      <c r="F36" s="16" t="n">
        <v>135.9</v>
      </c>
      <c r="G36" s="15" t="inlineStr">
        <is>
          <t>GOLGE</t>
        </is>
      </c>
      <c r="H36" s="19">
        <f>IF($A36="","",IFERROR(SUMIF(tblVarliklar[VarlikId],$B36,tblVarliklar[KapasiteKwp_kwp]),gup_varsayilanKapasite))</f>
        <v/>
      </c>
      <c r="I36" s="19">
        <f>IF($A36="","",$E36*$H36)</f>
        <v/>
      </c>
      <c r="J36" s="19">
        <f>IF(OR($A36="",$I36=0),"",$D36/$I36)</f>
        <v/>
      </c>
      <c r="K36" s="19">
        <f>IF(OR($A36="",$I36=0),"",$F36/$I36)</f>
        <v/>
      </c>
      <c r="L36" s="19">
        <f>IF($A36="","",$D36)</f>
        <v/>
      </c>
      <c r="M36" s="19">
        <f>IF($A36="","",MAX(0,MIN(100,gup_kaliteTaban-IF($J36&lt;gup_esikPr,gup_kaliteCeza,0)-IF($F36&gt;gup_esikKayipKwh,gup_kaliteSapma,0)-IF($P36="YETIM",gup_kaliteCeza,0))))</f>
        <v/>
      </c>
      <c r="N36" s="19">
        <f>IF($A36="","",IF(OR($J36&lt;gup_esikPr,$F36&gt;gup_esikKayipKwh,$M36&lt;gup_esikSaglik),"ALARM","UYGUN"))</f>
        <v/>
      </c>
      <c r="O36" s="19">
        <f>IF($A36="","",1)</f>
        <v/>
      </c>
      <c r="P36" s="19">
        <f>IF($A36="","",IF(OR($B36="",COUNTIF(tblVarliklar[VarlikId],$B36)=0),"YETIM","TAMAM"))</f>
        <v/>
      </c>
    </row>
    <row r="37">
      <c r="A37" s="15" t="inlineStr">
        <is>
          <t>GUP-00032</t>
        </is>
      </c>
      <c r="B37" s="15" t="inlineStr">
        <is>
          <t>GES-00008</t>
        </is>
      </c>
      <c r="C37" s="62" t="n">
        <v>46149</v>
      </c>
      <c r="D37" s="16" t="n">
        <v>1559.5</v>
      </c>
      <c r="E37" s="21" t="n">
        <v>5.4</v>
      </c>
      <c r="F37" s="16" t="n">
        <v>492.5</v>
      </c>
      <c r="G37" s="15" t="inlineStr">
        <is>
          <t>INVERTER</t>
        </is>
      </c>
      <c r="H37" s="19">
        <f>IF($A37="","",IFERROR(SUMIF(tblVarliklar[VarlikId],$B37,tblVarliklar[KapasiteKwp_kwp]),gup_varsayilanKapasite))</f>
        <v/>
      </c>
      <c r="I37" s="19">
        <f>IF($A37="","",$E37*$H37)</f>
        <v/>
      </c>
      <c r="J37" s="19">
        <f>IF(OR($A37="",$I37=0),"",$D37/$I37)</f>
        <v/>
      </c>
      <c r="K37" s="19">
        <f>IF(OR($A37="",$I37=0),"",$F37/$I37)</f>
        <v/>
      </c>
      <c r="L37" s="19">
        <f>IF($A37="","",$D37)</f>
        <v/>
      </c>
      <c r="M37" s="19">
        <f>IF($A37="","",MAX(0,MIN(100,gup_kaliteTaban-IF($J37&lt;gup_esikPr,gup_kaliteCeza,0)-IF($F37&gt;gup_esikKayipKwh,gup_kaliteSapma,0)-IF($P37="YETIM",gup_kaliteCeza,0))))</f>
        <v/>
      </c>
      <c r="N37" s="19">
        <f>IF($A37="","",IF(OR($J37&lt;gup_esikPr,$F37&gt;gup_esikKayipKwh,$M37&lt;gup_esikSaglik),"ALARM","UYGUN"))</f>
        <v/>
      </c>
      <c r="O37" s="19">
        <f>IF($A37="","",1)</f>
        <v/>
      </c>
      <c r="P37" s="19">
        <f>IF($A37="","",IF(OR($B37="",COUNTIF(tblVarliklar[VarlikId],$B37)=0),"YETIM","TAMAM"))</f>
        <v/>
      </c>
    </row>
    <row r="38">
      <c r="A38" s="15" t="inlineStr">
        <is>
          <t>GUP-00033</t>
        </is>
      </c>
      <c r="B38" s="15" t="inlineStr">
        <is>
          <t>GES-99999</t>
        </is>
      </c>
      <c r="C38" s="62" t="n">
        <v>46146</v>
      </c>
      <c r="D38" s="16" t="n">
        <v>510.1</v>
      </c>
      <c r="E38" s="21" t="n">
        <v>5.45</v>
      </c>
      <c r="F38" s="16" t="n">
        <v>143.9</v>
      </c>
      <c r="G38" s="15" t="inlineStr">
        <is>
          <t>ARIZA</t>
        </is>
      </c>
      <c r="H38" s="19">
        <f>IF($A38="","",IFERROR(SUMIF(tblVarliklar[VarlikId],$B38,tblVarliklar[KapasiteKwp_kwp]),gup_varsayilanKapasite))</f>
        <v/>
      </c>
      <c r="I38" s="19">
        <f>IF($A38="","",$E38*$H38)</f>
        <v/>
      </c>
      <c r="J38" s="19">
        <f>IF(OR($A38="",$I38=0),"",$D38/$I38)</f>
        <v/>
      </c>
      <c r="K38" s="19">
        <f>IF(OR($A38="",$I38=0),"",$F38/$I38)</f>
        <v/>
      </c>
      <c r="L38" s="19">
        <f>IF($A38="","",$D38)</f>
        <v/>
      </c>
      <c r="M38" s="19">
        <f>IF($A38="","",MAX(0,MIN(100,gup_kaliteTaban-IF($J38&lt;gup_esikPr,gup_kaliteCeza,0)-IF($F38&gt;gup_esikKayipKwh,gup_kaliteSapma,0)-IF($P38="YETIM",gup_kaliteCeza,0))))</f>
        <v/>
      </c>
      <c r="N38" s="19">
        <f>IF($A38="","",IF(OR($J38&lt;gup_esikPr,$F38&gt;gup_esikKayipKwh,$M38&lt;gup_esikSaglik),"ALARM","UYGUN"))</f>
        <v/>
      </c>
      <c r="O38" s="19">
        <f>IF($A38="","",1)</f>
        <v/>
      </c>
      <c r="P38" s="19">
        <f>IF($A38="","",IF(OR($B38="",COUNTIF(tblVarliklar[VarlikId],$B38)=0),"YETIM","TAMAM"))</f>
        <v/>
      </c>
    </row>
    <row r="39">
      <c r="A39" s="15" t="inlineStr">
        <is>
          <t>GUP-00034</t>
        </is>
      </c>
      <c r="B39" s="15" t="inlineStr">
        <is>
          <t>GES-00002</t>
        </is>
      </c>
      <c r="C39" s="62" t="n">
        <v>46143</v>
      </c>
      <c r="D39" s="16" t="n">
        <v>4148</v>
      </c>
      <c r="E39" s="21" t="n">
        <v>6.1</v>
      </c>
      <c r="F39" s="16" t="n">
        <v>1037</v>
      </c>
      <c r="G39" s="15" t="inlineStr">
        <is>
          <t>ISINIM</t>
        </is>
      </c>
      <c r="H39" s="19">
        <f>IF($A39="","",IFERROR(SUMIF(tblVarliklar[VarlikId],$B39,tblVarliklar[KapasiteKwp_kwp]),gup_varsayilanKapasite))</f>
        <v/>
      </c>
      <c r="I39" s="19">
        <f>IF($A39="","",$E39*$H39)</f>
        <v/>
      </c>
      <c r="J39" s="19">
        <f>IF(OR($A39="",$I39=0),"",$D39/$I39)</f>
        <v/>
      </c>
      <c r="K39" s="19">
        <f>IF(OR($A39="",$I39=0),"",$F39/$I39)</f>
        <v/>
      </c>
      <c r="L39" s="19">
        <f>IF($A39="","",$D39)</f>
        <v/>
      </c>
      <c r="M39" s="19">
        <f>IF($A39="","",MAX(0,MIN(100,gup_kaliteTaban-IF($J39&lt;gup_esikPr,gup_kaliteCeza,0)-IF($F39&gt;gup_esikKayipKwh,gup_kaliteSapma,0)-IF($P39="YETIM",gup_kaliteCeza,0))))</f>
        <v/>
      </c>
      <c r="N39" s="19">
        <f>IF($A39="","",IF(OR($J39&lt;gup_esikPr,$F39&gt;gup_esikKayipKwh,$M39&lt;gup_esikSaglik),"ALARM","UYGUN"))</f>
        <v/>
      </c>
      <c r="O39" s="19">
        <f>IF($A39="","",1)</f>
        <v/>
      </c>
      <c r="P39" s="19">
        <f>IF($A39="","",IF(OR($B39="",COUNTIF(tblVarliklar[VarlikId],$B39)=0),"YETIM","TAMAM"))</f>
        <v/>
      </c>
    </row>
    <row r="40">
      <c r="A40" s="15" t="inlineStr">
        <is>
          <t>GUP-00035</t>
        </is>
      </c>
      <c r="B40" s="15" t="inlineStr">
        <is>
          <t>GES-00003</t>
        </is>
      </c>
      <c r="C40" s="62" t="n">
        <v>46140</v>
      </c>
      <c r="D40" s="16" t="n">
        <v>246.2</v>
      </c>
      <c r="E40" s="21" t="n">
        <v>3.6</v>
      </c>
      <c r="F40" s="16" t="n">
        <v>95.8</v>
      </c>
      <c r="G40" s="15" t="inlineStr">
        <is>
          <t>DIGER</t>
        </is>
      </c>
      <c r="H40" s="19">
        <f>IF($A40="","",IFERROR(SUMIF(tblVarliklar[VarlikId],$B40,tblVarliklar[KapasiteKwp_kwp]),gup_varsayilanKapasite))</f>
        <v/>
      </c>
      <c r="I40" s="19">
        <f>IF($A40="","",$E40*$H40)</f>
        <v/>
      </c>
      <c r="J40" s="19">
        <f>IF(OR($A40="",$I40=0),"",$D40/$I40)</f>
        <v/>
      </c>
      <c r="K40" s="19">
        <f>IF(OR($A40="",$I40=0),"",$F40/$I40)</f>
        <v/>
      </c>
      <c r="L40" s="19">
        <f>IF($A40="","",$D40)</f>
        <v/>
      </c>
      <c r="M40" s="19">
        <f>IF($A40="","",MAX(0,MIN(100,gup_kaliteTaban-IF($J40&lt;gup_esikPr,gup_kaliteCeza,0)-IF($F40&gt;gup_esikKayipKwh,gup_kaliteSapma,0)-IF($P40="YETIM",gup_kaliteCeza,0))))</f>
        <v/>
      </c>
      <c r="N40" s="19">
        <f>IF($A40="","",IF(OR($J40&lt;gup_esikPr,$F40&gt;gup_esikKayipKwh,$M40&lt;gup_esikSaglik),"ALARM","UYGUN"))</f>
        <v/>
      </c>
      <c r="O40" s="19">
        <f>IF($A40="","",1)</f>
        <v/>
      </c>
      <c r="P40" s="19">
        <f>IF($A40="","",IF(OR($B40="",COUNTIF(tblVarliklar[VarlikId],$B40)=0),"YETIM","TAMAM"))</f>
        <v/>
      </c>
    </row>
    <row r="41">
      <c r="A41" s="15" t="inlineStr">
        <is>
          <t>GUP-00036</t>
        </is>
      </c>
      <c r="B41" s="15" t="inlineStr">
        <is>
          <t>GES-00004</t>
        </is>
      </c>
      <c r="C41" s="62" t="n">
        <v>46137</v>
      </c>
      <c r="D41" s="16" t="n">
        <v>3241.2</v>
      </c>
      <c r="E41" s="21" t="n">
        <v>3.65</v>
      </c>
      <c r="F41" s="16" t="n">
        <v>1138.8</v>
      </c>
      <c r="G41" s="15" t="inlineStr">
        <is>
          <t>KIRLENME</t>
        </is>
      </c>
      <c r="H41" s="19">
        <f>IF($A41="","",IFERROR(SUMIF(tblVarliklar[VarlikId],$B41,tblVarliklar[KapasiteKwp_kwp]),gup_varsayilanKapasite))</f>
        <v/>
      </c>
      <c r="I41" s="19">
        <f>IF($A41="","",$E41*$H41)</f>
        <v/>
      </c>
      <c r="J41" s="19">
        <f>IF(OR($A41="",$I41=0),"",$D41/$I41)</f>
        <v/>
      </c>
      <c r="K41" s="19">
        <f>IF(OR($A41="",$I41=0),"",$F41/$I41)</f>
        <v/>
      </c>
      <c r="L41" s="19">
        <f>IF($A41="","",$D41)</f>
        <v/>
      </c>
      <c r="M41" s="19">
        <f>IF($A41="","",MAX(0,MIN(100,gup_kaliteTaban-IF($J41&lt;gup_esikPr,gup_kaliteCeza,0)-IF($F41&gt;gup_esikKayipKwh,gup_kaliteSapma,0)-IF($P41="YETIM",gup_kaliteCeza,0))))</f>
        <v/>
      </c>
      <c r="N41" s="19">
        <f>IF($A41="","",IF(OR($J41&lt;gup_esikPr,$F41&gt;gup_esikKayipKwh,$M41&lt;gup_esikSaglik),"ALARM","UYGUN"))</f>
        <v/>
      </c>
      <c r="O41" s="19">
        <f>IF($A41="","",1)</f>
        <v/>
      </c>
      <c r="P41" s="19">
        <f>IF($A41="","",IF(OR($B41="",COUNTIF(tblVarliklar[VarlikId],$B41)=0),"YETIM","TAMAM"))</f>
        <v/>
      </c>
    </row>
    <row r="42">
      <c r="A42" s="15" t="n"/>
      <c r="B42" s="15" t="n"/>
      <c r="C42" s="62" t="n"/>
      <c r="D42" s="16" t="n"/>
      <c r="E42" s="21" t="n"/>
      <c r="F42" s="16" t="n"/>
      <c r="G42" s="15" t="n"/>
      <c r="H42" s="19">
        <f>IF($A42="","",IFERROR(SUMIF(tblVarliklar[VarlikId],$B42,tblVarliklar[KapasiteKwp_kwp]),gup_varsayilanKapasite))</f>
        <v/>
      </c>
      <c r="I42" s="19">
        <f>IF($A42="","",$E42*$H42)</f>
        <v/>
      </c>
      <c r="J42" s="19">
        <f>IF(OR($A42="",$I42=0),"",$D42/$I42)</f>
        <v/>
      </c>
      <c r="K42" s="19">
        <f>IF(OR($A42="",$I42=0),"",$F42/$I42)</f>
        <v/>
      </c>
      <c r="L42" s="19">
        <f>IF($A42="","",$D42)</f>
        <v/>
      </c>
      <c r="M42" s="19">
        <f>IF($A42="","",MAX(0,MIN(100,gup_kaliteTaban-IF($J42&lt;gup_esikPr,gup_kaliteCeza,0)-IF($F42&gt;gup_esikKayipKwh,gup_kaliteSapma,0)-IF($P42="YETIM",gup_kaliteCeza,0))))</f>
        <v/>
      </c>
      <c r="N42" s="19">
        <f>IF($A42="","",IF(OR($J42&lt;gup_esikPr,$F42&gt;gup_esikKayipKwh,$M42&lt;gup_esikSaglik),"ALARM","UYGUN"))</f>
        <v/>
      </c>
      <c r="O42" s="19">
        <f>IF($A42="","",1)</f>
        <v/>
      </c>
      <c r="P42" s="19">
        <f>IF($A42="","",IF(OR($B42="",COUNTIF(tblVarliklar[VarlikId],$B42)=0),"YETIM","TAMAM"))</f>
        <v/>
      </c>
    </row>
    <row r="43">
      <c r="A43" s="15" t="n"/>
      <c r="B43" s="15" t="n"/>
      <c r="C43" s="62" t="n"/>
      <c r="D43" s="16" t="n"/>
      <c r="E43" s="21" t="n"/>
      <c r="F43" s="16" t="n"/>
      <c r="G43" s="15" t="n"/>
      <c r="H43" s="19">
        <f>IF($A43="","",IFERROR(SUMIF(tblVarliklar[VarlikId],$B43,tblVarliklar[KapasiteKwp_kwp]),gup_varsayilanKapasite))</f>
        <v/>
      </c>
      <c r="I43" s="19">
        <f>IF($A43="","",$E43*$H43)</f>
        <v/>
      </c>
      <c r="J43" s="19">
        <f>IF(OR($A43="",$I43=0),"",$D43/$I43)</f>
        <v/>
      </c>
      <c r="K43" s="19">
        <f>IF(OR($A43="",$I43=0),"",$F43/$I43)</f>
        <v/>
      </c>
      <c r="L43" s="19">
        <f>IF($A43="","",$D43)</f>
        <v/>
      </c>
      <c r="M43" s="19">
        <f>IF($A43="","",MAX(0,MIN(100,gup_kaliteTaban-IF($J43&lt;gup_esikPr,gup_kaliteCeza,0)-IF($F43&gt;gup_esikKayipKwh,gup_kaliteSapma,0)-IF($P43="YETIM",gup_kaliteCeza,0))))</f>
        <v/>
      </c>
      <c r="N43" s="19">
        <f>IF($A43="","",IF(OR($J43&lt;gup_esikPr,$F43&gt;gup_esikKayipKwh,$M43&lt;gup_esikSaglik),"ALARM","UYGUN"))</f>
        <v/>
      </c>
      <c r="O43" s="19">
        <f>IF($A43="","",1)</f>
        <v/>
      </c>
      <c r="P43" s="19">
        <f>IF($A43="","",IF(OR($B43="",COUNTIF(tblVarliklar[VarlikId],$B43)=0),"YETIM","TAMAM"))</f>
        <v/>
      </c>
    </row>
    <row r="44">
      <c r="A44" s="15" t="n"/>
      <c r="B44" s="15" t="n"/>
      <c r="C44" s="62" t="n"/>
      <c r="D44" s="16" t="n"/>
      <c r="E44" s="21" t="n"/>
      <c r="F44" s="16" t="n"/>
      <c r="G44" s="15" t="n"/>
      <c r="H44" s="19">
        <f>IF($A44="","",IFERROR(SUMIF(tblVarliklar[VarlikId],$B44,tblVarliklar[KapasiteKwp_kwp]),gup_varsayilanKapasite))</f>
        <v/>
      </c>
      <c r="I44" s="19">
        <f>IF($A44="","",$E44*$H44)</f>
        <v/>
      </c>
      <c r="J44" s="19">
        <f>IF(OR($A44="",$I44=0),"",$D44/$I44)</f>
        <v/>
      </c>
      <c r="K44" s="19">
        <f>IF(OR($A44="",$I44=0),"",$F44/$I44)</f>
        <v/>
      </c>
      <c r="L44" s="19">
        <f>IF($A44="","",$D44)</f>
        <v/>
      </c>
      <c r="M44" s="19">
        <f>IF($A44="","",MAX(0,MIN(100,gup_kaliteTaban-IF($J44&lt;gup_esikPr,gup_kaliteCeza,0)-IF($F44&gt;gup_esikKayipKwh,gup_kaliteSapma,0)-IF($P44="YETIM",gup_kaliteCeza,0))))</f>
        <v/>
      </c>
      <c r="N44" s="19">
        <f>IF($A44="","",IF(OR($J44&lt;gup_esikPr,$F44&gt;gup_esikKayipKwh,$M44&lt;gup_esikSaglik),"ALARM","UYGUN"))</f>
        <v/>
      </c>
      <c r="O44" s="19">
        <f>IF($A44="","",1)</f>
        <v/>
      </c>
      <c r="P44" s="19">
        <f>IF($A44="","",IF(OR($B44="",COUNTIF(tblVarliklar[VarlikId],$B44)=0),"YETIM","TAMAM"))</f>
        <v/>
      </c>
    </row>
    <row r="45">
      <c r="A45" s="15" t="n"/>
      <c r="B45" s="15" t="n"/>
      <c r="C45" s="62" t="n"/>
      <c r="D45" s="16" t="n"/>
      <c r="E45" s="21" t="n"/>
      <c r="F45" s="16" t="n"/>
      <c r="G45" s="15" t="n"/>
      <c r="H45" s="19">
        <f>IF($A45="","",IFERROR(SUMIF(tblVarliklar[VarlikId],$B45,tblVarliklar[KapasiteKwp_kwp]),gup_varsayilanKapasite))</f>
        <v/>
      </c>
      <c r="I45" s="19">
        <f>IF($A45="","",$E45*$H45)</f>
        <v/>
      </c>
      <c r="J45" s="19">
        <f>IF(OR($A45="",$I45=0),"",$D45/$I45)</f>
        <v/>
      </c>
      <c r="K45" s="19">
        <f>IF(OR($A45="",$I45=0),"",$F45/$I45)</f>
        <v/>
      </c>
      <c r="L45" s="19">
        <f>IF($A45="","",$D45)</f>
        <v/>
      </c>
      <c r="M45" s="19">
        <f>IF($A45="","",MAX(0,MIN(100,gup_kaliteTaban-IF($J45&lt;gup_esikPr,gup_kaliteCeza,0)-IF($F45&gt;gup_esikKayipKwh,gup_kaliteSapma,0)-IF($P45="YETIM",gup_kaliteCeza,0))))</f>
        <v/>
      </c>
      <c r="N45" s="19">
        <f>IF($A45="","",IF(OR($J45&lt;gup_esikPr,$F45&gt;gup_esikKayipKwh,$M45&lt;gup_esikSaglik),"ALARM","UYGUN"))</f>
        <v/>
      </c>
      <c r="O45" s="19">
        <f>IF($A45="","",1)</f>
        <v/>
      </c>
      <c r="P45" s="19">
        <f>IF($A45="","",IF(OR($B45="",COUNTIF(tblVarliklar[VarlikId],$B45)=0),"YETIM","TAMAM"))</f>
        <v/>
      </c>
    </row>
    <row r="46">
      <c r="A46" s="15" t="n"/>
      <c r="B46" s="15" t="n"/>
      <c r="C46" s="62" t="n"/>
      <c r="D46" s="16" t="n"/>
      <c r="E46" s="21" t="n"/>
      <c r="F46" s="16" t="n"/>
      <c r="G46" s="15" t="n"/>
      <c r="H46" s="19">
        <f>IF($A46="","",IFERROR(SUMIF(tblVarliklar[VarlikId],$B46,tblVarliklar[KapasiteKwp_kwp]),gup_varsayilanKapasite))</f>
        <v/>
      </c>
      <c r="I46" s="19">
        <f>IF($A46="","",$E46*$H46)</f>
        <v/>
      </c>
      <c r="J46" s="19">
        <f>IF(OR($A46="",$I46=0),"",$D46/$I46)</f>
        <v/>
      </c>
      <c r="K46" s="19">
        <f>IF(OR($A46="",$I46=0),"",$F46/$I46)</f>
        <v/>
      </c>
      <c r="L46" s="19">
        <f>IF($A46="","",$D46)</f>
        <v/>
      </c>
      <c r="M46" s="19">
        <f>IF($A46="","",MAX(0,MIN(100,gup_kaliteTaban-IF($J46&lt;gup_esikPr,gup_kaliteCeza,0)-IF($F46&gt;gup_esikKayipKwh,gup_kaliteSapma,0)-IF($P46="YETIM",gup_kaliteCeza,0))))</f>
        <v/>
      </c>
      <c r="N46" s="19">
        <f>IF($A46="","",IF(OR($J46&lt;gup_esikPr,$F46&gt;gup_esikKayipKwh,$M46&lt;gup_esikSaglik),"ALARM","UYGUN"))</f>
        <v/>
      </c>
      <c r="O46" s="19">
        <f>IF($A46="","",1)</f>
        <v/>
      </c>
      <c r="P46" s="19">
        <f>IF($A46="","",IF(OR($B46="",COUNTIF(tblVarliklar[VarlikId],$B46)=0),"YETIM","TAMAM"))</f>
        <v/>
      </c>
    </row>
    <row r="47">
      <c r="A47" s="15" t="n"/>
      <c r="B47" s="15" t="n"/>
      <c r="C47" s="62" t="n"/>
      <c r="D47" s="16" t="n"/>
      <c r="E47" s="21" t="n"/>
      <c r="F47" s="16" t="n"/>
      <c r="G47" s="15" t="n"/>
      <c r="H47" s="19">
        <f>IF($A47="","",IFERROR(SUMIF(tblVarliklar[VarlikId],$B47,tblVarliklar[KapasiteKwp_kwp]),gup_varsayilanKapasite))</f>
        <v/>
      </c>
      <c r="I47" s="19">
        <f>IF($A47="","",$E47*$H47)</f>
        <v/>
      </c>
      <c r="J47" s="19">
        <f>IF(OR($A47="",$I47=0),"",$D47/$I47)</f>
        <v/>
      </c>
      <c r="K47" s="19">
        <f>IF(OR($A47="",$I47=0),"",$F47/$I47)</f>
        <v/>
      </c>
      <c r="L47" s="19">
        <f>IF($A47="","",$D47)</f>
        <v/>
      </c>
      <c r="M47" s="19">
        <f>IF($A47="","",MAX(0,MIN(100,gup_kaliteTaban-IF($J47&lt;gup_esikPr,gup_kaliteCeza,0)-IF($F47&gt;gup_esikKayipKwh,gup_kaliteSapma,0)-IF($P47="YETIM",gup_kaliteCeza,0))))</f>
        <v/>
      </c>
      <c r="N47" s="19">
        <f>IF($A47="","",IF(OR($J47&lt;gup_esikPr,$F47&gt;gup_esikKayipKwh,$M47&lt;gup_esikSaglik),"ALARM","UYGUN"))</f>
        <v/>
      </c>
      <c r="O47" s="19">
        <f>IF($A47="","",1)</f>
        <v/>
      </c>
      <c r="P47" s="19">
        <f>IF($A47="","",IF(OR($B47="",COUNTIF(tblVarliklar[VarlikId],$B47)=0),"YETIM","TAMAM"))</f>
        <v/>
      </c>
    </row>
    <row r="48">
      <c r="A48" s="15" t="n"/>
      <c r="B48" s="15" t="n"/>
      <c r="C48" s="62" t="n"/>
      <c r="D48" s="16" t="n"/>
      <c r="E48" s="21" t="n"/>
      <c r="F48" s="16" t="n"/>
      <c r="G48" s="15" t="n"/>
      <c r="H48" s="19">
        <f>IF($A48="","",IFERROR(SUMIF(tblVarliklar[VarlikId],$B48,tblVarliklar[KapasiteKwp_kwp]),gup_varsayilanKapasite))</f>
        <v/>
      </c>
      <c r="I48" s="19">
        <f>IF($A48="","",$E48*$H48)</f>
        <v/>
      </c>
      <c r="J48" s="19">
        <f>IF(OR($A48="",$I48=0),"",$D48/$I48)</f>
        <v/>
      </c>
      <c r="K48" s="19">
        <f>IF(OR($A48="",$I48=0),"",$F48/$I48)</f>
        <v/>
      </c>
      <c r="L48" s="19">
        <f>IF($A48="","",$D48)</f>
        <v/>
      </c>
      <c r="M48" s="19">
        <f>IF($A48="","",MAX(0,MIN(100,gup_kaliteTaban-IF($J48&lt;gup_esikPr,gup_kaliteCeza,0)-IF($F48&gt;gup_esikKayipKwh,gup_kaliteSapma,0)-IF($P48="YETIM",gup_kaliteCeza,0))))</f>
        <v/>
      </c>
      <c r="N48" s="19">
        <f>IF($A48="","",IF(OR($J48&lt;gup_esikPr,$F48&gt;gup_esikKayipKwh,$M48&lt;gup_esikSaglik),"ALARM","UYGUN"))</f>
        <v/>
      </c>
      <c r="O48" s="19">
        <f>IF($A48="","",1)</f>
        <v/>
      </c>
      <c r="P48" s="19">
        <f>IF($A48="","",IF(OR($B48="",COUNTIF(tblVarliklar[VarlikId],$B48)=0),"YETIM","TAMAM"))</f>
        <v/>
      </c>
    </row>
    <row r="49">
      <c r="A49" s="15" t="n"/>
      <c r="B49" s="15" t="n"/>
      <c r="C49" s="62" t="n"/>
      <c r="D49" s="16" t="n"/>
      <c r="E49" s="21" t="n"/>
      <c r="F49" s="16" t="n"/>
      <c r="G49" s="15" t="n"/>
      <c r="H49" s="19">
        <f>IF($A49="","",IFERROR(SUMIF(tblVarliklar[VarlikId],$B49,tblVarliklar[KapasiteKwp_kwp]),gup_varsayilanKapasite))</f>
        <v/>
      </c>
      <c r="I49" s="19">
        <f>IF($A49="","",$E49*$H49)</f>
        <v/>
      </c>
      <c r="J49" s="19">
        <f>IF(OR($A49="",$I49=0),"",$D49/$I49)</f>
        <v/>
      </c>
      <c r="K49" s="19">
        <f>IF(OR($A49="",$I49=0),"",$F49/$I49)</f>
        <v/>
      </c>
      <c r="L49" s="19">
        <f>IF($A49="","",$D49)</f>
        <v/>
      </c>
      <c r="M49" s="19">
        <f>IF($A49="","",MAX(0,MIN(100,gup_kaliteTaban-IF($J49&lt;gup_esikPr,gup_kaliteCeza,0)-IF($F49&gt;gup_esikKayipKwh,gup_kaliteSapma,0)-IF($P49="YETIM",gup_kaliteCeza,0))))</f>
        <v/>
      </c>
      <c r="N49" s="19">
        <f>IF($A49="","",IF(OR($J49&lt;gup_esikPr,$F49&gt;gup_esikKayipKwh,$M49&lt;gup_esikSaglik),"ALARM","UYGUN"))</f>
        <v/>
      </c>
      <c r="O49" s="19">
        <f>IF($A49="","",1)</f>
        <v/>
      </c>
      <c r="P49" s="19">
        <f>IF($A49="","",IF(OR($B49="",COUNTIF(tblVarliklar[VarlikId],$B49)=0),"YETIM","TAMAM"))</f>
        <v/>
      </c>
    </row>
    <row r="50">
      <c r="A50" s="15" t="n"/>
      <c r="B50" s="15" t="n"/>
      <c r="C50" s="62" t="n"/>
      <c r="D50" s="16" t="n"/>
      <c r="E50" s="21" t="n"/>
      <c r="F50" s="16" t="n"/>
      <c r="G50" s="15" t="n"/>
      <c r="H50" s="19">
        <f>IF($A50="","",IFERROR(SUMIF(tblVarliklar[VarlikId],$B50,tblVarliklar[KapasiteKwp_kwp]),gup_varsayilanKapasite))</f>
        <v/>
      </c>
      <c r="I50" s="19">
        <f>IF($A50="","",$E50*$H50)</f>
        <v/>
      </c>
      <c r="J50" s="19">
        <f>IF(OR($A50="",$I50=0),"",$D50/$I50)</f>
        <v/>
      </c>
      <c r="K50" s="19">
        <f>IF(OR($A50="",$I50=0),"",$F50/$I50)</f>
        <v/>
      </c>
      <c r="L50" s="19">
        <f>IF($A50="","",$D50)</f>
        <v/>
      </c>
      <c r="M50" s="19">
        <f>IF($A50="","",MAX(0,MIN(100,gup_kaliteTaban-IF($J50&lt;gup_esikPr,gup_kaliteCeza,0)-IF($F50&gt;gup_esikKayipKwh,gup_kaliteSapma,0)-IF($P50="YETIM",gup_kaliteCeza,0))))</f>
        <v/>
      </c>
      <c r="N50" s="19">
        <f>IF($A50="","",IF(OR($J50&lt;gup_esikPr,$F50&gt;gup_esikKayipKwh,$M50&lt;gup_esikSaglik),"ALARM","UYGUN"))</f>
        <v/>
      </c>
      <c r="O50" s="19">
        <f>IF($A50="","",1)</f>
        <v/>
      </c>
      <c r="P50" s="19">
        <f>IF($A50="","",IF(OR($B50="",COUNTIF(tblVarliklar[VarlikId],$B50)=0),"YETIM","TAMAM"))</f>
        <v/>
      </c>
    </row>
    <row r="51">
      <c r="A51" s="15" t="n"/>
      <c r="B51" s="15" t="n"/>
      <c r="C51" s="62" t="n"/>
      <c r="D51" s="16" t="n"/>
      <c r="E51" s="21" t="n"/>
      <c r="F51" s="16" t="n"/>
      <c r="G51" s="15" t="n"/>
      <c r="H51" s="19">
        <f>IF($A51="","",IFERROR(SUMIF(tblVarliklar[VarlikId],$B51,tblVarliklar[KapasiteKwp_kwp]),gup_varsayilanKapasite))</f>
        <v/>
      </c>
      <c r="I51" s="19">
        <f>IF($A51="","",$E51*$H51)</f>
        <v/>
      </c>
      <c r="J51" s="19">
        <f>IF(OR($A51="",$I51=0),"",$D51/$I51)</f>
        <v/>
      </c>
      <c r="K51" s="19">
        <f>IF(OR($A51="",$I51=0),"",$F51/$I51)</f>
        <v/>
      </c>
      <c r="L51" s="19">
        <f>IF($A51="","",$D51)</f>
        <v/>
      </c>
      <c r="M51" s="19">
        <f>IF($A51="","",MAX(0,MIN(100,gup_kaliteTaban-IF($J51&lt;gup_esikPr,gup_kaliteCeza,0)-IF($F51&gt;gup_esikKayipKwh,gup_kaliteSapma,0)-IF($P51="YETIM",gup_kaliteCeza,0))))</f>
        <v/>
      </c>
      <c r="N51" s="19">
        <f>IF($A51="","",IF(OR($J51&lt;gup_esikPr,$F51&gt;gup_esikKayipKwh,$M51&lt;gup_esikSaglik),"ALARM","UYGUN"))</f>
        <v/>
      </c>
      <c r="O51" s="19">
        <f>IF($A51="","",1)</f>
        <v/>
      </c>
      <c r="P51" s="19">
        <f>IF($A51="","",IF(OR($B51="",COUNTIF(tblVarliklar[VarlikId],$B51)=0),"YETIM","TAMAM"))</f>
        <v/>
      </c>
    </row>
    <row r="52">
      <c r="A52" s="15" t="n"/>
      <c r="B52" s="15" t="n"/>
      <c r="C52" s="62" t="n"/>
      <c r="D52" s="16" t="n"/>
      <c r="E52" s="21" t="n"/>
      <c r="F52" s="16" t="n"/>
      <c r="G52" s="15" t="n"/>
      <c r="H52" s="19">
        <f>IF($A52="","",IFERROR(SUMIF(tblVarliklar[VarlikId],$B52,tblVarliklar[KapasiteKwp_kwp]),gup_varsayilanKapasite))</f>
        <v/>
      </c>
      <c r="I52" s="19">
        <f>IF($A52="","",$E52*$H52)</f>
        <v/>
      </c>
      <c r="J52" s="19">
        <f>IF(OR($A52="",$I52=0),"",$D52/$I52)</f>
        <v/>
      </c>
      <c r="K52" s="19">
        <f>IF(OR($A52="",$I52=0),"",$F52/$I52)</f>
        <v/>
      </c>
      <c r="L52" s="19">
        <f>IF($A52="","",$D52)</f>
        <v/>
      </c>
      <c r="M52" s="19">
        <f>IF($A52="","",MAX(0,MIN(100,gup_kaliteTaban-IF($J52&lt;gup_esikPr,gup_kaliteCeza,0)-IF($F52&gt;gup_esikKayipKwh,gup_kaliteSapma,0)-IF($P52="YETIM",gup_kaliteCeza,0))))</f>
        <v/>
      </c>
      <c r="N52" s="19">
        <f>IF($A52="","",IF(OR($J52&lt;gup_esikPr,$F52&gt;gup_esikKayipKwh,$M52&lt;gup_esikSaglik),"ALARM","UYGUN"))</f>
        <v/>
      </c>
      <c r="O52" s="19">
        <f>IF($A52="","",1)</f>
        <v/>
      </c>
      <c r="P52" s="19">
        <f>IF($A52="","",IF(OR($B52="",COUNTIF(tblVarliklar[VarlikId],$B52)=0),"YETIM","TAMAM"))</f>
        <v/>
      </c>
    </row>
    <row r="53">
      <c r="A53" s="15" t="n"/>
      <c r="B53" s="15" t="n"/>
      <c r="C53" s="62" t="n"/>
      <c r="D53" s="16" t="n"/>
      <c r="E53" s="21" t="n"/>
      <c r="F53" s="16" t="n"/>
      <c r="G53" s="15" t="n"/>
      <c r="H53" s="19">
        <f>IF($A53="","",IFERROR(SUMIF(tblVarliklar[VarlikId],$B53,tblVarliklar[KapasiteKwp_kwp]),gup_varsayilanKapasite))</f>
        <v/>
      </c>
      <c r="I53" s="19">
        <f>IF($A53="","",$E53*$H53)</f>
        <v/>
      </c>
      <c r="J53" s="19">
        <f>IF(OR($A53="",$I53=0),"",$D53/$I53)</f>
        <v/>
      </c>
      <c r="K53" s="19">
        <f>IF(OR($A53="",$I53=0),"",$F53/$I53)</f>
        <v/>
      </c>
      <c r="L53" s="19">
        <f>IF($A53="","",$D53)</f>
        <v/>
      </c>
      <c r="M53" s="19">
        <f>IF($A53="","",MAX(0,MIN(100,gup_kaliteTaban-IF($J53&lt;gup_esikPr,gup_kaliteCeza,0)-IF($F53&gt;gup_esikKayipKwh,gup_kaliteSapma,0)-IF($P53="YETIM",gup_kaliteCeza,0))))</f>
        <v/>
      </c>
      <c r="N53" s="19">
        <f>IF($A53="","",IF(OR($J53&lt;gup_esikPr,$F53&gt;gup_esikKayipKwh,$M53&lt;gup_esikSaglik),"ALARM","UYGUN"))</f>
        <v/>
      </c>
      <c r="O53" s="19">
        <f>IF($A53="","",1)</f>
        <v/>
      </c>
      <c r="P53" s="19">
        <f>IF($A53="","",IF(OR($B53="",COUNTIF(tblVarliklar[VarlikId],$B53)=0),"YETIM","TAMAM"))</f>
        <v/>
      </c>
    </row>
    <row r="54">
      <c r="A54" s="15" t="n"/>
      <c r="B54" s="15" t="n"/>
      <c r="C54" s="62" t="n"/>
      <c r="D54" s="16" t="n"/>
      <c r="E54" s="21" t="n"/>
      <c r="F54" s="16" t="n"/>
      <c r="G54" s="15" t="n"/>
      <c r="H54" s="19">
        <f>IF($A54="","",IFERROR(SUMIF(tblVarliklar[VarlikId],$B54,tblVarliklar[KapasiteKwp_kwp]),gup_varsayilanKapasite))</f>
        <v/>
      </c>
      <c r="I54" s="19">
        <f>IF($A54="","",$E54*$H54)</f>
        <v/>
      </c>
      <c r="J54" s="19">
        <f>IF(OR($A54="",$I54=0),"",$D54/$I54)</f>
        <v/>
      </c>
      <c r="K54" s="19">
        <f>IF(OR($A54="",$I54=0),"",$F54/$I54)</f>
        <v/>
      </c>
      <c r="L54" s="19">
        <f>IF($A54="","",$D54)</f>
        <v/>
      </c>
      <c r="M54" s="19">
        <f>IF($A54="","",MAX(0,MIN(100,gup_kaliteTaban-IF($J54&lt;gup_esikPr,gup_kaliteCeza,0)-IF($F54&gt;gup_esikKayipKwh,gup_kaliteSapma,0)-IF($P54="YETIM",gup_kaliteCeza,0))))</f>
        <v/>
      </c>
      <c r="N54" s="19">
        <f>IF($A54="","",IF(OR($J54&lt;gup_esikPr,$F54&gt;gup_esikKayipKwh,$M54&lt;gup_esikSaglik),"ALARM","UYGUN"))</f>
        <v/>
      </c>
      <c r="O54" s="19">
        <f>IF($A54="","",1)</f>
        <v/>
      </c>
      <c r="P54" s="19">
        <f>IF($A54="","",IF(OR($B54="",COUNTIF(tblVarliklar[VarlikId],$B54)=0),"YETIM","TAMAM"))</f>
        <v/>
      </c>
    </row>
    <row r="55">
      <c r="A55" s="15" t="n"/>
      <c r="B55" s="15" t="n"/>
      <c r="C55" s="62" t="n"/>
      <c r="D55" s="16" t="n"/>
      <c r="E55" s="21" t="n"/>
      <c r="F55" s="16" t="n"/>
      <c r="G55" s="15" t="n"/>
      <c r="H55" s="19">
        <f>IF($A55="","",IFERROR(SUMIF(tblVarliklar[VarlikId],$B55,tblVarliklar[KapasiteKwp_kwp]),gup_varsayilanKapasite))</f>
        <v/>
      </c>
      <c r="I55" s="19">
        <f>IF($A55="","",$E55*$H55)</f>
        <v/>
      </c>
      <c r="J55" s="19">
        <f>IF(OR($A55="",$I55=0),"",$D55/$I55)</f>
        <v/>
      </c>
      <c r="K55" s="19">
        <f>IF(OR($A55="",$I55=0),"",$F55/$I55)</f>
        <v/>
      </c>
      <c r="L55" s="19">
        <f>IF($A55="","",$D55)</f>
        <v/>
      </c>
      <c r="M55" s="19">
        <f>IF($A55="","",MAX(0,MIN(100,gup_kaliteTaban-IF($J55&lt;gup_esikPr,gup_kaliteCeza,0)-IF($F55&gt;gup_esikKayipKwh,gup_kaliteSapma,0)-IF($P55="YETIM",gup_kaliteCeza,0))))</f>
        <v/>
      </c>
      <c r="N55" s="19">
        <f>IF($A55="","",IF(OR($J55&lt;gup_esikPr,$F55&gt;gup_esikKayipKwh,$M55&lt;gup_esikSaglik),"ALARM","UYGUN"))</f>
        <v/>
      </c>
      <c r="O55" s="19">
        <f>IF($A55="","",1)</f>
        <v/>
      </c>
      <c r="P55" s="19">
        <f>IF($A55="","",IF(OR($B55="",COUNTIF(tblVarliklar[VarlikId],$B55)=0),"YETIM","TAMAM"))</f>
        <v/>
      </c>
    </row>
    <row r="56">
      <c r="A56" s="15" t="n"/>
      <c r="B56" s="15" t="n"/>
      <c r="C56" s="62" t="n"/>
      <c r="D56" s="16" t="n"/>
      <c r="E56" s="21" t="n"/>
      <c r="F56" s="16" t="n"/>
      <c r="G56" s="15" t="n"/>
      <c r="H56" s="19">
        <f>IF($A56="","",IFERROR(SUMIF(tblVarliklar[VarlikId],$B56,tblVarliklar[KapasiteKwp_kwp]),gup_varsayilanKapasite))</f>
        <v/>
      </c>
      <c r="I56" s="19">
        <f>IF($A56="","",$E56*$H56)</f>
        <v/>
      </c>
      <c r="J56" s="19">
        <f>IF(OR($A56="",$I56=0),"",$D56/$I56)</f>
        <v/>
      </c>
      <c r="K56" s="19">
        <f>IF(OR($A56="",$I56=0),"",$F56/$I56)</f>
        <v/>
      </c>
      <c r="L56" s="19">
        <f>IF($A56="","",$D56)</f>
        <v/>
      </c>
      <c r="M56" s="19">
        <f>IF($A56="","",MAX(0,MIN(100,gup_kaliteTaban-IF($J56&lt;gup_esikPr,gup_kaliteCeza,0)-IF($F56&gt;gup_esikKayipKwh,gup_kaliteSapma,0)-IF($P56="YETIM",gup_kaliteCeza,0))))</f>
        <v/>
      </c>
      <c r="N56" s="19">
        <f>IF($A56="","",IF(OR($J56&lt;gup_esikPr,$F56&gt;gup_esikKayipKwh,$M56&lt;gup_esikSaglik),"ALARM","UYGUN"))</f>
        <v/>
      </c>
      <c r="O56" s="19">
        <f>IF($A56="","",1)</f>
        <v/>
      </c>
      <c r="P56" s="19">
        <f>IF($A56="","",IF(OR($B56="",COUNTIF(tblVarliklar[VarlikId],$B56)=0),"YETIM","TAMAM"))</f>
        <v/>
      </c>
    </row>
    <row r="57">
      <c r="A57" s="15" t="n"/>
      <c r="B57" s="15" t="n"/>
      <c r="C57" s="62" t="n"/>
      <c r="D57" s="16" t="n"/>
      <c r="E57" s="21" t="n"/>
      <c r="F57" s="16" t="n"/>
      <c r="G57" s="15" t="n"/>
      <c r="H57" s="19">
        <f>IF($A57="","",IFERROR(SUMIF(tblVarliklar[VarlikId],$B57,tblVarliklar[KapasiteKwp_kwp]),gup_varsayilanKapasite))</f>
        <v/>
      </c>
      <c r="I57" s="19">
        <f>IF($A57="","",$E57*$H57)</f>
        <v/>
      </c>
      <c r="J57" s="19">
        <f>IF(OR($A57="",$I57=0),"",$D57/$I57)</f>
        <v/>
      </c>
      <c r="K57" s="19">
        <f>IF(OR($A57="",$I57=0),"",$F57/$I57)</f>
        <v/>
      </c>
      <c r="L57" s="19">
        <f>IF($A57="","",$D57)</f>
        <v/>
      </c>
      <c r="M57" s="19">
        <f>IF($A57="","",MAX(0,MIN(100,gup_kaliteTaban-IF($J57&lt;gup_esikPr,gup_kaliteCeza,0)-IF($F57&gt;gup_esikKayipKwh,gup_kaliteSapma,0)-IF($P57="YETIM",gup_kaliteCeza,0))))</f>
        <v/>
      </c>
      <c r="N57" s="19">
        <f>IF($A57="","",IF(OR($J57&lt;gup_esikPr,$F57&gt;gup_esikKayipKwh,$M57&lt;gup_esikSaglik),"ALARM","UYGUN"))</f>
        <v/>
      </c>
      <c r="O57" s="19">
        <f>IF($A57="","",1)</f>
        <v/>
      </c>
      <c r="P57" s="19">
        <f>IF($A57="","",IF(OR($B57="",COUNTIF(tblVarliklar[VarlikId],$B57)=0),"YETIM","TAMAM"))</f>
        <v/>
      </c>
    </row>
    <row r="58">
      <c r="A58" s="15" t="n"/>
      <c r="B58" s="15" t="n"/>
      <c r="C58" s="62" t="n"/>
      <c r="D58" s="16" t="n"/>
      <c r="E58" s="21" t="n"/>
      <c r="F58" s="16" t="n"/>
      <c r="G58" s="15" t="n"/>
      <c r="H58" s="19">
        <f>IF($A58="","",IFERROR(SUMIF(tblVarliklar[VarlikId],$B58,tblVarliklar[KapasiteKwp_kwp]),gup_varsayilanKapasite))</f>
        <v/>
      </c>
      <c r="I58" s="19">
        <f>IF($A58="","",$E58*$H58)</f>
        <v/>
      </c>
      <c r="J58" s="19">
        <f>IF(OR($A58="",$I58=0),"",$D58/$I58)</f>
        <v/>
      </c>
      <c r="K58" s="19">
        <f>IF(OR($A58="",$I58=0),"",$F58/$I58)</f>
        <v/>
      </c>
      <c r="L58" s="19">
        <f>IF($A58="","",$D58)</f>
        <v/>
      </c>
      <c r="M58" s="19">
        <f>IF($A58="","",MAX(0,MIN(100,gup_kaliteTaban-IF($J58&lt;gup_esikPr,gup_kaliteCeza,0)-IF($F58&gt;gup_esikKayipKwh,gup_kaliteSapma,0)-IF($P58="YETIM",gup_kaliteCeza,0))))</f>
        <v/>
      </c>
      <c r="N58" s="19">
        <f>IF($A58="","",IF(OR($J58&lt;gup_esikPr,$F58&gt;gup_esikKayipKwh,$M58&lt;gup_esikSaglik),"ALARM","UYGUN"))</f>
        <v/>
      </c>
      <c r="O58" s="19">
        <f>IF($A58="","",1)</f>
        <v/>
      </c>
      <c r="P58" s="19">
        <f>IF($A58="","",IF(OR($B58="",COUNTIF(tblVarliklar[VarlikId],$B58)=0),"YETIM","TAMAM"))</f>
        <v/>
      </c>
    </row>
    <row r="59">
      <c r="A59" s="15" t="n"/>
      <c r="B59" s="15" t="n"/>
      <c r="C59" s="62" t="n"/>
      <c r="D59" s="16" t="n"/>
      <c r="E59" s="21" t="n"/>
      <c r="F59" s="16" t="n"/>
      <c r="G59" s="15" t="n"/>
      <c r="H59" s="19">
        <f>IF($A59="","",IFERROR(SUMIF(tblVarliklar[VarlikId],$B59,tblVarliklar[KapasiteKwp_kwp]),gup_varsayilanKapasite))</f>
        <v/>
      </c>
      <c r="I59" s="19">
        <f>IF($A59="","",$E59*$H59)</f>
        <v/>
      </c>
      <c r="J59" s="19">
        <f>IF(OR($A59="",$I59=0),"",$D59/$I59)</f>
        <v/>
      </c>
      <c r="K59" s="19">
        <f>IF(OR($A59="",$I59=0),"",$F59/$I59)</f>
        <v/>
      </c>
      <c r="L59" s="19">
        <f>IF($A59="","",$D59)</f>
        <v/>
      </c>
      <c r="M59" s="19">
        <f>IF($A59="","",MAX(0,MIN(100,gup_kaliteTaban-IF($J59&lt;gup_esikPr,gup_kaliteCeza,0)-IF($F59&gt;gup_esikKayipKwh,gup_kaliteSapma,0)-IF($P59="YETIM",gup_kaliteCeza,0))))</f>
        <v/>
      </c>
      <c r="N59" s="19">
        <f>IF($A59="","",IF(OR($J59&lt;gup_esikPr,$F59&gt;gup_esikKayipKwh,$M59&lt;gup_esikSaglik),"ALARM","UYGUN"))</f>
        <v/>
      </c>
      <c r="O59" s="19">
        <f>IF($A59="","",1)</f>
        <v/>
      </c>
      <c r="P59" s="19">
        <f>IF($A59="","",IF(OR($B59="",COUNTIF(tblVarliklar[VarlikId],$B59)=0),"YETIM","TAMAM"))</f>
        <v/>
      </c>
    </row>
    <row r="60">
      <c r="A60" s="15" t="n"/>
      <c r="B60" s="15" t="n"/>
      <c r="C60" s="62" t="n"/>
      <c r="D60" s="16" t="n"/>
      <c r="E60" s="21" t="n"/>
      <c r="F60" s="16" t="n"/>
      <c r="G60" s="15" t="n"/>
      <c r="H60" s="19">
        <f>IF($A60="","",IFERROR(SUMIF(tblVarliklar[VarlikId],$B60,tblVarliklar[KapasiteKwp_kwp]),gup_varsayilanKapasite))</f>
        <v/>
      </c>
      <c r="I60" s="19">
        <f>IF($A60="","",$E60*$H60)</f>
        <v/>
      </c>
      <c r="J60" s="19">
        <f>IF(OR($A60="",$I60=0),"",$D60/$I60)</f>
        <v/>
      </c>
      <c r="K60" s="19">
        <f>IF(OR($A60="",$I60=0),"",$F60/$I60)</f>
        <v/>
      </c>
      <c r="L60" s="19">
        <f>IF($A60="","",$D60)</f>
        <v/>
      </c>
      <c r="M60" s="19">
        <f>IF($A60="","",MAX(0,MIN(100,gup_kaliteTaban-IF($J60&lt;gup_esikPr,gup_kaliteCeza,0)-IF($F60&gt;gup_esikKayipKwh,gup_kaliteSapma,0)-IF($P60="YETIM",gup_kaliteCeza,0))))</f>
        <v/>
      </c>
      <c r="N60" s="19">
        <f>IF($A60="","",IF(OR($J60&lt;gup_esikPr,$F60&gt;gup_esikKayipKwh,$M60&lt;gup_esikSaglik),"ALARM","UYGUN"))</f>
        <v/>
      </c>
      <c r="O60" s="19">
        <f>IF($A60="","",1)</f>
        <v/>
      </c>
      <c r="P60" s="19">
        <f>IF($A60="","",IF(OR($B60="",COUNTIF(tblVarliklar[VarlikId],$B60)=0),"YETIM","TAMAM"))</f>
        <v/>
      </c>
    </row>
    <row r="61">
      <c r="A61" s="15" t="n"/>
      <c r="B61" s="15" t="n"/>
      <c r="C61" s="62" t="n"/>
      <c r="D61" s="16" t="n"/>
      <c r="E61" s="21" t="n"/>
      <c r="F61" s="16" t="n"/>
      <c r="G61" s="15" t="n"/>
      <c r="H61" s="19">
        <f>IF($A61="","",IFERROR(SUMIF(tblVarliklar[VarlikId],$B61,tblVarliklar[KapasiteKwp_kwp]),gup_varsayilanKapasite))</f>
        <v/>
      </c>
      <c r="I61" s="19">
        <f>IF($A61="","",$E61*$H61)</f>
        <v/>
      </c>
      <c r="J61" s="19">
        <f>IF(OR($A61="",$I61=0),"",$D61/$I61)</f>
        <v/>
      </c>
      <c r="K61" s="19">
        <f>IF(OR($A61="",$I61=0),"",$F61/$I61)</f>
        <v/>
      </c>
      <c r="L61" s="19">
        <f>IF($A61="","",$D61)</f>
        <v/>
      </c>
      <c r="M61" s="19">
        <f>IF($A61="","",MAX(0,MIN(100,gup_kaliteTaban-IF($J61&lt;gup_esikPr,gup_kaliteCeza,0)-IF($F61&gt;gup_esikKayipKwh,gup_kaliteSapma,0)-IF($P61="YETIM",gup_kaliteCeza,0))))</f>
        <v/>
      </c>
      <c r="N61" s="19">
        <f>IF($A61="","",IF(OR($J61&lt;gup_esikPr,$F61&gt;gup_esikKayipKwh,$M61&lt;gup_esikSaglik),"ALARM","UYGUN"))</f>
        <v/>
      </c>
      <c r="O61" s="19">
        <f>IF($A61="","",1)</f>
        <v/>
      </c>
      <c r="P61" s="19">
        <f>IF($A61="","",IF(OR($B61="",COUNTIF(tblVarliklar[VarlikId],$B61)=0),"YETIM","TAMAM"))</f>
        <v/>
      </c>
    </row>
    <row r="62">
      <c r="A62" s="15" t="n"/>
      <c r="B62" s="15" t="n"/>
      <c r="C62" s="62" t="n"/>
      <c r="D62" s="16" t="n"/>
      <c r="E62" s="21" t="n"/>
      <c r="F62" s="16" t="n"/>
      <c r="G62" s="15" t="n"/>
      <c r="H62" s="19">
        <f>IF($A62="","",IFERROR(SUMIF(tblVarliklar[VarlikId],$B62,tblVarliklar[KapasiteKwp_kwp]),gup_varsayilanKapasite))</f>
        <v/>
      </c>
      <c r="I62" s="19">
        <f>IF($A62="","",$E62*$H62)</f>
        <v/>
      </c>
      <c r="J62" s="19">
        <f>IF(OR($A62="",$I62=0),"",$D62/$I62)</f>
        <v/>
      </c>
      <c r="K62" s="19">
        <f>IF(OR($A62="",$I62=0),"",$F62/$I62)</f>
        <v/>
      </c>
      <c r="L62" s="19">
        <f>IF($A62="","",$D62)</f>
        <v/>
      </c>
      <c r="M62" s="19">
        <f>IF($A62="","",MAX(0,MIN(100,gup_kaliteTaban-IF($J62&lt;gup_esikPr,gup_kaliteCeza,0)-IF($F62&gt;gup_esikKayipKwh,gup_kaliteSapma,0)-IF($P62="YETIM",gup_kaliteCeza,0))))</f>
        <v/>
      </c>
      <c r="N62" s="19">
        <f>IF($A62="","",IF(OR($J62&lt;gup_esikPr,$F62&gt;gup_esikKayipKwh,$M62&lt;gup_esikSaglik),"ALARM","UYGUN"))</f>
        <v/>
      </c>
      <c r="O62" s="19">
        <f>IF($A62="","",1)</f>
        <v/>
      </c>
      <c r="P62" s="19">
        <f>IF($A62="","",IF(OR($B62="",COUNTIF(tblVarliklar[VarlikId],$B62)=0),"YETIM","TAMAM"))</f>
        <v/>
      </c>
    </row>
    <row r="63">
      <c r="A63" s="15" t="n"/>
      <c r="B63" s="15" t="n"/>
      <c r="C63" s="62" t="n"/>
      <c r="D63" s="16" t="n"/>
      <c r="E63" s="21" t="n"/>
      <c r="F63" s="16" t="n"/>
      <c r="G63" s="15" t="n"/>
      <c r="H63" s="19">
        <f>IF($A63="","",IFERROR(SUMIF(tblVarliklar[VarlikId],$B63,tblVarliklar[KapasiteKwp_kwp]),gup_varsayilanKapasite))</f>
        <v/>
      </c>
      <c r="I63" s="19">
        <f>IF($A63="","",$E63*$H63)</f>
        <v/>
      </c>
      <c r="J63" s="19">
        <f>IF(OR($A63="",$I63=0),"",$D63/$I63)</f>
        <v/>
      </c>
      <c r="K63" s="19">
        <f>IF(OR($A63="",$I63=0),"",$F63/$I63)</f>
        <v/>
      </c>
      <c r="L63" s="19">
        <f>IF($A63="","",$D63)</f>
        <v/>
      </c>
      <c r="M63" s="19">
        <f>IF($A63="","",MAX(0,MIN(100,gup_kaliteTaban-IF($J63&lt;gup_esikPr,gup_kaliteCeza,0)-IF($F63&gt;gup_esikKayipKwh,gup_kaliteSapma,0)-IF($P63="YETIM",gup_kaliteCeza,0))))</f>
        <v/>
      </c>
      <c r="N63" s="19">
        <f>IF($A63="","",IF(OR($J63&lt;gup_esikPr,$F63&gt;gup_esikKayipKwh,$M63&lt;gup_esikSaglik),"ALARM","UYGUN"))</f>
        <v/>
      </c>
      <c r="O63" s="19">
        <f>IF($A63="","",1)</f>
        <v/>
      </c>
      <c r="P63" s="19">
        <f>IF($A63="","",IF(OR($B63="",COUNTIF(tblVarliklar[VarlikId],$B63)=0),"YETIM","TAMAM"))</f>
        <v/>
      </c>
    </row>
    <row r="64">
      <c r="A64" s="15" t="n"/>
      <c r="B64" s="15" t="n"/>
      <c r="C64" s="62" t="n"/>
      <c r="D64" s="16" t="n"/>
      <c r="E64" s="21" t="n"/>
      <c r="F64" s="16" t="n"/>
      <c r="G64" s="15" t="n"/>
      <c r="H64" s="19">
        <f>IF($A64="","",IFERROR(SUMIF(tblVarliklar[VarlikId],$B64,tblVarliklar[KapasiteKwp_kwp]),gup_varsayilanKapasite))</f>
        <v/>
      </c>
      <c r="I64" s="19">
        <f>IF($A64="","",$E64*$H64)</f>
        <v/>
      </c>
      <c r="J64" s="19">
        <f>IF(OR($A64="",$I64=0),"",$D64/$I64)</f>
        <v/>
      </c>
      <c r="K64" s="19">
        <f>IF(OR($A64="",$I64=0),"",$F64/$I64)</f>
        <v/>
      </c>
      <c r="L64" s="19">
        <f>IF($A64="","",$D64)</f>
        <v/>
      </c>
      <c r="M64" s="19">
        <f>IF($A64="","",MAX(0,MIN(100,gup_kaliteTaban-IF($J64&lt;gup_esikPr,gup_kaliteCeza,0)-IF($F64&gt;gup_esikKayipKwh,gup_kaliteSapma,0)-IF($P64="YETIM",gup_kaliteCeza,0))))</f>
        <v/>
      </c>
      <c r="N64" s="19">
        <f>IF($A64="","",IF(OR($J64&lt;gup_esikPr,$F64&gt;gup_esikKayipKwh,$M64&lt;gup_esikSaglik),"ALARM","UYGUN"))</f>
        <v/>
      </c>
      <c r="O64" s="19">
        <f>IF($A64="","",1)</f>
        <v/>
      </c>
      <c r="P64" s="19">
        <f>IF($A64="","",IF(OR($B64="",COUNTIF(tblVarliklar[VarlikId],$B64)=0),"YETIM","TAMAM"))</f>
        <v/>
      </c>
    </row>
    <row r="65">
      <c r="A65" s="15" t="n"/>
      <c r="B65" s="15" t="n"/>
      <c r="C65" s="62" t="n"/>
      <c r="D65" s="16" t="n"/>
      <c r="E65" s="21" t="n"/>
      <c r="F65" s="16" t="n"/>
      <c r="G65" s="15" t="n"/>
      <c r="H65" s="19">
        <f>IF($A65="","",IFERROR(SUMIF(tblVarliklar[VarlikId],$B65,tblVarliklar[KapasiteKwp_kwp]),gup_varsayilanKapasite))</f>
        <v/>
      </c>
      <c r="I65" s="19">
        <f>IF($A65="","",$E65*$H65)</f>
        <v/>
      </c>
      <c r="J65" s="19">
        <f>IF(OR($A65="",$I65=0),"",$D65/$I65)</f>
        <v/>
      </c>
      <c r="K65" s="19">
        <f>IF(OR($A65="",$I65=0),"",$F65/$I65)</f>
        <v/>
      </c>
      <c r="L65" s="19">
        <f>IF($A65="","",$D65)</f>
        <v/>
      </c>
      <c r="M65" s="19">
        <f>IF($A65="","",MAX(0,MIN(100,gup_kaliteTaban-IF($J65&lt;gup_esikPr,gup_kaliteCeza,0)-IF($F65&gt;gup_esikKayipKwh,gup_kaliteSapma,0)-IF($P65="YETIM",gup_kaliteCeza,0))))</f>
        <v/>
      </c>
      <c r="N65" s="19">
        <f>IF($A65="","",IF(OR($J65&lt;gup_esikPr,$F65&gt;gup_esikKayipKwh,$M65&lt;gup_esikSaglik),"ALARM","UYGUN"))</f>
        <v/>
      </c>
      <c r="O65" s="19">
        <f>IF($A65="","",1)</f>
        <v/>
      </c>
      <c r="P65" s="19">
        <f>IF($A65="","",IF(OR($B65="",COUNTIF(tblVarliklar[VarlikId],$B65)=0),"YETIM","TAMAM"))</f>
        <v/>
      </c>
    </row>
    <row r="66">
      <c r="A66" s="15" t="n"/>
      <c r="B66" s="15" t="n"/>
      <c r="C66" s="62" t="n"/>
      <c r="D66" s="16" t="n"/>
      <c r="E66" s="21" t="n"/>
      <c r="F66" s="16" t="n"/>
      <c r="G66" s="15" t="n"/>
      <c r="H66" s="19">
        <f>IF($A66="","",IFERROR(SUMIF(tblVarliklar[VarlikId],$B66,tblVarliklar[KapasiteKwp_kwp]),gup_varsayilanKapasite))</f>
        <v/>
      </c>
      <c r="I66" s="19">
        <f>IF($A66="","",$E66*$H66)</f>
        <v/>
      </c>
      <c r="J66" s="19">
        <f>IF(OR($A66="",$I66=0),"",$D66/$I66)</f>
        <v/>
      </c>
      <c r="K66" s="19">
        <f>IF(OR($A66="",$I66=0),"",$F66/$I66)</f>
        <v/>
      </c>
      <c r="L66" s="19">
        <f>IF($A66="","",$D66)</f>
        <v/>
      </c>
      <c r="M66" s="19">
        <f>IF($A66="","",MAX(0,MIN(100,gup_kaliteTaban-IF($J66&lt;gup_esikPr,gup_kaliteCeza,0)-IF($F66&gt;gup_esikKayipKwh,gup_kaliteSapma,0)-IF($P66="YETIM",gup_kaliteCeza,0))))</f>
        <v/>
      </c>
      <c r="N66" s="19">
        <f>IF($A66="","",IF(OR($J66&lt;gup_esikPr,$F66&gt;gup_esikKayipKwh,$M66&lt;gup_esikSaglik),"ALARM","UYGUN"))</f>
        <v/>
      </c>
      <c r="O66" s="19">
        <f>IF($A66="","",1)</f>
        <v/>
      </c>
      <c r="P66" s="19">
        <f>IF($A66="","",IF(OR($B66="",COUNTIF(tblVarliklar[VarlikId],$B66)=0),"YETIM","TAMAM"))</f>
        <v/>
      </c>
    </row>
    <row r="67">
      <c r="A67" s="15" t="n"/>
      <c r="B67" s="15" t="n"/>
      <c r="C67" s="62" t="n"/>
      <c r="D67" s="16" t="n"/>
      <c r="E67" s="21" t="n"/>
      <c r="F67" s="16" t="n"/>
      <c r="G67" s="15" t="n"/>
      <c r="H67" s="19">
        <f>IF($A67="","",IFERROR(SUMIF(tblVarliklar[VarlikId],$B67,tblVarliklar[KapasiteKwp_kwp]),gup_varsayilanKapasite))</f>
        <v/>
      </c>
      <c r="I67" s="19">
        <f>IF($A67="","",$E67*$H67)</f>
        <v/>
      </c>
      <c r="J67" s="19">
        <f>IF(OR($A67="",$I67=0),"",$D67/$I67)</f>
        <v/>
      </c>
      <c r="K67" s="19">
        <f>IF(OR($A67="",$I67=0),"",$F67/$I67)</f>
        <v/>
      </c>
      <c r="L67" s="19">
        <f>IF($A67="","",$D67)</f>
        <v/>
      </c>
      <c r="M67" s="19">
        <f>IF($A67="","",MAX(0,MIN(100,gup_kaliteTaban-IF($J67&lt;gup_esikPr,gup_kaliteCeza,0)-IF($F67&gt;gup_esikKayipKwh,gup_kaliteSapma,0)-IF($P67="YETIM",gup_kaliteCeza,0))))</f>
        <v/>
      </c>
      <c r="N67" s="19">
        <f>IF($A67="","",IF(OR($J67&lt;gup_esikPr,$F67&gt;gup_esikKayipKwh,$M67&lt;gup_esikSaglik),"ALARM","UYGUN"))</f>
        <v/>
      </c>
      <c r="O67" s="19">
        <f>IF($A67="","",1)</f>
        <v/>
      </c>
      <c r="P67" s="19">
        <f>IF($A67="","",IF(OR($B67="",COUNTIF(tblVarliklar[VarlikId],$B67)=0),"YETIM","TAMAM"))</f>
        <v/>
      </c>
    </row>
    <row r="68">
      <c r="A68" s="15" t="n"/>
      <c r="B68" s="15" t="n"/>
      <c r="C68" s="62" t="n"/>
      <c r="D68" s="16" t="n"/>
      <c r="E68" s="21" t="n"/>
      <c r="F68" s="16" t="n"/>
      <c r="G68" s="15" t="n"/>
      <c r="H68" s="19">
        <f>IF($A68="","",IFERROR(SUMIF(tblVarliklar[VarlikId],$B68,tblVarliklar[KapasiteKwp_kwp]),gup_varsayilanKapasite))</f>
        <v/>
      </c>
      <c r="I68" s="19">
        <f>IF($A68="","",$E68*$H68)</f>
        <v/>
      </c>
      <c r="J68" s="19">
        <f>IF(OR($A68="",$I68=0),"",$D68/$I68)</f>
        <v/>
      </c>
      <c r="K68" s="19">
        <f>IF(OR($A68="",$I68=0),"",$F68/$I68)</f>
        <v/>
      </c>
      <c r="L68" s="19">
        <f>IF($A68="","",$D68)</f>
        <v/>
      </c>
      <c r="M68" s="19">
        <f>IF($A68="","",MAX(0,MIN(100,gup_kaliteTaban-IF($J68&lt;gup_esikPr,gup_kaliteCeza,0)-IF($F68&gt;gup_esikKayipKwh,gup_kaliteSapma,0)-IF($P68="YETIM",gup_kaliteCeza,0))))</f>
        <v/>
      </c>
      <c r="N68" s="19">
        <f>IF($A68="","",IF(OR($J68&lt;gup_esikPr,$F68&gt;gup_esikKayipKwh,$M68&lt;gup_esikSaglik),"ALARM","UYGUN"))</f>
        <v/>
      </c>
      <c r="O68" s="19">
        <f>IF($A68="","",1)</f>
        <v/>
      </c>
      <c r="P68" s="19">
        <f>IF($A68="","",IF(OR($B68="",COUNTIF(tblVarliklar[VarlikId],$B68)=0),"YETIM","TAMAM"))</f>
        <v/>
      </c>
    </row>
    <row r="69">
      <c r="A69" s="15" t="n"/>
      <c r="B69" s="15" t="n"/>
      <c r="C69" s="62" t="n"/>
      <c r="D69" s="16" t="n"/>
      <c r="E69" s="21" t="n"/>
      <c r="F69" s="16" t="n"/>
      <c r="G69" s="15" t="n"/>
      <c r="H69" s="19">
        <f>IF($A69="","",IFERROR(SUMIF(tblVarliklar[VarlikId],$B69,tblVarliklar[KapasiteKwp_kwp]),gup_varsayilanKapasite))</f>
        <v/>
      </c>
      <c r="I69" s="19">
        <f>IF($A69="","",$E69*$H69)</f>
        <v/>
      </c>
      <c r="J69" s="19">
        <f>IF(OR($A69="",$I69=0),"",$D69/$I69)</f>
        <v/>
      </c>
      <c r="K69" s="19">
        <f>IF(OR($A69="",$I69=0),"",$F69/$I69)</f>
        <v/>
      </c>
      <c r="L69" s="19">
        <f>IF($A69="","",$D69)</f>
        <v/>
      </c>
      <c r="M69" s="19">
        <f>IF($A69="","",MAX(0,MIN(100,gup_kaliteTaban-IF($J69&lt;gup_esikPr,gup_kaliteCeza,0)-IF($F69&gt;gup_esikKayipKwh,gup_kaliteSapma,0)-IF($P69="YETIM",gup_kaliteCeza,0))))</f>
        <v/>
      </c>
      <c r="N69" s="19">
        <f>IF($A69="","",IF(OR($J69&lt;gup_esikPr,$F69&gt;gup_esikKayipKwh,$M69&lt;gup_esikSaglik),"ALARM","UYGUN"))</f>
        <v/>
      </c>
      <c r="O69" s="19">
        <f>IF($A69="","",1)</f>
        <v/>
      </c>
      <c r="P69" s="19">
        <f>IF($A69="","",IF(OR($B69="",COUNTIF(tblVarliklar[VarlikId],$B69)=0),"YETIM","TAMAM"))</f>
        <v/>
      </c>
    </row>
    <row r="70">
      <c r="A70" s="15" t="n"/>
      <c r="B70" s="15" t="n"/>
      <c r="C70" s="62" t="n"/>
      <c r="D70" s="16" t="n"/>
      <c r="E70" s="21" t="n"/>
      <c r="F70" s="16" t="n"/>
      <c r="G70" s="15" t="n"/>
      <c r="H70" s="19">
        <f>IF($A70="","",IFERROR(SUMIF(tblVarliklar[VarlikId],$B70,tblVarliklar[KapasiteKwp_kwp]),gup_varsayilanKapasite))</f>
        <v/>
      </c>
      <c r="I70" s="19">
        <f>IF($A70="","",$E70*$H70)</f>
        <v/>
      </c>
      <c r="J70" s="19">
        <f>IF(OR($A70="",$I70=0),"",$D70/$I70)</f>
        <v/>
      </c>
      <c r="K70" s="19">
        <f>IF(OR($A70="",$I70=0),"",$F70/$I70)</f>
        <v/>
      </c>
      <c r="L70" s="19">
        <f>IF($A70="","",$D70)</f>
        <v/>
      </c>
      <c r="M70" s="19">
        <f>IF($A70="","",MAX(0,MIN(100,gup_kaliteTaban-IF($J70&lt;gup_esikPr,gup_kaliteCeza,0)-IF($F70&gt;gup_esikKayipKwh,gup_kaliteSapma,0)-IF($P70="YETIM",gup_kaliteCeza,0))))</f>
        <v/>
      </c>
      <c r="N70" s="19">
        <f>IF($A70="","",IF(OR($J70&lt;gup_esikPr,$F70&gt;gup_esikKayipKwh,$M70&lt;gup_esikSaglik),"ALARM","UYGUN"))</f>
        <v/>
      </c>
      <c r="O70" s="19">
        <f>IF($A70="","",1)</f>
        <v/>
      </c>
      <c r="P70" s="19">
        <f>IF($A70="","",IF(OR($B70="",COUNTIF(tblVarliklar[VarlikId],$B70)=0),"YETIM","TAMAM"))</f>
        <v/>
      </c>
    </row>
    <row r="71">
      <c r="A71" s="15" t="n"/>
      <c r="B71" s="15" t="n"/>
      <c r="C71" s="62" t="n"/>
      <c r="D71" s="16" t="n"/>
      <c r="E71" s="21" t="n"/>
      <c r="F71" s="16" t="n"/>
      <c r="G71" s="15" t="n"/>
      <c r="H71" s="19">
        <f>IF($A71="","",IFERROR(SUMIF(tblVarliklar[VarlikId],$B71,tblVarliklar[KapasiteKwp_kwp]),gup_varsayilanKapasite))</f>
        <v/>
      </c>
      <c r="I71" s="19">
        <f>IF($A71="","",$E71*$H71)</f>
        <v/>
      </c>
      <c r="J71" s="19">
        <f>IF(OR($A71="",$I71=0),"",$D71/$I71)</f>
        <v/>
      </c>
      <c r="K71" s="19">
        <f>IF(OR($A71="",$I71=0),"",$F71/$I71)</f>
        <v/>
      </c>
      <c r="L71" s="19">
        <f>IF($A71="","",$D71)</f>
        <v/>
      </c>
      <c r="M71" s="19">
        <f>IF($A71="","",MAX(0,MIN(100,gup_kaliteTaban-IF($J71&lt;gup_esikPr,gup_kaliteCeza,0)-IF($F71&gt;gup_esikKayipKwh,gup_kaliteSapma,0)-IF($P71="YETIM",gup_kaliteCeza,0))))</f>
        <v/>
      </c>
      <c r="N71" s="19">
        <f>IF($A71="","",IF(OR($J71&lt;gup_esikPr,$F71&gt;gup_esikKayipKwh,$M71&lt;gup_esikSaglik),"ALARM","UYGUN"))</f>
        <v/>
      </c>
      <c r="O71" s="19">
        <f>IF($A71="","",1)</f>
        <v/>
      </c>
      <c r="P71" s="19">
        <f>IF($A71="","",IF(OR($B71="",COUNTIF(tblVarliklar[VarlikId],$B71)=0),"YETIM","TAMAM"))</f>
        <v/>
      </c>
    </row>
    <row r="72">
      <c r="A72" s="15" t="n"/>
      <c r="B72" s="15" t="n"/>
      <c r="C72" s="62" t="n"/>
      <c r="D72" s="16" t="n"/>
      <c r="E72" s="21" t="n"/>
      <c r="F72" s="16" t="n"/>
      <c r="G72" s="15" t="n"/>
      <c r="H72" s="19">
        <f>IF($A72="","",IFERROR(SUMIF(tblVarliklar[VarlikId],$B72,tblVarliklar[KapasiteKwp_kwp]),gup_varsayilanKapasite))</f>
        <v/>
      </c>
      <c r="I72" s="19">
        <f>IF($A72="","",$E72*$H72)</f>
        <v/>
      </c>
      <c r="J72" s="19">
        <f>IF(OR($A72="",$I72=0),"",$D72/$I72)</f>
        <v/>
      </c>
      <c r="K72" s="19">
        <f>IF(OR($A72="",$I72=0),"",$F72/$I72)</f>
        <v/>
      </c>
      <c r="L72" s="19">
        <f>IF($A72="","",$D72)</f>
        <v/>
      </c>
      <c r="M72" s="19">
        <f>IF($A72="","",MAX(0,MIN(100,gup_kaliteTaban-IF($J72&lt;gup_esikPr,gup_kaliteCeza,0)-IF($F72&gt;gup_esikKayipKwh,gup_kaliteSapma,0)-IF($P72="YETIM",gup_kaliteCeza,0))))</f>
        <v/>
      </c>
      <c r="N72" s="19">
        <f>IF($A72="","",IF(OR($J72&lt;gup_esikPr,$F72&gt;gup_esikKayipKwh,$M72&lt;gup_esikSaglik),"ALARM","UYGUN"))</f>
        <v/>
      </c>
      <c r="O72" s="19">
        <f>IF($A72="","",1)</f>
        <v/>
      </c>
      <c r="P72" s="19">
        <f>IF($A72="","",IF(OR($B72="",COUNTIF(tblVarliklar[VarlikId],$B72)=0),"YETIM","TAMAM"))</f>
        <v/>
      </c>
    </row>
    <row r="73">
      <c r="A73" s="15" t="n"/>
      <c r="B73" s="15" t="n"/>
      <c r="C73" s="62" t="n"/>
      <c r="D73" s="16" t="n"/>
      <c r="E73" s="21" t="n"/>
      <c r="F73" s="16" t="n"/>
      <c r="G73" s="15" t="n"/>
      <c r="H73" s="19">
        <f>IF($A73="","",IFERROR(SUMIF(tblVarliklar[VarlikId],$B73,tblVarliklar[KapasiteKwp_kwp]),gup_varsayilanKapasite))</f>
        <v/>
      </c>
      <c r="I73" s="19">
        <f>IF($A73="","",$E73*$H73)</f>
        <v/>
      </c>
      <c r="J73" s="19">
        <f>IF(OR($A73="",$I73=0),"",$D73/$I73)</f>
        <v/>
      </c>
      <c r="K73" s="19">
        <f>IF(OR($A73="",$I73=0),"",$F73/$I73)</f>
        <v/>
      </c>
      <c r="L73" s="19">
        <f>IF($A73="","",$D73)</f>
        <v/>
      </c>
      <c r="M73" s="19">
        <f>IF($A73="","",MAX(0,MIN(100,gup_kaliteTaban-IF($J73&lt;gup_esikPr,gup_kaliteCeza,0)-IF($F73&gt;gup_esikKayipKwh,gup_kaliteSapma,0)-IF($P73="YETIM",gup_kaliteCeza,0))))</f>
        <v/>
      </c>
      <c r="N73" s="19">
        <f>IF($A73="","",IF(OR($J73&lt;gup_esikPr,$F73&gt;gup_esikKayipKwh,$M73&lt;gup_esikSaglik),"ALARM","UYGUN"))</f>
        <v/>
      </c>
      <c r="O73" s="19">
        <f>IF($A73="","",1)</f>
        <v/>
      </c>
      <c r="P73" s="19">
        <f>IF($A73="","",IF(OR($B73="",COUNTIF(tblVarliklar[VarlikId],$B73)=0),"YETIM","TAMAM"))</f>
        <v/>
      </c>
    </row>
    <row r="74">
      <c r="A74" s="15" t="n"/>
      <c r="B74" s="15" t="n"/>
      <c r="C74" s="62" t="n"/>
      <c r="D74" s="16" t="n"/>
      <c r="E74" s="21" t="n"/>
      <c r="F74" s="16" t="n"/>
      <c r="G74" s="15" t="n"/>
      <c r="H74" s="19">
        <f>IF($A74="","",IFERROR(SUMIF(tblVarliklar[VarlikId],$B74,tblVarliklar[KapasiteKwp_kwp]),gup_varsayilanKapasite))</f>
        <v/>
      </c>
      <c r="I74" s="19">
        <f>IF($A74="","",$E74*$H74)</f>
        <v/>
      </c>
      <c r="J74" s="19">
        <f>IF(OR($A74="",$I74=0),"",$D74/$I74)</f>
        <v/>
      </c>
      <c r="K74" s="19">
        <f>IF(OR($A74="",$I74=0),"",$F74/$I74)</f>
        <v/>
      </c>
      <c r="L74" s="19">
        <f>IF($A74="","",$D74)</f>
        <v/>
      </c>
      <c r="M74" s="19">
        <f>IF($A74="","",MAX(0,MIN(100,gup_kaliteTaban-IF($J74&lt;gup_esikPr,gup_kaliteCeza,0)-IF($F74&gt;gup_esikKayipKwh,gup_kaliteSapma,0)-IF($P74="YETIM",gup_kaliteCeza,0))))</f>
        <v/>
      </c>
      <c r="N74" s="19">
        <f>IF($A74="","",IF(OR($J74&lt;gup_esikPr,$F74&gt;gup_esikKayipKwh,$M74&lt;gup_esikSaglik),"ALARM","UYGUN"))</f>
        <v/>
      </c>
      <c r="O74" s="19">
        <f>IF($A74="","",1)</f>
        <v/>
      </c>
      <c r="P74" s="19">
        <f>IF($A74="","",IF(OR($B74="",COUNTIF(tblVarliklar[VarlikId],$B74)=0),"YETIM","TAMAM"))</f>
        <v/>
      </c>
    </row>
    <row r="75">
      <c r="A75" s="15" t="n"/>
      <c r="B75" s="15" t="n"/>
      <c r="C75" s="62" t="n"/>
      <c r="D75" s="16" t="n"/>
      <c r="E75" s="21" t="n"/>
      <c r="F75" s="16" t="n"/>
      <c r="G75" s="15" t="n"/>
      <c r="H75" s="19">
        <f>IF($A75="","",IFERROR(SUMIF(tblVarliklar[VarlikId],$B75,tblVarliklar[KapasiteKwp_kwp]),gup_varsayilanKapasite))</f>
        <v/>
      </c>
      <c r="I75" s="19">
        <f>IF($A75="","",$E75*$H75)</f>
        <v/>
      </c>
      <c r="J75" s="19">
        <f>IF(OR($A75="",$I75=0),"",$D75/$I75)</f>
        <v/>
      </c>
      <c r="K75" s="19">
        <f>IF(OR($A75="",$I75=0),"",$F75/$I75)</f>
        <v/>
      </c>
      <c r="L75" s="19">
        <f>IF($A75="","",$D75)</f>
        <v/>
      </c>
      <c r="M75" s="19">
        <f>IF($A75="","",MAX(0,MIN(100,gup_kaliteTaban-IF($J75&lt;gup_esikPr,gup_kaliteCeza,0)-IF($F75&gt;gup_esikKayipKwh,gup_kaliteSapma,0)-IF($P75="YETIM",gup_kaliteCeza,0))))</f>
        <v/>
      </c>
      <c r="N75" s="19">
        <f>IF($A75="","",IF(OR($J75&lt;gup_esikPr,$F75&gt;gup_esikKayipKwh,$M75&lt;gup_esikSaglik),"ALARM","UYGUN"))</f>
        <v/>
      </c>
      <c r="O75" s="19">
        <f>IF($A75="","",1)</f>
        <v/>
      </c>
      <c r="P75" s="19">
        <f>IF($A75="","",IF(OR($B75="",COUNTIF(tblVarliklar[VarlikId],$B75)=0),"YETIM","TAMAM"))</f>
        <v/>
      </c>
    </row>
    <row r="76">
      <c r="A76" s="15" t="n"/>
      <c r="B76" s="15" t="n"/>
      <c r="C76" s="62" t="n"/>
      <c r="D76" s="16" t="n"/>
      <c r="E76" s="21" t="n"/>
      <c r="F76" s="16" t="n"/>
      <c r="G76" s="15" t="n"/>
      <c r="H76" s="19">
        <f>IF($A76="","",IFERROR(SUMIF(tblVarliklar[VarlikId],$B76,tblVarliklar[KapasiteKwp_kwp]),gup_varsayilanKapasite))</f>
        <v/>
      </c>
      <c r="I76" s="19">
        <f>IF($A76="","",$E76*$H76)</f>
        <v/>
      </c>
      <c r="J76" s="19">
        <f>IF(OR($A76="",$I76=0),"",$D76/$I76)</f>
        <v/>
      </c>
      <c r="K76" s="19">
        <f>IF(OR($A76="",$I76=0),"",$F76/$I76)</f>
        <v/>
      </c>
      <c r="L76" s="19">
        <f>IF($A76="","",$D76)</f>
        <v/>
      </c>
      <c r="M76" s="19">
        <f>IF($A76="","",MAX(0,MIN(100,gup_kaliteTaban-IF($J76&lt;gup_esikPr,gup_kaliteCeza,0)-IF($F76&gt;gup_esikKayipKwh,gup_kaliteSapma,0)-IF($P76="YETIM",gup_kaliteCeza,0))))</f>
        <v/>
      </c>
      <c r="N76" s="19">
        <f>IF($A76="","",IF(OR($J76&lt;gup_esikPr,$F76&gt;gup_esikKayipKwh,$M76&lt;gup_esikSaglik),"ALARM","UYGUN"))</f>
        <v/>
      </c>
      <c r="O76" s="19">
        <f>IF($A76="","",1)</f>
        <v/>
      </c>
      <c r="P76" s="19">
        <f>IF($A76="","",IF(OR($B76="",COUNTIF(tblVarliklar[VarlikId],$B76)=0),"YETIM","TAMAM"))</f>
        <v/>
      </c>
    </row>
    <row r="77">
      <c r="A77" s="15" t="n"/>
      <c r="B77" s="15" t="n"/>
      <c r="C77" s="62" t="n"/>
      <c r="D77" s="16" t="n"/>
      <c r="E77" s="21" t="n"/>
      <c r="F77" s="16" t="n"/>
      <c r="G77" s="15" t="n"/>
      <c r="H77" s="19">
        <f>IF($A77="","",IFERROR(SUMIF(tblVarliklar[VarlikId],$B77,tblVarliklar[KapasiteKwp_kwp]),gup_varsayilanKapasite))</f>
        <v/>
      </c>
      <c r="I77" s="19">
        <f>IF($A77="","",$E77*$H77)</f>
        <v/>
      </c>
      <c r="J77" s="19">
        <f>IF(OR($A77="",$I77=0),"",$D77/$I77)</f>
        <v/>
      </c>
      <c r="K77" s="19">
        <f>IF(OR($A77="",$I77=0),"",$F77/$I77)</f>
        <v/>
      </c>
      <c r="L77" s="19">
        <f>IF($A77="","",$D77)</f>
        <v/>
      </c>
      <c r="M77" s="19">
        <f>IF($A77="","",MAX(0,MIN(100,gup_kaliteTaban-IF($J77&lt;gup_esikPr,gup_kaliteCeza,0)-IF($F77&gt;gup_esikKayipKwh,gup_kaliteSapma,0)-IF($P77="YETIM",gup_kaliteCeza,0))))</f>
        <v/>
      </c>
      <c r="N77" s="19">
        <f>IF($A77="","",IF(OR($J77&lt;gup_esikPr,$F77&gt;gup_esikKayipKwh,$M77&lt;gup_esikSaglik),"ALARM","UYGUN"))</f>
        <v/>
      </c>
      <c r="O77" s="19">
        <f>IF($A77="","",1)</f>
        <v/>
      </c>
      <c r="P77" s="19">
        <f>IF($A77="","",IF(OR($B77="",COUNTIF(tblVarliklar[VarlikId],$B77)=0),"YETIM","TAMAM"))</f>
        <v/>
      </c>
    </row>
    <row r="78">
      <c r="A78" s="15" t="n"/>
      <c r="B78" s="15" t="n"/>
      <c r="C78" s="62" t="n"/>
      <c r="D78" s="16" t="n"/>
      <c r="E78" s="21" t="n"/>
      <c r="F78" s="16" t="n"/>
      <c r="G78" s="15" t="n"/>
      <c r="H78" s="19">
        <f>IF($A78="","",IFERROR(SUMIF(tblVarliklar[VarlikId],$B78,tblVarliklar[KapasiteKwp_kwp]),gup_varsayilanKapasite))</f>
        <v/>
      </c>
      <c r="I78" s="19">
        <f>IF($A78="","",$E78*$H78)</f>
        <v/>
      </c>
      <c r="J78" s="19">
        <f>IF(OR($A78="",$I78=0),"",$D78/$I78)</f>
        <v/>
      </c>
      <c r="K78" s="19">
        <f>IF(OR($A78="",$I78=0),"",$F78/$I78)</f>
        <v/>
      </c>
      <c r="L78" s="19">
        <f>IF($A78="","",$D78)</f>
        <v/>
      </c>
      <c r="M78" s="19">
        <f>IF($A78="","",MAX(0,MIN(100,gup_kaliteTaban-IF($J78&lt;gup_esikPr,gup_kaliteCeza,0)-IF($F78&gt;gup_esikKayipKwh,gup_kaliteSapma,0)-IF($P78="YETIM",gup_kaliteCeza,0))))</f>
        <v/>
      </c>
      <c r="N78" s="19">
        <f>IF($A78="","",IF(OR($J78&lt;gup_esikPr,$F78&gt;gup_esikKayipKwh,$M78&lt;gup_esikSaglik),"ALARM","UYGUN"))</f>
        <v/>
      </c>
      <c r="O78" s="19">
        <f>IF($A78="","",1)</f>
        <v/>
      </c>
      <c r="P78" s="19">
        <f>IF($A78="","",IF(OR($B78="",COUNTIF(tblVarliklar[VarlikId],$B78)=0),"YETIM","TAMAM"))</f>
        <v/>
      </c>
    </row>
    <row r="79">
      <c r="A79" s="15" t="n"/>
      <c r="B79" s="15" t="n"/>
      <c r="C79" s="62" t="n"/>
      <c r="D79" s="16" t="n"/>
      <c r="E79" s="21" t="n"/>
      <c r="F79" s="16" t="n"/>
      <c r="G79" s="15" t="n"/>
      <c r="H79" s="19">
        <f>IF($A79="","",IFERROR(SUMIF(tblVarliklar[VarlikId],$B79,tblVarliklar[KapasiteKwp_kwp]),gup_varsayilanKapasite))</f>
        <v/>
      </c>
      <c r="I79" s="19">
        <f>IF($A79="","",$E79*$H79)</f>
        <v/>
      </c>
      <c r="J79" s="19">
        <f>IF(OR($A79="",$I79=0),"",$D79/$I79)</f>
        <v/>
      </c>
      <c r="K79" s="19">
        <f>IF(OR($A79="",$I79=0),"",$F79/$I79)</f>
        <v/>
      </c>
      <c r="L79" s="19">
        <f>IF($A79="","",$D79)</f>
        <v/>
      </c>
      <c r="M79" s="19">
        <f>IF($A79="","",MAX(0,MIN(100,gup_kaliteTaban-IF($J79&lt;gup_esikPr,gup_kaliteCeza,0)-IF($F79&gt;gup_esikKayipKwh,gup_kaliteSapma,0)-IF($P79="YETIM",gup_kaliteCeza,0))))</f>
        <v/>
      </c>
      <c r="N79" s="19">
        <f>IF($A79="","",IF(OR($J79&lt;gup_esikPr,$F79&gt;gup_esikKayipKwh,$M79&lt;gup_esikSaglik),"ALARM","UYGUN"))</f>
        <v/>
      </c>
      <c r="O79" s="19">
        <f>IF($A79="","",1)</f>
        <v/>
      </c>
      <c r="P79" s="19">
        <f>IF($A79="","",IF(OR($B79="",COUNTIF(tblVarliklar[VarlikId],$B79)=0),"YETIM","TAMAM"))</f>
        <v/>
      </c>
    </row>
    <row r="80">
      <c r="A80" s="15" t="n"/>
      <c r="B80" s="15" t="n"/>
      <c r="C80" s="62" t="n"/>
      <c r="D80" s="16" t="n"/>
      <c r="E80" s="21" t="n"/>
      <c r="F80" s="16" t="n"/>
      <c r="G80" s="15" t="n"/>
      <c r="H80" s="19">
        <f>IF($A80="","",IFERROR(SUMIF(tblVarliklar[VarlikId],$B80,tblVarliklar[KapasiteKwp_kwp]),gup_varsayilanKapasite))</f>
        <v/>
      </c>
      <c r="I80" s="19">
        <f>IF($A80="","",$E80*$H80)</f>
        <v/>
      </c>
      <c r="J80" s="19">
        <f>IF(OR($A80="",$I80=0),"",$D80/$I80)</f>
        <v/>
      </c>
      <c r="K80" s="19">
        <f>IF(OR($A80="",$I80=0),"",$F80/$I80)</f>
        <v/>
      </c>
      <c r="L80" s="19">
        <f>IF($A80="","",$D80)</f>
        <v/>
      </c>
      <c r="M80" s="19">
        <f>IF($A80="","",MAX(0,MIN(100,gup_kaliteTaban-IF($J80&lt;gup_esikPr,gup_kaliteCeza,0)-IF($F80&gt;gup_esikKayipKwh,gup_kaliteSapma,0)-IF($P80="YETIM",gup_kaliteCeza,0))))</f>
        <v/>
      </c>
      <c r="N80" s="19">
        <f>IF($A80="","",IF(OR($J80&lt;gup_esikPr,$F80&gt;gup_esikKayipKwh,$M80&lt;gup_esikSaglik),"ALARM","UYGUN"))</f>
        <v/>
      </c>
      <c r="O80" s="19">
        <f>IF($A80="","",1)</f>
        <v/>
      </c>
      <c r="P80" s="19">
        <f>IF($A80="","",IF(OR($B80="",COUNTIF(tblVarliklar[VarlikId],$B80)=0),"YETIM","TAMAM"))</f>
        <v/>
      </c>
    </row>
    <row r="81">
      <c r="A81" s="15" t="n"/>
      <c r="B81" s="15" t="n"/>
      <c r="C81" s="62" t="n"/>
      <c r="D81" s="16" t="n"/>
      <c r="E81" s="21" t="n"/>
      <c r="F81" s="16" t="n"/>
      <c r="G81" s="15" t="n"/>
      <c r="H81" s="19">
        <f>IF($A81="","",IFERROR(SUMIF(tblVarliklar[VarlikId],$B81,tblVarliklar[KapasiteKwp_kwp]),gup_varsayilanKapasite))</f>
        <v/>
      </c>
      <c r="I81" s="19">
        <f>IF($A81="","",$E81*$H81)</f>
        <v/>
      </c>
      <c r="J81" s="19">
        <f>IF(OR($A81="",$I81=0),"",$D81/$I81)</f>
        <v/>
      </c>
      <c r="K81" s="19">
        <f>IF(OR($A81="",$I81=0),"",$F81/$I81)</f>
        <v/>
      </c>
      <c r="L81" s="19">
        <f>IF($A81="","",$D81)</f>
        <v/>
      </c>
      <c r="M81" s="19">
        <f>IF($A81="","",MAX(0,MIN(100,gup_kaliteTaban-IF($J81&lt;gup_esikPr,gup_kaliteCeza,0)-IF($F81&gt;gup_esikKayipKwh,gup_kaliteSapma,0)-IF($P81="YETIM",gup_kaliteCeza,0))))</f>
        <v/>
      </c>
      <c r="N81" s="19">
        <f>IF($A81="","",IF(OR($J81&lt;gup_esikPr,$F81&gt;gup_esikKayipKwh,$M81&lt;gup_esikSaglik),"ALARM","UYGUN"))</f>
        <v/>
      </c>
      <c r="O81" s="19">
        <f>IF($A81="","",1)</f>
        <v/>
      </c>
      <c r="P81" s="19">
        <f>IF($A81="","",IF(OR($B81="",COUNTIF(tblVarliklar[VarlikId],$B81)=0),"YETIM","TAMAM"))</f>
        <v/>
      </c>
    </row>
    <row r="82">
      <c r="A82" s="15" t="n"/>
      <c r="B82" s="15" t="n"/>
      <c r="C82" s="62" t="n"/>
      <c r="D82" s="16" t="n"/>
      <c r="E82" s="21" t="n"/>
      <c r="F82" s="16" t="n"/>
      <c r="G82" s="15" t="n"/>
      <c r="H82" s="19">
        <f>IF($A82="","",IFERROR(SUMIF(tblVarliklar[VarlikId],$B82,tblVarliklar[KapasiteKwp_kwp]),gup_varsayilanKapasite))</f>
        <v/>
      </c>
      <c r="I82" s="19">
        <f>IF($A82="","",$E82*$H82)</f>
        <v/>
      </c>
      <c r="J82" s="19">
        <f>IF(OR($A82="",$I82=0),"",$D82/$I82)</f>
        <v/>
      </c>
      <c r="K82" s="19">
        <f>IF(OR($A82="",$I82=0),"",$F82/$I82)</f>
        <v/>
      </c>
      <c r="L82" s="19">
        <f>IF($A82="","",$D82)</f>
        <v/>
      </c>
      <c r="M82" s="19">
        <f>IF($A82="","",MAX(0,MIN(100,gup_kaliteTaban-IF($J82&lt;gup_esikPr,gup_kaliteCeza,0)-IF($F82&gt;gup_esikKayipKwh,gup_kaliteSapma,0)-IF($P82="YETIM",gup_kaliteCeza,0))))</f>
        <v/>
      </c>
      <c r="N82" s="19">
        <f>IF($A82="","",IF(OR($J82&lt;gup_esikPr,$F82&gt;gup_esikKayipKwh,$M82&lt;gup_esikSaglik),"ALARM","UYGUN"))</f>
        <v/>
      </c>
      <c r="O82" s="19">
        <f>IF($A82="","",1)</f>
        <v/>
      </c>
      <c r="P82" s="19">
        <f>IF($A82="","",IF(OR($B82="",COUNTIF(tblVarliklar[VarlikId],$B82)=0),"YETIM","TAMAM"))</f>
        <v/>
      </c>
    </row>
    <row r="83">
      <c r="A83" s="15" t="n"/>
      <c r="B83" s="15" t="n"/>
      <c r="C83" s="62" t="n"/>
      <c r="D83" s="16" t="n"/>
      <c r="E83" s="21" t="n"/>
      <c r="F83" s="16" t="n"/>
      <c r="G83" s="15" t="n"/>
      <c r="H83" s="19">
        <f>IF($A83="","",IFERROR(SUMIF(tblVarliklar[VarlikId],$B83,tblVarliklar[KapasiteKwp_kwp]),gup_varsayilanKapasite))</f>
        <v/>
      </c>
      <c r="I83" s="19">
        <f>IF($A83="","",$E83*$H83)</f>
        <v/>
      </c>
      <c r="J83" s="19">
        <f>IF(OR($A83="",$I83=0),"",$D83/$I83)</f>
        <v/>
      </c>
      <c r="K83" s="19">
        <f>IF(OR($A83="",$I83=0),"",$F83/$I83)</f>
        <v/>
      </c>
      <c r="L83" s="19">
        <f>IF($A83="","",$D83)</f>
        <v/>
      </c>
      <c r="M83" s="19">
        <f>IF($A83="","",MAX(0,MIN(100,gup_kaliteTaban-IF($J83&lt;gup_esikPr,gup_kaliteCeza,0)-IF($F83&gt;gup_esikKayipKwh,gup_kaliteSapma,0)-IF($P83="YETIM",gup_kaliteCeza,0))))</f>
        <v/>
      </c>
      <c r="N83" s="19">
        <f>IF($A83="","",IF(OR($J83&lt;gup_esikPr,$F83&gt;gup_esikKayipKwh,$M83&lt;gup_esikSaglik),"ALARM","UYGUN"))</f>
        <v/>
      </c>
      <c r="O83" s="19">
        <f>IF($A83="","",1)</f>
        <v/>
      </c>
      <c r="P83" s="19">
        <f>IF($A83="","",IF(OR($B83="",COUNTIF(tblVarliklar[VarlikId],$B83)=0),"YETIM","TAMAM"))</f>
        <v/>
      </c>
    </row>
    <row r="84">
      <c r="A84" s="15" t="n"/>
      <c r="B84" s="15" t="n"/>
      <c r="C84" s="62" t="n"/>
      <c r="D84" s="16" t="n"/>
      <c r="E84" s="21" t="n"/>
      <c r="F84" s="16" t="n"/>
      <c r="G84" s="15" t="n"/>
      <c r="H84" s="19">
        <f>IF($A84="","",IFERROR(SUMIF(tblVarliklar[VarlikId],$B84,tblVarliklar[KapasiteKwp_kwp]),gup_varsayilanKapasite))</f>
        <v/>
      </c>
      <c r="I84" s="19">
        <f>IF($A84="","",$E84*$H84)</f>
        <v/>
      </c>
      <c r="J84" s="19">
        <f>IF(OR($A84="",$I84=0),"",$D84/$I84)</f>
        <v/>
      </c>
      <c r="K84" s="19">
        <f>IF(OR($A84="",$I84=0),"",$F84/$I84)</f>
        <v/>
      </c>
      <c r="L84" s="19">
        <f>IF($A84="","",$D84)</f>
        <v/>
      </c>
      <c r="M84" s="19">
        <f>IF($A84="","",MAX(0,MIN(100,gup_kaliteTaban-IF($J84&lt;gup_esikPr,gup_kaliteCeza,0)-IF($F84&gt;gup_esikKayipKwh,gup_kaliteSapma,0)-IF($P84="YETIM",gup_kaliteCeza,0))))</f>
        <v/>
      </c>
      <c r="N84" s="19">
        <f>IF($A84="","",IF(OR($J84&lt;gup_esikPr,$F84&gt;gup_esikKayipKwh,$M84&lt;gup_esikSaglik),"ALARM","UYGUN"))</f>
        <v/>
      </c>
      <c r="O84" s="19">
        <f>IF($A84="","",1)</f>
        <v/>
      </c>
      <c r="P84" s="19">
        <f>IF($A84="","",IF(OR($B84="",COUNTIF(tblVarliklar[VarlikId],$B84)=0),"YETIM","TAMAM"))</f>
        <v/>
      </c>
    </row>
    <row r="85">
      <c r="A85" s="15" t="n"/>
      <c r="B85" s="15" t="n"/>
      <c r="C85" s="62" t="n"/>
      <c r="D85" s="16" t="n"/>
      <c r="E85" s="21" t="n"/>
      <c r="F85" s="16" t="n"/>
      <c r="G85" s="15" t="n"/>
      <c r="H85" s="19">
        <f>IF($A85="","",IFERROR(SUMIF(tblVarliklar[VarlikId],$B85,tblVarliklar[KapasiteKwp_kwp]),gup_varsayilanKapasite))</f>
        <v/>
      </c>
      <c r="I85" s="19">
        <f>IF($A85="","",$E85*$H85)</f>
        <v/>
      </c>
      <c r="J85" s="19">
        <f>IF(OR($A85="",$I85=0),"",$D85/$I85)</f>
        <v/>
      </c>
      <c r="K85" s="19">
        <f>IF(OR($A85="",$I85=0),"",$F85/$I85)</f>
        <v/>
      </c>
      <c r="L85" s="19">
        <f>IF($A85="","",$D85)</f>
        <v/>
      </c>
      <c r="M85" s="19">
        <f>IF($A85="","",MAX(0,MIN(100,gup_kaliteTaban-IF($J85&lt;gup_esikPr,gup_kaliteCeza,0)-IF($F85&gt;gup_esikKayipKwh,gup_kaliteSapma,0)-IF($P85="YETIM",gup_kaliteCeza,0))))</f>
        <v/>
      </c>
      <c r="N85" s="19">
        <f>IF($A85="","",IF(OR($J85&lt;gup_esikPr,$F85&gt;gup_esikKayipKwh,$M85&lt;gup_esikSaglik),"ALARM","UYGUN"))</f>
        <v/>
      </c>
      <c r="O85" s="19">
        <f>IF($A85="","",1)</f>
        <v/>
      </c>
      <c r="P85" s="19">
        <f>IF($A85="","",IF(OR($B85="",COUNTIF(tblVarliklar[VarlikId],$B85)=0),"YETIM","TAMAM"))</f>
        <v/>
      </c>
    </row>
    <row r="86">
      <c r="A86" s="15" t="n"/>
      <c r="B86" s="15" t="n"/>
      <c r="C86" s="62" t="n"/>
      <c r="D86" s="16" t="n"/>
      <c r="E86" s="21" t="n"/>
      <c r="F86" s="16" t="n"/>
      <c r="G86" s="15" t="n"/>
      <c r="H86" s="19">
        <f>IF($A86="","",IFERROR(SUMIF(tblVarliklar[VarlikId],$B86,tblVarliklar[KapasiteKwp_kwp]),gup_varsayilanKapasite))</f>
        <v/>
      </c>
      <c r="I86" s="19">
        <f>IF($A86="","",$E86*$H86)</f>
        <v/>
      </c>
      <c r="J86" s="19">
        <f>IF(OR($A86="",$I86=0),"",$D86/$I86)</f>
        <v/>
      </c>
      <c r="K86" s="19">
        <f>IF(OR($A86="",$I86=0),"",$F86/$I86)</f>
        <v/>
      </c>
      <c r="L86" s="19">
        <f>IF($A86="","",$D86)</f>
        <v/>
      </c>
      <c r="M86" s="19">
        <f>IF($A86="","",MAX(0,MIN(100,gup_kaliteTaban-IF($J86&lt;gup_esikPr,gup_kaliteCeza,0)-IF($F86&gt;gup_esikKayipKwh,gup_kaliteSapma,0)-IF($P86="YETIM",gup_kaliteCeza,0))))</f>
        <v/>
      </c>
      <c r="N86" s="19">
        <f>IF($A86="","",IF(OR($J86&lt;gup_esikPr,$F86&gt;gup_esikKayipKwh,$M86&lt;gup_esikSaglik),"ALARM","UYGUN"))</f>
        <v/>
      </c>
      <c r="O86" s="19">
        <f>IF($A86="","",1)</f>
        <v/>
      </c>
      <c r="P86" s="19">
        <f>IF($A86="","",IF(OR($B86="",COUNTIF(tblVarliklar[VarlikId],$B86)=0),"YETIM","TAMAM"))</f>
        <v/>
      </c>
    </row>
    <row r="87">
      <c r="A87" s="15" t="n"/>
      <c r="B87" s="15" t="n"/>
      <c r="C87" s="62" t="n"/>
      <c r="D87" s="16" t="n"/>
      <c r="E87" s="21" t="n"/>
      <c r="F87" s="16" t="n"/>
      <c r="G87" s="15" t="n"/>
      <c r="H87" s="19">
        <f>IF($A87="","",IFERROR(SUMIF(tblVarliklar[VarlikId],$B87,tblVarliklar[KapasiteKwp_kwp]),gup_varsayilanKapasite))</f>
        <v/>
      </c>
      <c r="I87" s="19">
        <f>IF($A87="","",$E87*$H87)</f>
        <v/>
      </c>
      <c r="J87" s="19">
        <f>IF(OR($A87="",$I87=0),"",$D87/$I87)</f>
        <v/>
      </c>
      <c r="K87" s="19">
        <f>IF(OR($A87="",$I87=0),"",$F87/$I87)</f>
        <v/>
      </c>
      <c r="L87" s="19">
        <f>IF($A87="","",$D87)</f>
        <v/>
      </c>
      <c r="M87" s="19">
        <f>IF($A87="","",MAX(0,MIN(100,gup_kaliteTaban-IF($J87&lt;gup_esikPr,gup_kaliteCeza,0)-IF($F87&gt;gup_esikKayipKwh,gup_kaliteSapma,0)-IF($P87="YETIM",gup_kaliteCeza,0))))</f>
        <v/>
      </c>
      <c r="N87" s="19">
        <f>IF($A87="","",IF(OR($J87&lt;gup_esikPr,$F87&gt;gup_esikKayipKwh,$M87&lt;gup_esikSaglik),"ALARM","UYGUN"))</f>
        <v/>
      </c>
      <c r="O87" s="19">
        <f>IF($A87="","",1)</f>
        <v/>
      </c>
      <c r="P87" s="19">
        <f>IF($A87="","",IF(OR($B87="",COUNTIF(tblVarliklar[VarlikId],$B87)=0),"YETIM","TAMAM"))</f>
        <v/>
      </c>
    </row>
    <row r="88">
      <c r="A88" s="15" t="n"/>
      <c r="B88" s="15" t="n"/>
      <c r="C88" s="62" t="n"/>
      <c r="D88" s="16" t="n"/>
      <c r="E88" s="21" t="n"/>
      <c r="F88" s="16" t="n"/>
      <c r="G88" s="15" t="n"/>
      <c r="H88" s="19">
        <f>IF($A88="","",IFERROR(SUMIF(tblVarliklar[VarlikId],$B88,tblVarliklar[KapasiteKwp_kwp]),gup_varsayilanKapasite))</f>
        <v/>
      </c>
      <c r="I88" s="19">
        <f>IF($A88="","",$E88*$H88)</f>
        <v/>
      </c>
      <c r="J88" s="19">
        <f>IF(OR($A88="",$I88=0),"",$D88/$I88)</f>
        <v/>
      </c>
      <c r="K88" s="19">
        <f>IF(OR($A88="",$I88=0),"",$F88/$I88)</f>
        <v/>
      </c>
      <c r="L88" s="19">
        <f>IF($A88="","",$D88)</f>
        <v/>
      </c>
      <c r="M88" s="19">
        <f>IF($A88="","",MAX(0,MIN(100,gup_kaliteTaban-IF($J88&lt;gup_esikPr,gup_kaliteCeza,0)-IF($F88&gt;gup_esikKayipKwh,gup_kaliteSapma,0)-IF($P88="YETIM",gup_kaliteCeza,0))))</f>
        <v/>
      </c>
      <c r="N88" s="19">
        <f>IF($A88="","",IF(OR($J88&lt;gup_esikPr,$F88&gt;gup_esikKayipKwh,$M88&lt;gup_esikSaglik),"ALARM","UYGUN"))</f>
        <v/>
      </c>
      <c r="O88" s="19">
        <f>IF($A88="","",1)</f>
        <v/>
      </c>
      <c r="P88" s="19">
        <f>IF($A88="","",IF(OR($B88="",COUNTIF(tblVarliklar[VarlikId],$B88)=0),"YETIM","TAMAM"))</f>
        <v/>
      </c>
    </row>
    <row r="89">
      <c r="A89" s="15" t="n"/>
      <c r="B89" s="15" t="n"/>
      <c r="C89" s="62" t="n"/>
      <c r="D89" s="16" t="n"/>
      <c r="E89" s="21" t="n"/>
      <c r="F89" s="16" t="n"/>
      <c r="G89" s="15" t="n"/>
      <c r="H89" s="19">
        <f>IF($A89="","",IFERROR(SUMIF(tblVarliklar[VarlikId],$B89,tblVarliklar[KapasiteKwp_kwp]),gup_varsayilanKapasite))</f>
        <v/>
      </c>
      <c r="I89" s="19">
        <f>IF($A89="","",$E89*$H89)</f>
        <v/>
      </c>
      <c r="J89" s="19">
        <f>IF(OR($A89="",$I89=0),"",$D89/$I89)</f>
        <v/>
      </c>
      <c r="K89" s="19">
        <f>IF(OR($A89="",$I89=0),"",$F89/$I89)</f>
        <v/>
      </c>
      <c r="L89" s="19">
        <f>IF($A89="","",$D89)</f>
        <v/>
      </c>
      <c r="M89" s="19">
        <f>IF($A89="","",MAX(0,MIN(100,gup_kaliteTaban-IF($J89&lt;gup_esikPr,gup_kaliteCeza,0)-IF($F89&gt;gup_esikKayipKwh,gup_kaliteSapma,0)-IF($P89="YETIM",gup_kaliteCeza,0))))</f>
        <v/>
      </c>
      <c r="N89" s="19">
        <f>IF($A89="","",IF(OR($J89&lt;gup_esikPr,$F89&gt;gup_esikKayipKwh,$M89&lt;gup_esikSaglik),"ALARM","UYGUN"))</f>
        <v/>
      </c>
      <c r="O89" s="19">
        <f>IF($A89="","",1)</f>
        <v/>
      </c>
      <c r="P89" s="19">
        <f>IF($A89="","",IF(OR($B89="",COUNTIF(tblVarliklar[VarlikId],$B89)=0),"YETIM","TAMAM"))</f>
        <v/>
      </c>
    </row>
    <row r="90">
      <c r="A90" s="15" t="n"/>
      <c r="B90" s="15" t="n"/>
      <c r="C90" s="62" t="n"/>
      <c r="D90" s="16" t="n"/>
      <c r="E90" s="21" t="n"/>
      <c r="F90" s="16" t="n"/>
      <c r="G90" s="15" t="n"/>
      <c r="H90" s="19">
        <f>IF($A90="","",IFERROR(SUMIF(tblVarliklar[VarlikId],$B90,tblVarliklar[KapasiteKwp_kwp]),gup_varsayilanKapasite))</f>
        <v/>
      </c>
      <c r="I90" s="19">
        <f>IF($A90="","",$E90*$H90)</f>
        <v/>
      </c>
      <c r="J90" s="19">
        <f>IF(OR($A90="",$I90=0),"",$D90/$I90)</f>
        <v/>
      </c>
      <c r="K90" s="19">
        <f>IF(OR($A90="",$I90=0),"",$F90/$I90)</f>
        <v/>
      </c>
      <c r="L90" s="19">
        <f>IF($A90="","",$D90)</f>
        <v/>
      </c>
      <c r="M90" s="19">
        <f>IF($A90="","",MAX(0,MIN(100,gup_kaliteTaban-IF($J90&lt;gup_esikPr,gup_kaliteCeza,0)-IF($F90&gt;gup_esikKayipKwh,gup_kaliteSapma,0)-IF($P90="YETIM",gup_kaliteCeza,0))))</f>
        <v/>
      </c>
      <c r="N90" s="19">
        <f>IF($A90="","",IF(OR($J90&lt;gup_esikPr,$F90&gt;gup_esikKayipKwh,$M90&lt;gup_esikSaglik),"ALARM","UYGUN"))</f>
        <v/>
      </c>
      <c r="O90" s="19">
        <f>IF($A90="","",1)</f>
        <v/>
      </c>
      <c r="P90" s="19">
        <f>IF($A90="","",IF(OR($B90="",COUNTIF(tblVarliklar[VarlikId],$B90)=0),"YETIM","TAMAM"))</f>
        <v/>
      </c>
    </row>
    <row r="91">
      <c r="A91" s="15" t="n"/>
      <c r="B91" s="15" t="n"/>
      <c r="C91" s="62" t="n"/>
      <c r="D91" s="16" t="n"/>
      <c r="E91" s="21" t="n"/>
      <c r="F91" s="16" t="n"/>
      <c r="G91" s="15" t="n"/>
      <c r="H91" s="19">
        <f>IF($A91="","",IFERROR(SUMIF(tblVarliklar[VarlikId],$B91,tblVarliklar[KapasiteKwp_kwp]),gup_varsayilanKapasite))</f>
        <v/>
      </c>
      <c r="I91" s="19">
        <f>IF($A91="","",$E91*$H91)</f>
        <v/>
      </c>
      <c r="J91" s="19">
        <f>IF(OR($A91="",$I91=0),"",$D91/$I91)</f>
        <v/>
      </c>
      <c r="K91" s="19">
        <f>IF(OR($A91="",$I91=0),"",$F91/$I91)</f>
        <v/>
      </c>
      <c r="L91" s="19">
        <f>IF($A91="","",$D91)</f>
        <v/>
      </c>
      <c r="M91" s="19">
        <f>IF($A91="","",MAX(0,MIN(100,gup_kaliteTaban-IF($J91&lt;gup_esikPr,gup_kaliteCeza,0)-IF($F91&gt;gup_esikKayipKwh,gup_kaliteSapma,0)-IF($P91="YETIM",gup_kaliteCeza,0))))</f>
        <v/>
      </c>
      <c r="N91" s="19">
        <f>IF($A91="","",IF(OR($J91&lt;gup_esikPr,$F91&gt;gup_esikKayipKwh,$M91&lt;gup_esikSaglik),"ALARM","UYGUN"))</f>
        <v/>
      </c>
      <c r="O91" s="19">
        <f>IF($A91="","",1)</f>
        <v/>
      </c>
      <c r="P91" s="19">
        <f>IF($A91="","",IF(OR($B91="",COUNTIF(tblVarliklar[VarlikId],$B91)=0),"YETIM","TAMAM"))</f>
        <v/>
      </c>
    </row>
    <row r="92">
      <c r="A92" s="15" t="n"/>
      <c r="B92" s="15" t="n"/>
      <c r="C92" s="62" t="n"/>
      <c r="D92" s="16" t="n"/>
      <c r="E92" s="21" t="n"/>
      <c r="F92" s="16" t="n"/>
      <c r="G92" s="15" t="n"/>
      <c r="H92" s="19">
        <f>IF($A92="","",IFERROR(SUMIF(tblVarliklar[VarlikId],$B92,tblVarliklar[KapasiteKwp_kwp]),gup_varsayilanKapasite))</f>
        <v/>
      </c>
      <c r="I92" s="19">
        <f>IF($A92="","",$E92*$H92)</f>
        <v/>
      </c>
      <c r="J92" s="19">
        <f>IF(OR($A92="",$I92=0),"",$D92/$I92)</f>
        <v/>
      </c>
      <c r="K92" s="19">
        <f>IF(OR($A92="",$I92=0),"",$F92/$I92)</f>
        <v/>
      </c>
      <c r="L92" s="19">
        <f>IF($A92="","",$D92)</f>
        <v/>
      </c>
      <c r="M92" s="19">
        <f>IF($A92="","",MAX(0,MIN(100,gup_kaliteTaban-IF($J92&lt;gup_esikPr,gup_kaliteCeza,0)-IF($F92&gt;gup_esikKayipKwh,gup_kaliteSapma,0)-IF($P92="YETIM",gup_kaliteCeza,0))))</f>
        <v/>
      </c>
      <c r="N92" s="19">
        <f>IF($A92="","",IF(OR($J92&lt;gup_esikPr,$F92&gt;gup_esikKayipKwh,$M92&lt;gup_esikSaglik),"ALARM","UYGUN"))</f>
        <v/>
      </c>
      <c r="O92" s="19">
        <f>IF($A92="","",1)</f>
        <v/>
      </c>
      <c r="P92" s="19">
        <f>IF($A92="","",IF(OR($B92="",COUNTIF(tblVarliklar[VarlikId],$B92)=0),"YETIM","TAMAM"))</f>
        <v/>
      </c>
    </row>
    <row r="93">
      <c r="A93" s="15" t="n"/>
      <c r="B93" s="15" t="n"/>
      <c r="C93" s="62" t="n"/>
      <c r="D93" s="16" t="n"/>
      <c r="E93" s="21" t="n"/>
      <c r="F93" s="16" t="n"/>
      <c r="G93" s="15" t="n"/>
      <c r="H93" s="19">
        <f>IF($A93="","",IFERROR(SUMIF(tblVarliklar[VarlikId],$B93,tblVarliklar[KapasiteKwp_kwp]),gup_varsayilanKapasite))</f>
        <v/>
      </c>
      <c r="I93" s="19">
        <f>IF($A93="","",$E93*$H93)</f>
        <v/>
      </c>
      <c r="J93" s="19">
        <f>IF(OR($A93="",$I93=0),"",$D93/$I93)</f>
        <v/>
      </c>
      <c r="K93" s="19">
        <f>IF(OR($A93="",$I93=0),"",$F93/$I93)</f>
        <v/>
      </c>
      <c r="L93" s="19">
        <f>IF($A93="","",$D93)</f>
        <v/>
      </c>
      <c r="M93" s="19">
        <f>IF($A93="","",MAX(0,MIN(100,gup_kaliteTaban-IF($J93&lt;gup_esikPr,gup_kaliteCeza,0)-IF($F93&gt;gup_esikKayipKwh,gup_kaliteSapma,0)-IF($P93="YETIM",gup_kaliteCeza,0))))</f>
        <v/>
      </c>
      <c r="N93" s="19">
        <f>IF($A93="","",IF(OR($J93&lt;gup_esikPr,$F93&gt;gup_esikKayipKwh,$M93&lt;gup_esikSaglik),"ALARM","UYGUN"))</f>
        <v/>
      </c>
      <c r="O93" s="19">
        <f>IF($A93="","",1)</f>
        <v/>
      </c>
      <c r="P93" s="19">
        <f>IF($A93="","",IF(OR($B93="",COUNTIF(tblVarliklar[VarlikId],$B93)=0),"YETIM","TAMAM"))</f>
        <v/>
      </c>
    </row>
    <row r="94">
      <c r="A94" s="15" t="n"/>
      <c r="B94" s="15" t="n"/>
      <c r="C94" s="62" t="n"/>
      <c r="D94" s="16" t="n"/>
      <c r="E94" s="21" t="n"/>
      <c r="F94" s="16" t="n"/>
      <c r="G94" s="15" t="n"/>
      <c r="H94" s="19">
        <f>IF($A94="","",IFERROR(SUMIF(tblVarliklar[VarlikId],$B94,tblVarliklar[KapasiteKwp_kwp]),gup_varsayilanKapasite))</f>
        <v/>
      </c>
      <c r="I94" s="19">
        <f>IF($A94="","",$E94*$H94)</f>
        <v/>
      </c>
      <c r="J94" s="19">
        <f>IF(OR($A94="",$I94=0),"",$D94/$I94)</f>
        <v/>
      </c>
      <c r="K94" s="19">
        <f>IF(OR($A94="",$I94=0),"",$F94/$I94)</f>
        <v/>
      </c>
      <c r="L94" s="19">
        <f>IF($A94="","",$D94)</f>
        <v/>
      </c>
      <c r="M94" s="19">
        <f>IF($A94="","",MAX(0,MIN(100,gup_kaliteTaban-IF($J94&lt;gup_esikPr,gup_kaliteCeza,0)-IF($F94&gt;gup_esikKayipKwh,gup_kaliteSapma,0)-IF($P94="YETIM",gup_kaliteCeza,0))))</f>
        <v/>
      </c>
      <c r="N94" s="19">
        <f>IF($A94="","",IF(OR($J94&lt;gup_esikPr,$F94&gt;gup_esikKayipKwh,$M94&lt;gup_esikSaglik),"ALARM","UYGUN"))</f>
        <v/>
      </c>
      <c r="O94" s="19">
        <f>IF($A94="","",1)</f>
        <v/>
      </c>
      <c r="P94" s="19">
        <f>IF($A94="","",IF(OR($B94="",COUNTIF(tblVarliklar[VarlikId],$B94)=0),"YETIM","TAMAM"))</f>
        <v/>
      </c>
    </row>
    <row r="95">
      <c r="A95" s="15" t="n"/>
      <c r="B95" s="15" t="n"/>
      <c r="C95" s="62" t="n"/>
      <c r="D95" s="16" t="n"/>
      <c r="E95" s="21" t="n"/>
      <c r="F95" s="16" t="n"/>
      <c r="G95" s="15" t="n"/>
      <c r="H95" s="19">
        <f>IF($A95="","",IFERROR(SUMIF(tblVarliklar[VarlikId],$B95,tblVarliklar[KapasiteKwp_kwp]),gup_varsayilanKapasite))</f>
        <v/>
      </c>
      <c r="I95" s="19">
        <f>IF($A95="","",$E95*$H95)</f>
        <v/>
      </c>
      <c r="J95" s="19">
        <f>IF(OR($A95="",$I95=0),"",$D95/$I95)</f>
        <v/>
      </c>
      <c r="K95" s="19">
        <f>IF(OR($A95="",$I95=0),"",$F95/$I95)</f>
        <v/>
      </c>
      <c r="L95" s="19">
        <f>IF($A95="","",$D95)</f>
        <v/>
      </c>
      <c r="M95" s="19">
        <f>IF($A95="","",MAX(0,MIN(100,gup_kaliteTaban-IF($J95&lt;gup_esikPr,gup_kaliteCeza,0)-IF($F95&gt;gup_esikKayipKwh,gup_kaliteSapma,0)-IF($P95="YETIM",gup_kaliteCeza,0))))</f>
        <v/>
      </c>
      <c r="N95" s="19">
        <f>IF($A95="","",IF(OR($J95&lt;gup_esikPr,$F95&gt;gup_esikKayipKwh,$M95&lt;gup_esikSaglik),"ALARM","UYGUN"))</f>
        <v/>
      </c>
      <c r="O95" s="19">
        <f>IF($A95="","",1)</f>
        <v/>
      </c>
      <c r="P95" s="19">
        <f>IF($A95="","",IF(OR($B95="",COUNTIF(tblVarliklar[VarlikId],$B95)=0),"YETIM","TAMAM"))</f>
        <v/>
      </c>
    </row>
    <row r="96">
      <c r="A96" s="15" t="n"/>
      <c r="B96" s="15" t="n"/>
      <c r="C96" s="62" t="n"/>
      <c r="D96" s="16" t="n"/>
      <c r="E96" s="21" t="n"/>
      <c r="F96" s="16" t="n"/>
      <c r="G96" s="15" t="n"/>
      <c r="H96" s="19">
        <f>IF($A96="","",IFERROR(SUMIF(tblVarliklar[VarlikId],$B96,tblVarliklar[KapasiteKwp_kwp]),gup_varsayilanKapasite))</f>
        <v/>
      </c>
      <c r="I96" s="19">
        <f>IF($A96="","",$E96*$H96)</f>
        <v/>
      </c>
      <c r="J96" s="19">
        <f>IF(OR($A96="",$I96=0),"",$D96/$I96)</f>
        <v/>
      </c>
      <c r="K96" s="19">
        <f>IF(OR($A96="",$I96=0),"",$F96/$I96)</f>
        <v/>
      </c>
      <c r="L96" s="19">
        <f>IF($A96="","",$D96)</f>
        <v/>
      </c>
      <c r="M96" s="19">
        <f>IF($A96="","",MAX(0,MIN(100,gup_kaliteTaban-IF($J96&lt;gup_esikPr,gup_kaliteCeza,0)-IF($F96&gt;gup_esikKayipKwh,gup_kaliteSapma,0)-IF($P96="YETIM",gup_kaliteCeza,0))))</f>
        <v/>
      </c>
      <c r="N96" s="19">
        <f>IF($A96="","",IF(OR($J96&lt;gup_esikPr,$F96&gt;gup_esikKayipKwh,$M96&lt;gup_esikSaglik),"ALARM","UYGUN"))</f>
        <v/>
      </c>
      <c r="O96" s="19">
        <f>IF($A96="","",1)</f>
        <v/>
      </c>
      <c r="P96" s="19">
        <f>IF($A96="","",IF(OR($B96="",COUNTIF(tblVarliklar[VarlikId],$B96)=0),"YETIM","TAMAM"))</f>
        <v/>
      </c>
    </row>
    <row r="97">
      <c r="A97" s="15" t="n"/>
      <c r="B97" s="15" t="n"/>
      <c r="C97" s="62" t="n"/>
      <c r="D97" s="16" t="n"/>
      <c r="E97" s="21" t="n"/>
      <c r="F97" s="16" t="n"/>
      <c r="G97" s="15" t="n"/>
      <c r="H97" s="19">
        <f>IF($A97="","",IFERROR(SUMIF(tblVarliklar[VarlikId],$B97,tblVarliklar[KapasiteKwp_kwp]),gup_varsayilanKapasite))</f>
        <v/>
      </c>
      <c r="I97" s="19">
        <f>IF($A97="","",$E97*$H97)</f>
        <v/>
      </c>
      <c r="J97" s="19">
        <f>IF(OR($A97="",$I97=0),"",$D97/$I97)</f>
        <v/>
      </c>
      <c r="K97" s="19">
        <f>IF(OR($A97="",$I97=0),"",$F97/$I97)</f>
        <v/>
      </c>
      <c r="L97" s="19">
        <f>IF($A97="","",$D97)</f>
        <v/>
      </c>
      <c r="M97" s="19">
        <f>IF($A97="","",MAX(0,MIN(100,gup_kaliteTaban-IF($J97&lt;gup_esikPr,gup_kaliteCeza,0)-IF($F97&gt;gup_esikKayipKwh,gup_kaliteSapma,0)-IF($P97="YETIM",gup_kaliteCeza,0))))</f>
        <v/>
      </c>
      <c r="N97" s="19">
        <f>IF($A97="","",IF(OR($J97&lt;gup_esikPr,$F97&gt;gup_esikKayipKwh,$M97&lt;gup_esikSaglik),"ALARM","UYGUN"))</f>
        <v/>
      </c>
      <c r="O97" s="19">
        <f>IF($A97="","",1)</f>
        <v/>
      </c>
      <c r="P97" s="19">
        <f>IF($A97="","",IF(OR($B97="",COUNTIF(tblVarliklar[VarlikId],$B97)=0),"YETIM","TAMAM"))</f>
        <v/>
      </c>
    </row>
    <row r="98">
      <c r="A98" s="15" t="n"/>
      <c r="B98" s="15" t="n"/>
      <c r="C98" s="62" t="n"/>
      <c r="D98" s="16" t="n"/>
      <c r="E98" s="21" t="n"/>
      <c r="F98" s="16" t="n"/>
      <c r="G98" s="15" t="n"/>
      <c r="H98" s="19">
        <f>IF($A98="","",IFERROR(SUMIF(tblVarliklar[VarlikId],$B98,tblVarliklar[KapasiteKwp_kwp]),gup_varsayilanKapasite))</f>
        <v/>
      </c>
      <c r="I98" s="19">
        <f>IF($A98="","",$E98*$H98)</f>
        <v/>
      </c>
      <c r="J98" s="19">
        <f>IF(OR($A98="",$I98=0),"",$D98/$I98)</f>
        <v/>
      </c>
      <c r="K98" s="19">
        <f>IF(OR($A98="",$I98=0),"",$F98/$I98)</f>
        <v/>
      </c>
      <c r="L98" s="19">
        <f>IF($A98="","",$D98)</f>
        <v/>
      </c>
      <c r="M98" s="19">
        <f>IF($A98="","",MAX(0,MIN(100,gup_kaliteTaban-IF($J98&lt;gup_esikPr,gup_kaliteCeza,0)-IF($F98&gt;gup_esikKayipKwh,gup_kaliteSapma,0)-IF($P98="YETIM",gup_kaliteCeza,0))))</f>
        <v/>
      </c>
      <c r="N98" s="19">
        <f>IF($A98="","",IF(OR($J98&lt;gup_esikPr,$F98&gt;gup_esikKayipKwh,$M98&lt;gup_esikSaglik),"ALARM","UYGUN"))</f>
        <v/>
      </c>
      <c r="O98" s="19">
        <f>IF($A98="","",1)</f>
        <v/>
      </c>
      <c r="P98" s="19">
        <f>IF($A98="","",IF(OR($B98="",COUNTIF(tblVarliklar[VarlikId],$B98)=0),"YETIM","TAMAM"))</f>
        <v/>
      </c>
    </row>
    <row r="99">
      <c r="A99" s="15" t="n"/>
      <c r="B99" s="15" t="n"/>
      <c r="C99" s="62" t="n"/>
      <c r="D99" s="16" t="n"/>
      <c r="E99" s="21" t="n"/>
      <c r="F99" s="16" t="n"/>
      <c r="G99" s="15" t="n"/>
      <c r="H99" s="19">
        <f>IF($A99="","",IFERROR(SUMIF(tblVarliklar[VarlikId],$B99,tblVarliklar[KapasiteKwp_kwp]),gup_varsayilanKapasite))</f>
        <v/>
      </c>
      <c r="I99" s="19">
        <f>IF($A99="","",$E99*$H99)</f>
        <v/>
      </c>
      <c r="J99" s="19">
        <f>IF(OR($A99="",$I99=0),"",$D99/$I99)</f>
        <v/>
      </c>
      <c r="K99" s="19">
        <f>IF(OR($A99="",$I99=0),"",$F99/$I99)</f>
        <v/>
      </c>
      <c r="L99" s="19">
        <f>IF($A99="","",$D99)</f>
        <v/>
      </c>
      <c r="M99" s="19">
        <f>IF($A99="","",MAX(0,MIN(100,gup_kaliteTaban-IF($J99&lt;gup_esikPr,gup_kaliteCeza,0)-IF($F99&gt;gup_esikKayipKwh,gup_kaliteSapma,0)-IF($P99="YETIM",gup_kaliteCeza,0))))</f>
        <v/>
      </c>
      <c r="N99" s="19">
        <f>IF($A99="","",IF(OR($J99&lt;gup_esikPr,$F99&gt;gup_esikKayipKwh,$M99&lt;gup_esikSaglik),"ALARM","UYGUN"))</f>
        <v/>
      </c>
      <c r="O99" s="19">
        <f>IF($A99="","",1)</f>
        <v/>
      </c>
      <c r="P99" s="19">
        <f>IF($A99="","",IF(OR($B99="",COUNTIF(tblVarliklar[VarlikId],$B99)=0),"YETIM","TAMAM"))</f>
        <v/>
      </c>
    </row>
    <row r="100">
      <c r="A100" s="15" t="n"/>
      <c r="B100" s="15" t="n"/>
      <c r="C100" s="62" t="n"/>
      <c r="D100" s="16" t="n"/>
      <c r="E100" s="21" t="n"/>
      <c r="F100" s="16" t="n"/>
      <c r="G100" s="15" t="n"/>
      <c r="H100" s="19">
        <f>IF($A100="","",IFERROR(SUMIF(tblVarliklar[VarlikId],$B100,tblVarliklar[KapasiteKwp_kwp]),gup_varsayilanKapasite))</f>
        <v/>
      </c>
      <c r="I100" s="19">
        <f>IF($A100="","",$E100*$H100)</f>
        <v/>
      </c>
      <c r="J100" s="19">
        <f>IF(OR($A100="",$I100=0),"",$D100/$I100)</f>
        <v/>
      </c>
      <c r="K100" s="19">
        <f>IF(OR($A100="",$I100=0),"",$F100/$I100)</f>
        <v/>
      </c>
      <c r="L100" s="19">
        <f>IF($A100="","",$D100)</f>
        <v/>
      </c>
      <c r="M100" s="19">
        <f>IF($A100="","",MAX(0,MIN(100,gup_kaliteTaban-IF($J100&lt;gup_esikPr,gup_kaliteCeza,0)-IF($F100&gt;gup_esikKayipKwh,gup_kaliteSapma,0)-IF($P100="YETIM",gup_kaliteCeza,0))))</f>
        <v/>
      </c>
      <c r="N100" s="19">
        <f>IF($A100="","",IF(OR($J100&lt;gup_esikPr,$F100&gt;gup_esikKayipKwh,$M100&lt;gup_esikSaglik),"ALARM","UYGUN"))</f>
        <v/>
      </c>
      <c r="O100" s="19">
        <f>IF($A100="","",1)</f>
        <v/>
      </c>
      <c r="P100" s="19">
        <f>IF($A100="","",IF(OR($B100="",COUNTIF(tblVarliklar[VarlikId],$B100)=0),"YETIM","TAMAM"))</f>
        <v/>
      </c>
    </row>
    <row r="101">
      <c r="A101" s="15" t="n"/>
      <c r="B101" s="15" t="n"/>
      <c r="C101" s="62" t="n"/>
      <c r="D101" s="16" t="n"/>
      <c r="E101" s="21" t="n"/>
      <c r="F101" s="16" t="n"/>
      <c r="G101" s="15" t="n"/>
      <c r="H101" s="19">
        <f>IF($A101="","",IFERROR(SUMIF(tblVarliklar[VarlikId],$B101,tblVarliklar[KapasiteKwp_kwp]),gup_varsayilanKapasite))</f>
        <v/>
      </c>
      <c r="I101" s="19">
        <f>IF($A101="","",$E101*$H101)</f>
        <v/>
      </c>
      <c r="J101" s="19">
        <f>IF(OR($A101="",$I101=0),"",$D101/$I101)</f>
        <v/>
      </c>
      <c r="K101" s="19">
        <f>IF(OR($A101="",$I101=0),"",$F101/$I101)</f>
        <v/>
      </c>
      <c r="L101" s="19">
        <f>IF($A101="","",$D101)</f>
        <v/>
      </c>
      <c r="M101" s="19">
        <f>IF($A101="","",MAX(0,MIN(100,gup_kaliteTaban-IF($J101&lt;gup_esikPr,gup_kaliteCeza,0)-IF($F101&gt;gup_esikKayipKwh,gup_kaliteSapma,0)-IF($P101="YETIM",gup_kaliteCeza,0))))</f>
        <v/>
      </c>
      <c r="N101" s="19">
        <f>IF($A101="","",IF(OR($J101&lt;gup_esikPr,$F101&gt;gup_esikKayipKwh,$M101&lt;gup_esikSaglik),"ALARM","UYGUN"))</f>
        <v/>
      </c>
      <c r="O101" s="19">
        <f>IF($A101="","",1)</f>
        <v/>
      </c>
      <c r="P101" s="19">
        <f>IF($A101="","",IF(OR($B101="",COUNTIF(tblVarliklar[VarlikId],$B101)=0),"YETIM","TAMAM"))</f>
        <v/>
      </c>
    </row>
    <row r="102">
      <c r="A102" s="15" t="n"/>
      <c r="B102" s="15" t="n"/>
      <c r="C102" s="62" t="n"/>
      <c r="D102" s="16" t="n"/>
      <c r="E102" s="21" t="n"/>
      <c r="F102" s="16" t="n"/>
      <c r="G102" s="15" t="n"/>
      <c r="H102" s="19">
        <f>IF($A102="","",IFERROR(SUMIF(tblVarliklar[VarlikId],$B102,tblVarliklar[KapasiteKwp_kwp]),gup_varsayilanKapasite))</f>
        <v/>
      </c>
      <c r="I102" s="19">
        <f>IF($A102="","",$E102*$H102)</f>
        <v/>
      </c>
      <c r="J102" s="19">
        <f>IF(OR($A102="",$I102=0),"",$D102/$I102)</f>
        <v/>
      </c>
      <c r="K102" s="19">
        <f>IF(OR($A102="",$I102=0),"",$F102/$I102)</f>
        <v/>
      </c>
      <c r="L102" s="19">
        <f>IF($A102="","",$D102)</f>
        <v/>
      </c>
      <c r="M102" s="19">
        <f>IF($A102="","",MAX(0,MIN(100,gup_kaliteTaban-IF($J102&lt;gup_esikPr,gup_kaliteCeza,0)-IF($F102&gt;gup_esikKayipKwh,gup_kaliteSapma,0)-IF($P102="YETIM",gup_kaliteCeza,0))))</f>
        <v/>
      </c>
      <c r="N102" s="19">
        <f>IF($A102="","",IF(OR($J102&lt;gup_esikPr,$F102&gt;gup_esikKayipKwh,$M102&lt;gup_esikSaglik),"ALARM","UYGUN"))</f>
        <v/>
      </c>
      <c r="O102" s="19">
        <f>IF($A102="","",1)</f>
        <v/>
      </c>
      <c r="P102" s="19">
        <f>IF($A102="","",IF(OR($B102="",COUNTIF(tblVarliklar[VarlikId],$B102)=0),"YETIM","TAMAM"))</f>
        <v/>
      </c>
    </row>
    <row r="103">
      <c r="A103" s="15" t="n"/>
      <c r="B103" s="15" t="n"/>
      <c r="C103" s="62" t="n"/>
      <c r="D103" s="16" t="n"/>
      <c r="E103" s="21" t="n"/>
      <c r="F103" s="16" t="n"/>
      <c r="G103" s="15" t="n"/>
      <c r="H103" s="19">
        <f>IF($A103="","",IFERROR(SUMIF(tblVarliklar[VarlikId],$B103,tblVarliklar[KapasiteKwp_kwp]),gup_varsayilanKapasite))</f>
        <v/>
      </c>
      <c r="I103" s="19">
        <f>IF($A103="","",$E103*$H103)</f>
        <v/>
      </c>
      <c r="J103" s="19">
        <f>IF(OR($A103="",$I103=0),"",$D103/$I103)</f>
        <v/>
      </c>
      <c r="K103" s="19">
        <f>IF(OR($A103="",$I103=0),"",$F103/$I103)</f>
        <v/>
      </c>
      <c r="L103" s="19">
        <f>IF($A103="","",$D103)</f>
        <v/>
      </c>
      <c r="M103" s="19">
        <f>IF($A103="","",MAX(0,MIN(100,gup_kaliteTaban-IF($J103&lt;gup_esikPr,gup_kaliteCeza,0)-IF($F103&gt;gup_esikKayipKwh,gup_kaliteSapma,0)-IF($P103="YETIM",gup_kaliteCeza,0))))</f>
        <v/>
      </c>
      <c r="N103" s="19">
        <f>IF($A103="","",IF(OR($J103&lt;gup_esikPr,$F103&gt;gup_esikKayipKwh,$M103&lt;gup_esikSaglik),"ALARM","UYGUN"))</f>
        <v/>
      </c>
      <c r="O103" s="19">
        <f>IF($A103="","",1)</f>
        <v/>
      </c>
      <c r="P103" s="19">
        <f>IF($A103="","",IF(OR($B103="",COUNTIF(tblVarliklar[VarlikId],$B103)=0),"YETIM","TAMAM"))</f>
        <v/>
      </c>
    </row>
    <row r="104">
      <c r="A104" s="15" t="n"/>
      <c r="B104" s="15" t="n"/>
      <c r="C104" s="62" t="n"/>
      <c r="D104" s="16" t="n"/>
      <c r="E104" s="21" t="n"/>
      <c r="F104" s="16" t="n"/>
      <c r="G104" s="15" t="n"/>
      <c r="H104" s="19">
        <f>IF($A104="","",IFERROR(SUMIF(tblVarliklar[VarlikId],$B104,tblVarliklar[KapasiteKwp_kwp]),gup_varsayilanKapasite))</f>
        <v/>
      </c>
      <c r="I104" s="19">
        <f>IF($A104="","",$E104*$H104)</f>
        <v/>
      </c>
      <c r="J104" s="19">
        <f>IF(OR($A104="",$I104=0),"",$D104/$I104)</f>
        <v/>
      </c>
      <c r="K104" s="19">
        <f>IF(OR($A104="",$I104=0),"",$F104/$I104)</f>
        <v/>
      </c>
      <c r="L104" s="19">
        <f>IF($A104="","",$D104)</f>
        <v/>
      </c>
      <c r="M104" s="19">
        <f>IF($A104="","",MAX(0,MIN(100,gup_kaliteTaban-IF($J104&lt;gup_esikPr,gup_kaliteCeza,0)-IF($F104&gt;gup_esikKayipKwh,gup_kaliteSapma,0)-IF($P104="YETIM",gup_kaliteCeza,0))))</f>
        <v/>
      </c>
      <c r="N104" s="19">
        <f>IF($A104="","",IF(OR($J104&lt;gup_esikPr,$F104&gt;gup_esikKayipKwh,$M104&lt;gup_esikSaglik),"ALARM","UYGUN"))</f>
        <v/>
      </c>
      <c r="O104" s="19">
        <f>IF($A104="","",1)</f>
        <v/>
      </c>
      <c r="P104" s="19">
        <f>IF($A104="","",IF(OR($B104="",COUNTIF(tblVarliklar[VarlikId],$B104)=0),"YETIM","TAMAM"))</f>
        <v/>
      </c>
    </row>
    <row r="105">
      <c r="A105" s="15" t="n"/>
      <c r="B105" s="15" t="n"/>
      <c r="C105" s="62" t="n"/>
      <c r="D105" s="16" t="n"/>
      <c r="E105" s="21" t="n"/>
      <c r="F105" s="16" t="n"/>
      <c r="G105" s="15" t="n"/>
      <c r="H105" s="19">
        <f>IF($A105="","",IFERROR(SUMIF(tblVarliklar[VarlikId],$B105,tblVarliklar[KapasiteKwp_kwp]),gup_varsayilanKapasite))</f>
        <v/>
      </c>
      <c r="I105" s="19">
        <f>IF($A105="","",$E105*$H105)</f>
        <v/>
      </c>
      <c r="J105" s="19">
        <f>IF(OR($A105="",$I105=0),"",$D105/$I105)</f>
        <v/>
      </c>
      <c r="K105" s="19">
        <f>IF(OR($A105="",$I105=0),"",$F105/$I105)</f>
        <v/>
      </c>
      <c r="L105" s="19">
        <f>IF($A105="","",$D105)</f>
        <v/>
      </c>
      <c r="M105" s="19">
        <f>IF($A105="","",MAX(0,MIN(100,gup_kaliteTaban-IF($J105&lt;gup_esikPr,gup_kaliteCeza,0)-IF($F105&gt;gup_esikKayipKwh,gup_kaliteSapma,0)-IF($P105="YETIM",gup_kaliteCeza,0))))</f>
        <v/>
      </c>
      <c r="N105" s="19">
        <f>IF($A105="","",IF(OR($J105&lt;gup_esikPr,$F105&gt;gup_esikKayipKwh,$M105&lt;gup_esikSaglik),"ALARM","UYGUN"))</f>
        <v/>
      </c>
      <c r="O105" s="19">
        <f>IF($A105="","",1)</f>
        <v/>
      </c>
      <c r="P105" s="19">
        <f>IF($A105="","",IF(OR($B105="",COUNTIF(tblVarliklar[VarlikId],$B105)=0),"YETIM","TAMAM"))</f>
        <v/>
      </c>
    </row>
    <row r="106">
      <c r="A106" s="15" t="n"/>
      <c r="B106" s="15" t="n"/>
      <c r="C106" s="62" t="n"/>
      <c r="D106" s="16" t="n"/>
      <c r="E106" s="21" t="n"/>
      <c r="F106" s="16" t="n"/>
      <c r="G106" s="15" t="n"/>
      <c r="H106" s="19">
        <f>IF($A106="","",IFERROR(SUMIF(tblVarliklar[VarlikId],$B106,tblVarliklar[KapasiteKwp_kwp]),gup_varsayilanKapasite))</f>
        <v/>
      </c>
      <c r="I106" s="19">
        <f>IF($A106="","",$E106*$H106)</f>
        <v/>
      </c>
      <c r="J106" s="19">
        <f>IF(OR($A106="",$I106=0),"",$D106/$I106)</f>
        <v/>
      </c>
      <c r="K106" s="19">
        <f>IF(OR($A106="",$I106=0),"",$F106/$I106)</f>
        <v/>
      </c>
      <c r="L106" s="19">
        <f>IF($A106="","",$D106)</f>
        <v/>
      </c>
      <c r="M106" s="19">
        <f>IF($A106="","",MAX(0,MIN(100,gup_kaliteTaban-IF($J106&lt;gup_esikPr,gup_kaliteCeza,0)-IF($F106&gt;gup_esikKayipKwh,gup_kaliteSapma,0)-IF($P106="YETIM",gup_kaliteCeza,0))))</f>
        <v/>
      </c>
      <c r="N106" s="19">
        <f>IF($A106="","",IF(OR($J106&lt;gup_esikPr,$F106&gt;gup_esikKayipKwh,$M106&lt;gup_esikSaglik),"ALARM","UYGUN"))</f>
        <v/>
      </c>
      <c r="O106" s="19">
        <f>IF($A106="","",1)</f>
        <v/>
      </c>
      <c r="P106" s="19">
        <f>IF($A106="","",IF(OR($B106="",COUNTIF(tblVarliklar[VarlikId],$B106)=0),"YETIM","TAMAM"))</f>
        <v/>
      </c>
    </row>
    <row r="107">
      <c r="A107" s="15" t="n"/>
      <c r="B107" s="15" t="n"/>
      <c r="C107" s="62" t="n"/>
      <c r="D107" s="16" t="n"/>
      <c r="E107" s="21" t="n"/>
      <c r="F107" s="16" t="n"/>
      <c r="G107" s="15" t="n"/>
      <c r="H107" s="19">
        <f>IF($A107="","",IFERROR(SUMIF(tblVarliklar[VarlikId],$B107,tblVarliklar[KapasiteKwp_kwp]),gup_varsayilanKapasite))</f>
        <v/>
      </c>
      <c r="I107" s="19">
        <f>IF($A107="","",$E107*$H107)</f>
        <v/>
      </c>
      <c r="J107" s="19">
        <f>IF(OR($A107="",$I107=0),"",$D107/$I107)</f>
        <v/>
      </c>
      <c r="K107" s="19">
        <f>IF(OR($A107="",$I107=0),"",$F107/$I107)</f>
        <v/>
      </c>
      <c r="L107" s="19">
        <f>IF($A107="","",$D107)</f>
        <v/>
      </c>
      <c r="M107" s="19">
        <f>IF($A107="","",MAX(0,MIN(100,gup_kaliteTaban-IF($J107&lt;gup_esikPr,gup_kaliteCeza,0)-IF($F107&gt;gup_esikKayipKwh,gup_kaliteSapma,0)-IF($P107="YETIM",gup_kaliteCeza,0))))</f>
        <v/>
      </c>
      <c r="N107" s="19">
        <f>IF($A107="","",IF(OR($J107&lt;gup_esikPr,$F107&gt;gup_esikKayipKwh,$M107&lt;gup_esikSaglik),"ALARM","UYGUN"))</f>
        <v/>
      </c>
      <c r="O107" s="19">
        <f>IF($A107="","",1)</f>
        <v/>
      </c>
      <c r="P107" s="19">
        <f>IF($A107="","",IF(OR($B107="",COUNTIF(tblVarliklar[VarlikId],$B107)=0),"YETIM","TAMAM"))</f>
        <v/>
      </c>
    </row>
    <row r="108">
      <c r="A108" s="15" t="n"/>
      <c r="B108" s="15" t="n"/>
      <c r="C108" s="62" t="n"/>
      <c r="D108" s="16" t="n"/>
      <c r="E108" s="21" t="n"/>
      <c r="F108" s="16" t="n"/>
      <c r="G108" s="15" t="n"/>
      <c r="H108" s="19">
        <f>IF($A108="","",IFERROR(SUMIF(tblVarliklar[VarlikId],$B108,tblVarliklar[KapasiteKwp_kwp]),gup_varsayilanKapasite))</f>
        <v/>
      </c>
      <c r="I108" s="19">
        <f>IF($A108="","",$E108*$H108)</f>
        <v/>
      </c>
      <c r="J108" s="19">
        <f>IF(OR($A108="",$I108=0),"",$D108/$I108)</f>
        <v/>
      </c>
      <c r="K108" s="19">
        <f>IF(OR($A108="",$I108=0),"",$F108/$I108)</f>
        <v/>
      </c>
      <c r="L108" s="19">
        <f>IF($A108="","",$D108)</f>
        <v/>
      </c>
      <c r="M108" s="19">
        <f>IF($A108="","",MAX(0,MIN(100,gup_kaliteTaban-IF($J108&lt;gup_esikPr,gup_kaliteCeza,0)-IF($F108&gt;gup_esikKayipKwh,gup_kaliteSapma,0)-IF($P108="YETIM",gup_kaliteCeza,0))))</f>
        <v/>
      </c>
      <c r="N108" s="19">
        <f>IF($A108="","",IF(OR($J108&lt;gup_esikPr,$F108&gt;gup_esikKayipKwh,$M108&lt;gup_esikSaglik),"ALARM","UYGUN"))</f>
        <v/>
      </c>
      <c r="O108" s="19">
        <f>IF($A108="","",1)</f>
        <v/>
      </c>
      <c r="P108" s="19">
        <f>IF($A108="","",IF(OR($B108="",COUNTIF(tblVarliklar[VarlikId],$B108)=0),"YETIM","TAMAM"))</f>
        <v/>
      </c>
    </row>
    <row r="109">
      <c r="A109" s="15" t="n"/>
      <c r="B109" s="15" t="n"/>
      <c r="C109" s="62" t="n"/>
      <c r="D109" s="16" t="n"/>
      <c r="E109" s="21" t="n"/>
      <c r="F109" s="16" t="n"/>
      <c r="G109" s="15" t="n"/>
      <c r="H109" s="19">
        <f>IF($A109="","",IFERROR(SUMIF(tblVarliklar[VarlikId],$B109,tblVarliklar[KapasiteKwp_kwp]),gup_varsayilanKapasite))</f>
        <v/>
      </c>
      <c r="I109" s="19">
        <f>IF($A109="","",$E109*$H109)</f>
        <v/>
      </c>
      <c r="J109" s="19">
        <f>IF(OR($A109="",$I109=0),"",$D109/$I109)</f>
        <v/>
      </c>
      <c r="K109" s="19">
        <f>IF(OR($A109="",$I109=0),"",$F109/$I109)</f>
        <v/>
      </c>
      <c r="L109" s="19">
        <f>IF($A109="","",$D109)</f>
        <v/>
      </c>
      <c r="M109" s="19">
        <f>IF($A109="","",MAX(0,MIN(100,gup_kaliteTaban-IF($J109&lt;gup_esikPr,gup_kaliteCeza,0)-IF($F109&gt;gup_esikKayipKwh,gup_kaliteSapma,0)-IF($P109="YETIM",gup_kaliteCeza,0))))</f>
        <v/>
      </c>
      <c r="N109" s="19">
        <f>IF($A109="","",IF(OR($J109&lt;gup_esikPr,$F109&gt;gup_esikKayipKwh,$M109&lt;gup_esikSaglik),"ALARM","UYGUN"))</f>
        <v/>
      </c>
      <c r="O109" s="19">
        <f>IF($A109="","",1)</f>
        <v/>
      </c>
      <c r="P109" s="19">
        <f>IF($A109="","",IF(OR($B109="",COUNTIF(tblVarliklar[VarlikId],$B109)=0),"YETIM","TAMAM"))</f>
        <v/>
      </c>
    </row>
    <row r="110">
      <c r="A110" s="15" t="n"/>
      <c r="B110" s="15" t="n"/>
      <c r="C110" s="62" t="n"/>
      <c r="D110" s="16" t="n"/>
      <c r="E110" s="21" t="n"/>
      <c r="F110" s="16" t="n"/>
      <c r="G110" s="15" t="n"/>
      <c r="H110" s="19">
        <f>IF($A110="","",IFERROR(SUMIF(tblVarliklar[VarlikId],$B110,tblVarliklar[KapasiteKwp_kwp]),gup_varsayilanKapasite))</f>
        <v/>
      </c>
      <c r="I110" s="19">
        <f>IF($A110="","",$E110*$H110)</f>
        <v/>
      </c>
      <c r="J110" s="19">
        <f>IF(OR($A110="",$I110=0),"",$D110/$I110)</f>
        <v/>
      </c>
      <c r="K110" s="19">
        <f>IF(OR($A110="",$I110=0),"",$F110/$I110)</f>
        <v/>
      </c>
      <c r="L110" s="19">
        <f>IF($A110="","",$D110)</f>
        <v/>
      </c>
      <c r="M110" s="19">
        <f>IF($A110="","",MAX(0,MIN(100,gup_kaliteTaban-IF($J110&lt;gup_esikPr,gup_kaliteCeza,0)-IF($F110&gt;gup_esikKayipKwh,gup_kaliteSapma,0)-IF($P110="YETIM",gup_kaliteCeza,0))))</f>
        <v/>
      </c>
      <c r="N110" s="19">
        <f>IF($A110="","",IF(OR($J110&lt;gup_esikPr,$F110&gt;gup_esikKayipKwh,$M110&lt;gup_esikSaglik),"ALARM","UYGUN"))</f>
        <v/>
      </c>
      <c r="O110" s="19">
        <f>IF($A110="","",1)</f>
        <v/>
      </c>
      <c r="P110" s="19">
        <f>IF($A110="","",IF(OR($B110="",COUNTIF(tblVarliklar[VarlikId],$B110)=0),"YETIM","TAMAM"))</f>
        <v/>
      </c>
    </row>
    <row r="111">
      <c r="A111" s="15" t="n"/>
      <c r="B111" s="15" t="n"/>
      <c r="C111" s="62" t="n"/>
      <c r="D111" s="16" t="n"/>
      <c r="E111" s="21" t="n"/>
      <c r="F111" s="16" t="n"/>
      <c r="G111" s="15" t="n"/>
      <c r="H111" s="19">
        <f>IF($A111="","",IFERROR(SUMIF(tblVarliklar[VarlikId],$B111,tblVarliklar[KapasiteKwp_kwp]),gup_varsayilanKapasite))</f>
        <v/>
      </c>
      <c r="I111" s="19">
        <f>IF($A111="","",$E111*$H111)</f>
        <v/>
      </c>
      <c r="J111" s="19">
        <f>IF(OR($A111="",$I111=0),"",$D111/$I111)</f>
        <v/>
      </c>
      <c r="K111" s="19">
        <f>IF(OR($A111="",$I111=0),"",$F111/$I111)</f>
        <v/>
      </c>
      <c r="L111" s="19">
        <f>IF($A111="","",$D111)</f>
        <v/>
      </c>
      <c r="M111" s="19">
        <f>IF($A111="","",MAX(0,MIN(100,gup_kaliteTaban-IF($J111&lt;gup_esikPr,gup_kaliteCeza,0)-IF($F111&gt;gup_esikKayipKwh,gup_kaliteSapma,0)-IF($P111="YETIM",gup_kaliteCeza,0))))</f>
        <v/>
      </c>
      <c r="N111" s="19">
        <f>IF($A111="","",IF(OR($J111&lt;gup_esikPr,$F111&gt;gup_esikKayipKwh,$M111&lt;gup_esikSaglik),"ALARM","UYGUN"))</f>
        <v/>
      </c>
      <c r="O111" s="19">
        <f>IF($A111="","",1)</f>
        <v/>
      </c>
      <c r="P111" s="19">
        <f>IF($A111="","",IF(OR($B111="",COUNTIF(tblVarliklar[VarlikId],$B111)=0),"YETIM","TAMAM"))</f>
        <v/>
      </c>
    </row>
    <row r="112">
      <c r="A112" s="15" t="n"/>
      <c r="B112" s="15" t="n"/>
      <c r="C112" s="62" t="n"/>
      <c r="D112" s="16" t="n"/>
      <c r="E112" s="21" t="n"/>
      <c r="F112" s="16" t="n"/>
      <c r="G112" s="15" t="n"/>
      <c r="H112" s="19">
        <f>IF($A112="","",IFERROR(SUMIF(tblVarliklar[VarlikId],$B112,tblVarliklar[KapasiteKwp_kwp]),gup_varsayilanKapasite))</f>
        <v/>
      </c>
      <c r="I112" s="19">
        <f>IF($A112="","",$E112*$H112)</f>
        <v/>
      </c>
      <c r="J112" s="19">
        <f>IF(OR($A112="",$I112=0),"",$D112/$I112)</f>
        <v/>
      </c>
      <c r="K112" s="19">
        <f>IF(OR($A112="",$I112=0),"",$F112/$I112)</f>
        <v/>
      </c>
      <c r="L112" s="19">
        <f>IF($A112="","",$D112)</f>
        <v/>
      </c>
      <c r="M112" s="19">
        <f>IF($A112="","",MAX(0,MIN(100,gup_kaliteTaban-IF($J112&lt;gup_esikPr,gup_kaliteCeza,0)-IF($F112&gt;gup_esikKayipKwh,gup_kaliteSapma,0)-IF($P112="YETIM",gup_kaliteCeza,0))))</f>
        <v/>
      </c>
      <c r="N112" s="19">
        <f>IF($A112="","",IF(OR($J112&lt;gup_esikPr,$F112&gt;gup_esikKayipKwh,$M112&lt;gup_esikSaglik),"ALARM","UYGUN"))</f>
        <v/>
      </c>
      <c r="O112" s="19">
        <f>IF($A112="","",1)</f>
        <v/>
      </c>
      <c r="P112" s="19">
        <f>IF($A112="","",IF(OR($B112="",COUNTIF(tblVarliklar[VarlikId],$B112)=0),"YETIM","TAMAM"))</f>
        <v/>
      </c>
    </row>
    <row r="113">
      <c r="A113" s="15" t="n"/>
      <c r="B113" s="15" t="n"/>
      <c r="C113" s="62" t="n"/>
      <c r="D113" s="16" t="n"/>
      <c r="E113" s="21" t="n"/>
      <c r="F113" s="16" t="n"/>
      <c r="G113" s="15" t="n"/>
      <c r="H113" s="19">
        <f>IF($A113="","",IFERROR(SUMIF(tblVarliklar[VarlikId],$B113,tblVarliklar[KapasiteKwp_kwp]),gup_varsayilanKapasite))</f>
        <v/>
      </c>
      <c r="I113" s="19">
        <f>IF($A113="","",$E113*$H113)</f>
        <v/>
      </c>
      <c r="J113" s="19">
        <f>IF(OR($A113="",$I113=0),"",$D113/$I113)</f>
        <v/>
      </c>
      <c r="K113" s="19">
        <f>IF(OR($A113="",$I113=0),"",$F113/$I113)</f>
        <v/>
      </c>
      <c r="L113" s="19">
        <f>IF($A113="","",$D113)</f>
        <v/>
      </c>
      <c r="M113" s="19">
        <f>IF($A113="","",MAX(0,MIN(100,gup_kaliteTaban-IF($J113&lt;gup_esikPr,gup_kaliteCeza,0)-IF($F113&gt;gup_esikKayipKwh,gup_kaliteSapma,0)-IF($P113="YETIM",gup_kaliteCeza,0))))</f>
        <v/>
      </c>
      <c r="N113" s="19">
        <f>IF($A113="","",IF(OR($J113&lt;gup_esikPr,$F113&gt;gup_esikKayipKwh,$M113&lt;gup_esikSaglik),"ALARM","UYGUN"))</f>
        <v/>
      </c>
      <c r="O113" s="19">
        <f>IF($A113="","",1)</f>
        <v/>
      </c>
      <c r="P113" s="19">
        <f>IF($A113="","",IF(OR($B113="",COUNTIF(tblVarliklar[VarlikId],$B113)=0),"YETIM","TAMAM"))</f>
        <v/>
      </c>
    </row>
    <row r="114">
      <c r="A114" s="15" t="n"/>
      <c r="B114" s="15" t="n"/>
      <c r="C114" s="62" t="n"/>
      <c r="D114" s="16" t="n"/>
      <c r="E114" s="21" t="n"/>
      <c r="F114" s="16" t="n"/>
      <c r="G114" s="15" t="n"/>
      <c r="H114" s="19">
        <f>IF($A114="","",IFERROR(SUMIF(tblVarliklar[VarlikId],$B114,tblVarliklar[KapasiteKwp_kwp]),gup_varsayilanKapasite))</f>
        <v/>
      </c>
      <c r="I114" s="19">
        <f>IF($A114="","",$E114*$H114)</f>
        <v/>
      </c>
      <c r="J114" s="19">
        <f>IF(OR($A114="",$I114=0),"",$D114/$I114)</f>
        <v/>
      </c>
      <c r="K114" s="19">
        <f>IF(OR($A114="",$I114=0),"",$F114/$I114)</f>
        <v/>
      </c>
      <c r="L114" s="19">
        <f>IF($A114="","",$D114)</f>
        <v/>
      </c>
      <c r="M114" s="19">
        <f>IF($A114="","",MAX(0,MIN(100,gup_kaliteTaban-IF($J114&lt;gup_esikPr,gup_kaliteCeza,0)-IF($F114&gt;gup_esikKayipKwh,gup_kaliteSapma,0)-IF($P114="YETIM",gup_kaliteCeza,0))))</f>
        <v/>
      </c>
      <c r="N114" s="19">
        <f>IF($A114="","",IF(OR($J114&lt;gup_esikPr,$F114&gt;gup_esikKayipKwh,$M114&lt;gup_esikSaglik),"ALARM","UYGUN"))</f>
        <v/>
      </c>
      <c r="O114" s="19">
        <f>IF($A114="","",1)</f>
        <v/>
      </c>
      <c r="P114" s="19">
        <f>IF($A114="","",IF(OR($B114="",COUNTIF(tblVarliklar[VarlikId],$B114)=0),"YETIM","TAMAM"))</f>
        <v/>
      </c>
    </row>
    <row r="115">
      <c r="A115" s="15" t="n"/>
      <c r="B115" s="15" t="n"/>
      <c r="C115" s="62" t="n"/>
      <c r="D115" s="16" t="n"/>
      <c r="E115" s="21" t="n"/>
      <c r="F115" s="16" t="n"/>
      <c r="G115" s="15" t="n"/>
      <c r="H115" s="19">
        <f>IF($A115="","",IFERROR(SUMIF(tblVarliklar[VarlikId],$B115,tblVarliklar[KapasiteKwp_kwp]),gup_varsayilanKapasite))</f>
        <v/>
      </c>
      <c r="I115" s="19">
        <f>IF($A115="","",$E115*$H115)</f>
        <v/>
      </c>
      <c r="J115" s="19">
        <f>IF(OR($A115="",$I115=0),"",$D115/$I115)</f>
        <v/>
      </c>
      <c r="K115" s="19">
        <f>IF(OR($A115="",$I115=0),"",$F115/$I115)</f>
        <v/>
      </c>
      <c r="L115" s="19">
        <f>IF($A115="","",$D115)</f>
        <v/>
      </c>
      <c r="M115" s="19">
        <f>IF($A115="","",MAX(0,MIN(100,gup_kaliteTaban-IF($J115&lt;gup_esikPr,gup_kaliteCeza,0)-IF($F115&gt;gup_esikKayipKwh,gup_kaliteSapma,0)-IF($P115="YETIM",gup_kaliteCeza,0))))</f>
        <v/>
      </c>
      <c r="N115" s="19">
        <f>IF($A115="","",IF(OR($J115&lt;gup_esikPr,$F115&gt;gup_esikKayipKwh,$M115&lt;gup_esikSaglik),"ALARM","UYGUN"))</f>
        <v/>
      </c>
      <c r="O115" s="19">
        <f>IF($A115="","",1)</f>
        <v/>
      </c>
      <c r="P115" s="19">
        <f>IF($A115="","",IF(OR($B115="",COUNTIF(tblVarliklar[VarlikId],$B115)=0),"YETIM","TAMAM"))</f>
        <v/>
      </c>
    </row>
    <row r="116">
      <c r="A116" s="15" t="n"/>
      <c r="B116" s="15" t="n"/>
      <c r="C116" s="62" t="n"/>
      <c r="D116" s="16" t="n"/>
      <c r="E116" s="21" t="n"/>
      <c r="F116" s="16" t="n"/>
      <c r="G116" s="15" t="n"/>
      <c r="H116" s="19">
        <f>IF($A116="","",IFERROR(SUMIF(tblVarliklar[VarlikId],$B116,tblVarliklar[KapasiteKwp_kwp]),gup_varsayilanKapasite))</f>
        <v/>
      </c>
      <c r="I116" s="19">
        <f>IF($A116="","",$E116*$H116)</f>
        <v/>
      </c>
      <c r="J116" s="19">
        <f>IF(OR($A116="",$I116=0),"",$D116/$I116)</f>
        <v/>
      </c>
      <c r="K116" s="19">
        <f>IF(OR($A116="",$I116=0),"",$F116/$I116)</f>
        <v/>
      </c>
      <c r="L116" s="19">
        <f>IF($A116="","",$D116)</f>
        <v/>
      </c>
      <c r="M116" s="19">
        <f>IF($A116="","",MAX(0,MIN(100,gup_kaliteTaban-IF($J116&lt;gup_esikPr,gup_kaliteCeza,0)-IF($F116&gt;gup_esikKayipKwh,gup_kaliteSapma,0)-IF($P116="YETIM",gup_kaliteCeza,0))))</f>
        <v/>
      </c>
      <c r="N116" s="19">
        <f>IF($A116="","",IF(OR($J116&lt;gup_esikPr,$F116&gt;gup_esikKayipKwh,$M116&lt;gup_esikSaglik),"ALARM","UYGUN"))</f>
        <v/>
      </c>
      <c r="O116" s="19">
        <f>IF($A116="","",1)</f>
        <v/>
      </c>
      <c r="P116" s="19">
        <f>IF($A116="","",IF(OR($B116="",COUNTIF(tblVarliklar[VarlikId],$B116)=0),"YETIM","TAMAM"))</f>
        <v/>
      </c>
    </row>
    <row r="117">
      <c r="A117" s="15" t="n"/>
      <c r="B117" s="15" t="n"/>
      <c r="C117" s="62" t="n"/>
      <c r="D117" s="16" t="n"/>
      <c r="E117" s="21" t="n"/>
      <c r="F117" s="16" t="n"/>
      <c r="G117" s="15" t="n"/>
      <c r="H117" s="19">
        <f>IF($A117="","",IFERROR(SUMIF(tblVarliklar[VarlikId],$B117,tblVarliklar[KapasiteKwp_kwp]),gup_varsayilanKapasite))</f>
        <v/>
      </c>
      <c r="I117" s="19">
        <f>IF($A117="","",$E117*$H117)</f>
        <v/>
      </c>
      <c r="J117" s="19">
        <f>IF(OR($A117="",$I117=0),"",$D117/$I117)</f>
        <v/>
      </c>
      <c r="K117" s="19">
        <f>IF(OR($A117="",$I117=0),"",$F117/$I117)</f>
        <v/>
      </c>
      <c r="L117" s="19">
        <f>IF($A117="","",$D117)</f>
        <v/>
      </c>
      <c r="M117" s="19">
        <f>IF($A117="","",MAX(0,MIN(100,gup_kaliteTaban-IF($J117&lt;gup_esikPr,gup_kaliteCeza,0)-IF($F117&gt;gup_esikKayipKwh,gup_kaliteSapma,0)-IF($P117="YETIM",gup_kaliteCeza,0))))</f>
        <v/>
      </c>
      <c r="N117" s="19">
        <f>IF($A117="","",IF(OR($J117&lt;gup_esikPr,$F117&gt;gup_esikKayipKwh,$M117&lt;gup_esikSaglik),"ALARM","UYGUN"))</f>
        <v/>
      </c>
      <c r="O117" s="19">
        <f>IF($A117="","",1)</f>
        <v/>
      </c>
      <c r="P117" s="19">
        <f>IF($A117="","",IF(OR($B117="",COUNTIF(tblVarliklar[VarlikId],$B117)=0),"YETIM","TAMAM"))</f>
        <v/>
      </c>
    </row>
    <row r="118">
      <c r="A118" s="15" t="n"/>
      <c r="B118" s="15" t="n"/>
      <c r="C118" s="62" t="n"/>
      <c r="D118" s="16" t="n"/>
      <c r="E118" s="21" t="n"/>
      <c r="F118" s="16" t="n"/>
      <c r="G118" s="15" t="n"/>
      <c r="H118" s="19">
        <f>IF($A118="","",IFERROR(SUMIF(tblVarliklar[VarlikId],$B118,tblVarliklar[KapasiteKwp_kwp]),gup_varsayilanKapasite))</f>
        <v/>
      </c>
      <c r="I118" s="19">
        <f>IF($A118="","",$E118*$H118)</f>
        <v/>
      </c>
      <c r="J118" s="19">
        <f>IF(OR($A118="",$I118=0),"",$D118/$I118)</f>
        <v/>
      </c>
      <c r="K118" s="19">
        <f>IF(OR($A118="",$I118=0),"",$F118/$I118)</f>
        <v/>
      </c>
      <c r="L118" s="19">
        <f>IF($A118="","",$D118)</f>
        <v/>
      </c>
      <c r="M118" s="19">
        <f>IF($A118="","",MAX(0,MIN(100,gup_kaliteTaban-IF($J118&lt;gup_esikPr,gup_kaliteCeza,0)-IF($F118&gt;gup_esikKayipKwh,gup_kaliteSapma,0)-IF($P118="YETIM",gup_kaliteCeza,0))))</f>
        <v/>
      </c>
      <c r="N118" s="19">
        <f>IF($A118="","",IF(OR($J118&lt;gup_esikPr,$F118&gt;gup_esikKayipKwh,$M118&lt;gup_esikSaglik),"ALARM","UYGUN"))</f>
        <v/>
      </c>
      <c r="O118" s="19">
        <f>IF($A118="","",1)</f>
        <v/>
      </c>
      <c r="P118" s="19">
        <f>IF($A118="","",IF(OR($B118="",COUNTIF(tblVarliklar[VarlikId],$B118)=0),"YETIM","TAMAM"))</f>
        <v/>
      </c>
    </row>
    <row r="119">
      <c r="A119" s="15" t="n"/>
      <c r="B119" s="15" t="n"/>
      <c r="C119" s="62" t="n"/>
      <c r="D119" s="16" t="n"/>
      <c r="E119" s="21" t="n"/>
      <c r="F119" s="16" t="n"/>
      <c r="G119" s="15" t="n"/>
      <c r="H119" s="19">
        <f>IF($A119="","",IFERROR(SUMIF(tblVarliklar[VarlikId],$B119,tblVarliklar[KapasiteKwp_kwp]),gup_varsayilanKapasite))</f>
        <v/>
      </c>
      <c r="I119" s="19">
        <f>IF($A119="","",$E119*$H119)</f>
        <v/>
      </c>
      <c r="J119" s="19">
        <f>IF(OR($A119="",$I119=0),"",$D119/$I119)</f>
        <v/>
      </c>
      <c r="K119" s="19">
        <f>IF(OR($A119="",$I119=0),"",$F119/$I119)</f>
        <v/>
      </c>
      <c r="L119" s="19">
        <f>IF($A119="","",$D119)</f>
        <v/>
      </c>
      <c r="M119" s="19">
        <f>IF($A119="","",MAX(0,MIN(100,gup_kaliteTaban-IF($J119&lt;gup_esikPr,gup_kaliteCeza,0)-IF($F119&gt;gup_esikKayipKwh,gup_kaliteSapma,0)-IF($P119="YETIM",gup_kaliteCeza,0))))</f>
        <v/>
      </c>
      <c r="N119" s="19">
        <f>IF($A119="","",IF(OR($J119&lt;gup_esikPr,$F119&gt;gup_esikKayipKwh,$M119&lt;gup_esikSaglik),"ALARM","UYGUN"))</f>
        <v/>
      </c>
      <c r="O119" s="19">
        <f>IF($A119="","",1)</f>
        <v/>
      </c>
      <c r="P119" s="19">
        <f>IF($A119="","",IF(OR($B119="",COUNTIF(tblVarliklar[VarlikId],$B119)=0),"YETIM","TAMAM"))</f>
        <v/>
      </c>
    </row>
    <row r="120">
      <c r="A120" s="15" t="n"/>
      <c r="B120" s="15" t="n"/>
      <c r="C120" s="62" t="n"/>
      <c r="D120" s="16" t="n"/>
      <c r="E120" s="21" t="n"/>
      <c r="F120" s="16" t="n"/>
      <c r="G120" s="15" t="n"/>
      <c r="H120" s="19">
        <f>IF($A120="","",IFERROR(SUMIF(tblVarliklar[VarlikId],$B120,tblVarliklar[KapasiteKwp_kwp]),gup_varsayilanKapasite))</f>
        <v/>
      </c>
      <c r="I120" s="19">
        <f>IF($A120="","",$E120*$H120)</f>
        <v/>
      </c>
      <c r="J120" s="19">
        <f>IF(OR($A120="",$I120=0),"",$D120/$I120)</f>
        <v/>
      </c>
      <c r="K120" s="19">
        <f>IF(OR($A120="",$I120=0),"",$F120/$I120)</f>
        <v/>
      </c>
      <c r="L120" s="19">
        <f>IF($A120="","",$D120)</f>
        <v/>
      </c>
      <c r="M120" s="19">
        <f>IF($A120="","",MAX(0,MIN(100,gup_kaliteTaban-IF($J120&lt;gup_esikPr,gup_kaliteCeza,0)-IF($F120&gt;gup_esikKayipKwh,gup_kaliteSapma,0)-IF($P120="YETIM",gup_kaliteCeza,0))))</f>
        <v/>
      </c>
      <c r="N120" s="19">
        <f>IF($A120="","",IF(OR($J120&lt;gup_esikPr,$F120&gt;gup_esikKayipKwh,$M120&lt;gup_esikSaglik),"ALARM","UYGUN"))</f>
        <v/>
      </c>
      <c r="O120" s="19">
        <f>IF($A120="","",1)</f>
        <v/>
      </c>
      <c r="P120" s="19">
        <f>IF($A120="","",IF(OR($B120="",COUNTIF(tblVarliklar[VarlikId],$B120)=0),"YETIM","TAMAM"))</f>
        <v/>
      </c>
    </row>
    <row r="121">
      <c r="A121" s="15" t="n"/>
      <c r="B121" s="15" t="n"/>
      <c r="C121" s="62" t="n"/>
      <c r="D121" s="16" t="n"/>
      <c r="E121" s="21" t="n"/>
      <c r="F121" s="16" t="n"/>
      <c r="G121" s="15" t="n"/>
      <c r="H121" s="19">
        <f>IF($A121="","",IFERROR(SUMIF(tblVarliklar[VarlikId],$B121,tblVarliklar[KapasiteKwp_kwp]),gup_varsayilanKapasite))</f>
        <v/>
      </c>
      <c r="I121" s="19">
        <f>IF($A121="","",$E121*$H121)</f>
        <v/>
      </c>
      <c r="J121" s="19">
        <f>IF(OR($A121="",$I121=0),"",$D121/$I121)</f>
        <v/>
      </c>
      <c r="K121" s="19">
        <f>IF(OR($A121="",$I121=0),"",$F121/$I121)</f>
        <v/>
      </c>
      <c r="L121" s="19">
        <f>IF($A121="","",$D121)</f>
        <v/>
      </c>
      <c r="M121" s="19">
        <f>IF($A121="","",MAX(0,MIN(100,gup_kaliteTaban-IF($J121&lt;gup_esikPr,gup_kaliteCeza,0)-IF($F121&gt;gup_esikKayipKwh,gup_kaliteSapma,0)-IF($P121="YETIM",gup_kaliteCeza,0))))</f>
        <v/>
      </c>
      <c r="N121" s="19">
        <f>IF($A121="","",IF(OR($J121&lt;gup_esikPr,$F121&gt;gup_esikKayipKwh,$M121&lt;gup_esikSaglik),"ALARM","UYGUN"))</f>
        <v/>
      </c>
      <c r="O121" s="19">
        <f>IF($A121="","",1)</f>
        <v/>
      </c>
      <c r="P121" s="19">
        <f>IF($A121="","",IF(OR($B121="",COUNTIF(tblVarliklar[VarlikId],$B121)=0),"YETIM","TAMAM"))</f>
        <v/>
      </c>
    </row>
    <row r="122">
      <c r="A122" s="15" t="n"/>
      <c r="B122" s="15" t="n"/>
      <c r="C122" s="62" t="n"/>
      <c r="D122" s="16" t="n"/>
      <c r="E122" s="21" t="n"/>
      <c r="F122" s="16" t="n"/>
      <c r="G122" s="15" t="n"/>
      <c r="H122" s="19">
        <f>IF($A122="","",IFERROR(SUMIF(tblVarliklar[VarlikId],$B122,tblVarliklar[KapasiteKwp_kwp]),gup_varsayilanKapasite))</f>
        <v/>
      </c>
      <c r="I122" s="19">
        <f>IF($A122="","",$E122*$H122)</f>
        <v/>
      </c>
      <c r="J122" s="19">
        <f>IF(OR($A122="",$I122=0),"",$D122/$I122)</f>
        <v/>
      </c>
      <c r="K122" s="19">
        <f>IF(OR($A122="",$I122=0),"",$F122/$I122)</f>
        <v/>
      </c>
      <c r="L122" s="19">
        <f>IF($A122="","",$D122)</f>
        <v/>
      </c>
      <c r="M122" s="19">
        <f>IF($A122="","",MAX(0,MIN(100,gup_kaliteTaban-IF($J122&lt;gup_esikPr,gup_kaliteCeza,0)-IF($F122&gt;gup_esikKayipKwh,gup_kaliteSapma,0)-IF($P122="YETIM",gup_kaliteCeza,0))))</f>
        <v/>
      </c>
      <c r="N122" s="19">
        <f>IF($A122="","",IF(OR($J122&lt;gup_esikPr,$F122&gt;gup_esikKayipKwh,$M122&lt;gup_esikSaglik),"ALARM","UYGUN"))</f>
        <v/>
      </c>
      <c r="O122" s="19">
        <f>IF($A122="","",1)</f>
        <v/>
      </c>
      <c r="P122" s="19">
        <f>IF($A122="","",IF(OR($B122="",COUNTIF(tblVarliklar[VarlikId],$B122)=0),"YETIM","TAMAM"))</f>
        <v/>
      </c>
    </row>
    <row r="123">
      <c r="A123" s="15" t="n"/>
      <c r="B123" s="15" t="n"/>
      <c r="C123" s="62" t="n"/>
      <c r="D123" s="16" t="n"/>
      <c r="E123" s="21" t="n"/>
      <c r="F123" s="16" t="n"/>
      <c r="G123" s="15" t="n"/>
      <c r="H123" s="19">
        <f>IF($A123="","",IFERROR(SUMIF(tblVarliklar[VarlikId],$B123,tblVarliklar[KapasiteKwp_kwp]),gup_varsayilanKapasite))</f>
        <v/>
      </c>
      <c r="I123" s="19">
        <f>IF($A123="","",$E123*$H123)</f>
        <v/>
      </c>
      <c r="J123" s="19">
        <f>IF(OR($A123="",$I123=0),"",$D123/$I123)</f>
        <v/>
      </c>
      <c r="K123" s="19">
        <f>IF(OR($A123="",$I123=0),"",$F123/$I123)</f>
        <v/>
      </c>
      <c r="L123" s="19">
        <f>IF($A123="","",$D123)</f>
        <v/>
      </c>
      <c r="M123" s="19">
        <f>IF($A123="","",MAX(0,MIN(100,gup_kaliteTaban-IF($J123&lt;gup_esikPr,gup_kaliteCeza,0)-IF($F123&gt;gup_esikKayipKwh,gup_kaliteSapma,0)-IF($P123="YETIM",gup_kaliteCeza,0))))</f>
        <v/>
      </c>
      <c r="N123" s="19">
        <f>IF($A123="","",IF(OR($J123&lt;gup_esikPr,$F123&gt;gup_esikKayipKwh,$M123&lt;gup_esikSaglik),"ALARM","UYGUN"))</f>
        <v/>
      </c>
      <c r="O123" s="19">
        <f>IF($A123="","",1)</f>
        <v/>
      </c>
      <c r="P123" s="19">
        <f>IF($A123="","",IF(OR($B123="",COUNTIF(tblVarliklar[VarlikId],$B123)=0),"YETIM","TAMAM"))</f>
        <v/>
      </c>
    </row>
    <row r="124">
      <c r="A124" s="15" t="n"/>
      <c r="B124" s="15" t="n"/>
      <c r="C124" s="62" t="n"/>
      <c r="D124" s="16" t="n"/>
      <c r="E124" s="21" t="n"/>
      <c r="F124" s="16" t="n"/>
      <c r="G124" s="15" t="n"/>
      <c r="H124" s="19">
        <f>IF($A124="","",IFERROR(SUMIF(tblVarliklar[VarlikId],$B124,tblVarliklar[KapasiteKwp_kwp]),gup_varsayilanKapasite))</f>
        <v/>
      </c>
      <c r="I124" s="19">
        <f>IF($A124="","",$E124*$H124)</f>
        <v/>
      </c>
      <c r="J124" s="19">
        <f>IF(OR($A124="",$I124=0),"",$D124/$I124)</f>
        <v/>
      </c>
      <c r="K124" s="19">
        <f>IF(OR($A124="",$I124=0),"",$F124/$I124)</f>
        <v/>
      </c>
      <c r="L124" s="19">
        <f>IF($A124="","",$D124)</f>
        <v/>
      </c>
      <c r="M124" s="19">
        <f>IF($A124="","",MAX(0,MIN(100,gup_kaliteTaban-IF($J124&lt;gup_esikPr,gup_kaliteCeza,0)-IF($F124&gt;gup_esikKayipKwh,gup_kaliteSapma,0)-IF($P124="YETIM",gup_kaliteCeza,0))))</f>
        <v/>
      </c>
      <c r="N124" s="19">
        <f>IF($A124="","",IF(OR($J124&lt;gup_esikPr,$F124&gt;gup_esikKayipKwh,$M124&lt;gup_esikSaglik),"ALARM","UYGUN"))</f>
        <v/>
      </c>
      <c r="O124" s="19">
        <f>IF($A124="","",1)</f>
        <v/>
      </c>
      <c r="P124" s="19">
        <f>IF($A124="","",IF(OR($B124="",COUNTIF(tblVarliklar[VarlikId],$B124)=0),"YETIM","TAMAM"))</f>
        <v/>
      </c>
    </row>
    <row r="125">
      <c r="A125" s="15" t="n"/>
      <c r="B125" s="15" t="n"/>
      <c r="C125" s="62" t="n"/>
      <c r="D125" s="16" t="n"/>
      <c r="E125" s="21" t="n"/>
      <c r="F125" s="16" t="n"/>
      <c r="G125" s="15" t="n"/>
      <c r="H125" s="19">
        <f>IF($A125="","",IFERROR(SUMIF(tblVarliklar[VarlikId],$B125,tblVarliklar[KapasiteKwp_kwp]),gup_varsayilanKapasite))</f>
        <v/>
      </c>
      <c r="I125" s="19">
        <f>IF($A125="","",$E125*$H125)</f>
        <v/>
      </c>
      <c r="J125" s="19">
        <f>IF(OR($A125="",$I125=0),"",$D125/$I125)</f>
        <v/>
      </c>
      <c r="K125" s="19">
        <f>IF(OR($A125="",$I125=0),"",$F125/$I125)</f>
        <v/>
      </c>
      <c r="L125" s="19">
        <f>IF($A125="","",$D125)</f>
        <v/>
      </c>
      <c r="M125" s="19">
        <f>IF($A125="","",MAX(0,MIN(100,gup_kaliteTaban-IF($J125&lt;gup_esikPr,gup_kaliteCeza,0)-IF($F125&gt;gup_esikKayipKwh,gup_kaliteSapma,0)-IF($P125="YETIM",gup_kaliteCeza,0))))</f>
        <v/>
      </c>
      <c r="N125" s="19">
        <f>IF($A125="","",IF(OR($J125&lt;gup_esikPr,$F125&gt;gup_esikKayipKwh,$M125&lt;gup_esikSaglik),"ALARM","UYGUN"))</f>
        <v/>
      </c>
      <c r="O125" s="19">
        <f>IF($A125="","",1)</f>
        <v/>
      </c>
      <c r="P125" s="19">
        <f>IF($A125="","",IF(OR($B125="",COUNTIF(tblVarliklar[VarlikId],$B125)=0),"YETIM","TAMAM"))</f>
        <v/>
      </c>
    </row>
    <row r="126">
      <c r="A126" s="15" t="n"/>
      <c r="B126" s="15" t="n"/>
      <c r="C126" s="62" t="n"/>
      <c r="D126" s="16" t="n"/>
      <c r="E126" s="21" t="n"/>
      <c r="F126" s="16" t="n"/>
      <c r="G126" s="15" t="n"/>
      <c r="H126" s="19">
        <f>IF($A126="","",IFERROR(SUMIF(tblVarliklar[VarlikId],$B126,tblVarliklar[KapasiteKwp_kwp]),gup_varsayilanKapasite))</f>
        <v/>
      </c>
      <c r="I126" s="19">
        <f>IF($A126="","",$E126*$H126)</f>
        <v/>
      </c>
      <c r="J126" s="19">
        <f>IF(OR($A126="",$I126=0),"",$D126/$I126)</f>
        <v/>
      </c>
      <c r="K126" s="19">
        <f>IF(OR($A126="",$I126=0),"",$F126/$I126)</f>
        <v/>
      </c>
      <c r="L126" s="19">
        <f>IF($A126="","",$D126)</f>
        <v/>
      </c>
      <c r="M126" s="19">
        <f>IF($A126="","",MAX(0,MIN(100,gup_kaliteTaban-IF($J126&lt;gup_esikPr,gup_kaliteCeza,0)-IF($F126&gt;gup_esikKayipKwh,gup_kaliteSapma,0)-IF($P126="YETIM",gup_kaliteCeza,0))))</f>
        <v/>
      </c>
      <c r="N126" s="19">
        <f>IF($A126="","",IF(OR($J126&lt;gup_esikPr,$F126&gt;gup_esikKayipKwh,$M126&lt;gup_esikSaglik),"ALARM","UYGUN"))</f>
        <v/>
      </c>
      <c r="O126" s="19">
        <f>IF($A126="","",1)</f>
        <v/>
      </c>
      <c r="P126" s="19">
        <f>IF($A126="","",IF(OR($B126="",COUNTIF(tblVarliklar[VarlikId],$B126)=0),"YETIM","TAMAM"))</f>
        <v/>
      </c>
    </row>
    <row r="127">
      <c r="A127" s="15" t="n"/>
      <c r="B127" s="15" t="n"/>
      <c r="C127" s="62" t="n"/>
      <c r="D127" s="16" t="n"/>
      <c r="E127" s="21" t="n"/>
      <c r="F127" s="16" t="n"/>
      <c r="G127" s="15" t="n"/>
      <c r="H127" s="19">
        <f>IF($A127="","",IFERROR(SUMIF(tblVarliklar[VarlikId],$B127,tblVarliklar[KapasiteKwp_kwp]),gup_varsayilanKapasite))</f>
        <v/>
      </c>
      <c r="I127" s="19">
        <f>IF($A127="","",$E127*$H127)</f>
        <v/>
      </c>
      <c r="J127" s="19">
        <f>IF(OR($A127="",$I127=0),"",$D127/$I127)</f>
        <v/>
      </c>
      <c r="K127" s="19">
        <f>IF(OR($A127="",$I127=0),"",$F127/$I127)</f>
        <v/>
      </c>
      <c r="L127" s="19">
        <f>IF($A127="","",$D127)</f>
        <v/>
      </c>
      <c r="M127" s="19">
        <f>IF($A127="","",MAX(0,MIN(100,gup_kaliteTaban-IF($J127&lt;gup_esikPr,gup_kaliteCeza,0)-IF($F127&gt;gup_esikKayipKwh,gup_kaliteSapma,0)-IF($P127="YETIM",gup_kaliteCeza,0))))</f>
        <v/>
      </c>
      <c r="N127" s="19">
        <f>IF($A127="","",IF(OR($J127&lt;gup_esikPr,$F127&gt;gup_esikKayipKwh,$M127&lt;gup_esikSaglik),"ALARM","UYGUN"))</f>
        <v/>
      </c>
      <c r="O127" s="19">
        <f>IF($A127="","",1)</f>
        <v/>
      </c>
      <c r="P127" s="19">
        <f>IF($A127="","",IF(OR($B127="",COUNTIF(tblVarliklar[VarlikId],$B127)=0),"YETIM","TAMAM"))</f>
        <v/>
      </c>
    </row>
    <row r="128">
      <c r="A128" s="15" t="n"/>
      <c r="B128" s="15" t="n"/>
      <c r="C128" s="62" t="n"/>
      <c r="D128" s="16" t="n"/>
      <c r="E128" s="21" t="n"/>
      <c r="F128" s="16" t="n"/>
      <c r="G128" s="15" t="n"/>
      <c r="H128" s="19">
        <f>IF($A128="","",IFERROR(SUMIF(tblVarliklar[VarlikId],$B128,tblVarliklar[KapasiteKwp_kwp]),gup_varsayilanKapasite))</f>
        <v/>
      </c>
      <c r="I128" s="19">
        <f>IF($A128="","",$E128*$H128)</f>
        <v/>
      </c>
      <c r="J128" s="19">
        <f>IF(OR($A128="",$I128=0),"",$D128/$I128)</f>
        <v/>
      </c>
      <c r="K128" s="19">
        <f>IF(OR($A128="",$I128=0),"",$F128/$I128)</f>
        <v/>
      </c>
      <c r="L128" s="19">
        <f>IF($A128="","",$D128)</f>
        <v/>
      </c>
      <c r="M128" s="19">
        <f>IF($A128="","",MAX(0,MIN(100,gup_kaliteTaban-IF($J128&lt;gup_esikPr,gup_kaliteCeza,0)-IF($F128&gt;gup_esikKayipKwh,gup_kaliteSapma,0)-IF($P128="YETIM",gup_kaliteCeza,0))))</f>
        <v/>
      </c>
      <c r="N128" s="19">
        <f>IF($A128="","",IF(OR($J128&lt;gup_esikPr,$F128&gt;gup_esikKayipKwh,$M128&lt;gup_esikSaglik),"ALARM","UYGUN"))</f>
        <v/>
      </c>
      <c r="O128" s="19">
        <f>IF($A128="","",1)</f>
        <v/>
      </c>
      <c r="P128" s="19">
        <f>IF($A128="","",IF(OR($B128="",COUNTIF(tblVarliklar[VarlikId],$B128)=0),"YETIM","TAMAM"))</f>
        <v/>
      </c>
    </row>
    <row r="129">
      <c r="A129" s="15" t="n"/>
      <c r="B129" s="15" t="n"/>
      <c r="C129" s="62" t="n"/>
      <c r="D129" s="16" t="n"/>
      <c r="E129" s="21" t="n"/>
      <c r="F129" s="16" t="n"/>
      <c r="G129" s="15" t="n"/>
      <c r="H129" s="19">
        <f>IF($A129="","",IFERROR(SUMIF(tblVarliklar[VarlikId],$B129,tblVarliklar[KapasiteKwp_kwp]),gup_varsayilanKapasite))</f>
        <v/>
      </c>
      <c r="I129" s="19">
        <f>IF($A129="","",$E129*$H129)</f>
        <v/>
      </c>
      <c r="J129" s="19">
        <f>IF(OR($A129="",$I129=0),"",$D129/$I129)</f>
        <v/>
      </c>
      <c r="K129" s="19">
        <f>IF(OR($A129="",$I129=0),"",$F129/$I129)</f>
        <v/>
      </c>
      <c r="L129" s="19">
        <f>IF($A129="","",$D129)</f>
        <v/>
      </c>
      <c r="M129" s="19">
        <f>IF($A129="","",MAX(0,MIN(100,gup_kaliteTaban-IF($J129&lt;gup_esikPr,gup_kaliteCeza,0)-IF($F129&gt;gup_esikKayipKwh,gup_kaliteSapma,0)-IF($P129="YETIM",gup_kaliteCeza,0))))</f>
        <v/>
      </c>
      <c r="N129" s="19">
        <f>IF($A129="","",IF(OR($J129&lt;gup_esikPr,$F129&gt;gup_esikKayipKwh,$M129&lt;gup_esikSaglik),"ALARM","UYGUN"))</f>
        <v/>
      </c>
      <c r="O129" s="19">
        <f>IF($A129="","",1)</f>
        <v/>
      </c>
      <c r="P129" s="19">
        <f>IF($A129="","",IF(OR($B129="",COUNTIF(tblVarliklar[VarlikId],$B129)=0),"YETIM","TAMAM"))</f>
        <v/>
      </c>
    </row>
    <row r="130">
      <c r="A130" s="15" t="n"/>
      <c r="B130" s="15" t="n"/>
      <c r="C130" s="62" t="n"/>
      <c r="D130" s="16" t="n"/>
      <c r="E130" s="21" t="n"/>
      <c r="F130" s="16" t="n"/>
      <c r="G130" s="15" t="n"/>
      <c r="H130" s="19">
        <f>IF($A130="","",IFERROR(SUMIF(tblVarliklar[VarlikId],$B130,tblVarliklar[KapasiteKwp_kwp]),gup_varsayilanKapasite))</f>
        <v/>
      </c>
      <c r="I130" s="19">
        <f>IF($A130="","",$E130*$H130)</f>
        <v/>
      </c>
      <c r="J130" s="19">
        <f>IF(OR($A130="",$I130=0),"",$D130/$I130)</f>
        <v/>
      </c>
      <c r="K130" s="19">
        <f>IF(OR($A130="",$I130=0),"",$F130/$I130)</f>
        <v/>
      </c>
      <c r="L130" s="19">
        <f>IF($A130="","",$D130)</f>
        <v/>
      </c>
      <c r="M130" s="19">
        <f>IF($A130="","",MAX(0,MIN(100,gup_kaliteTaban-IF($J130&lt;gup_esikPr,gup_kaliteCeza,0)-IF($F130&gt;gup_esikKayipKwh,gup_kaliteSapma,0)-IF($P130="YETIM",gup_kaliteCeza,0))))</f>
        <v/>
      </c>
      <c r="N130" s="19">
        <f>IF($A130="","",IF(OR($J130&lt;gup_esikPr,$F130&gt;gup_esikKayipKwh,$M130&lt;gup_esikSaglik),"ALARM","UYGUN"))</f>
        <v/>
      </c>
      <c r="O130" s="19">
        <f>IF($A130="","",1)</f>
        <v/>
      </c>
      <c r="P130" s="19">
        <f>IF($A130="","",IF(OR($B130="",COUNTIF(tblVarliklar[VarlikId],$B130)=0),"YETIM","TAMAM"))</f>
        <v/>
      </c>
    </row>
    <row r="131">
      <c r="A131" s="15" t="n"/>
      <c r="B131" s="15" t="n"/>
      <c r="C131" s="62" t="n"/>
      <c r="D131" s="16" t="n"/>
      <c r="E131" s="21" t="n"/>
      <c r="F131" s="16" t="n"/>
      <c r="G131" s="15" t="n"/>
      <c r="H131" s="19">
        <f>IF($A131="","",IFERROR(SUMIF(tblVarliklar[VarlikId],$B131,tblVarliklar[KapasiteKwp_kwp]),gup_varsayilanKapasite))</f>
        <v/>
      </c>
      <c r="I131" s="19">
        <f>IF($A131="","",$E131*$H131)</f>
        <v/>
      </c>
      <c r="J131" s="19">
        <f>IF(OR($A131="",$I131=0),"",$D131/$I131)</f>
        <v/>
      </c>
      <c r="K131" s="19">
        <f>IF(OR($A131="",$I131=0),"",$F131/$I131)</f>
        <v/>
      </c>
      <c r="L131" s="19">
        <f>IF($A131="","",$D131)</f>
        <v/>
      </c>
      <c r="M131" s="19">
        <f>IF($A131="","",MAX(0,MIN(100,gup_kaliteTaban-IF($J131&lt;gup_esikPr,gup_kaliteCeza,0)-IF($F131&gt;gup_esikKayipKwh,gup_kaliteSapma,0)-IF($P131="YETIM",gup_kaliteCeza,0))))</f>
        <v/>
      </c>
      <c r="N131" s="19">
        <f>IF($A131="","",IF(OR($J131&lt;gup_esikPr,$F131&gt;gup_esikKayipKwh,$M131&lt;gup_esikSaglik),"ALARM","UYGUN"))</f>
        <v/>
      </c>
      <c r="O131" s="19">
        <f>IF($A131="","",1)</f>
        <v/>
      </c>
      <c r="P131" s="19">
        <f>IF($A131="","",IF(OR($B131="",COUNTIF(tblVarliklar[VarlikId],$B131)=0),"YETIM","TAMAM"))</f>
        <v/>
      </c>
    </row>
    <row r="132">
      <c r="A132" s="15" t="n"/>
      <c r="B132" s="15" t="n"/>
      <c r="C132" s="62" t="n"/>
      <c r="D132" s="16" t="n"/>
      <c r="E132" s="21" t="n"/>
      <c r="F132" s="16" t="n"/>
      <c r="G132" s="15" t="n"/>
      <c r="H132" s="19">
        <f>IF($A132="","",IFERROR(SUMIF(tblVarliklar[VarlikId],$B132,tblVarliklar[KapasiteKwp_kwp]),gup_varsayilanKapasite))</f>
        <v/>
      </c>
      <c r="I132" s="19">
        <f>IF($A132="","",$E132*$H132)</f>
        <v/>
      </c>
      <c r="J132" s="19">
        <f>IF(OR($A132="",$I132=0),"",$D132/$I132)</f>
        <v/>
      </c>
      <c r="K132" s="19">
        <f>IF(OR($A132="",$I132=0),"",$F132/$I132)</f>
        <v/>
      </c>
      <c r="L132" s="19">
        <f>IF($A132="","",$D132)</f>
        <v/>
      </c>
      <c r="M132" s="19">
        <f>IF($A132="","",MAX(0,MIN(100,gup_kaliteTaban-IF($J132&lt;gup_esikPr,gup_kaliteCeza,0)-IF($F132&gt;gup_esikKayipKwh,gup_kaliteSapma,0)-IF($P132="YETIM",gup_kaliteCeza,0))))</f>
        <v/>
      </c>
      <c r="N132" s="19">
        <f>IF($A132="","",IF(OR($J132&lt;gup_esikPr,$F132&gt;gup_esikKayipKwh,$M132&lt;gup_esikSaglik),"ALARM","UYGUN"))</f>
        <v/>
      </c>
      <c r="O132" s="19">
        <f>IF($A132="","",1)</f>
        <v/>
      </c>
      <c r="P132" s="19">
        <f>IF($A132="","",IF(OR($B132="",COUNTIF(tblVarliklar[VarlikId],$B132)=0),"YETIM","TAMAM"))</f>
        <v/>
      </c>
    </row>
    <row r="133">
      <c r="A133" s="15" t="n"/>
      <c r="B133" s="15" t="n"/>
      <c r="C133" s="62" t="n"/>
      <c r="D133" s="16" t="n"/>
      <c r="E133" s="21" t="n"/>
      <c r="F133" s="16" t="n"/>
      <c r="G133" s="15" t="n"/>
      <c r="H133" s="19">
        <f>IF($A133="","",IFERROR(SUMIF(tblVarliklar[VarlikId],$B133,tblVarliklar[KapasiteKwp_kwp]),gup_varsayilanKapasite))</f>
        <v/>
      </c>
      <c r="I133" s="19">
        <f>IF($A133="","",$E133*$H133)</f>
        <v/>
      </c>
      <c r="J133" s="19">
        <f>IF(OR($A133="",$I133=0),"",$D133/$I133)</f>
        <v/>
      </c>
      <c r="K133" s="19">
        <f>IF(OR($A133="",$I133=0),"",$F133/$I133)</f>
        <v/>
      </c>
      <c r="L133" s="19">
        <f>IF($A133="","",$D133)</f>
        <v/>
      </c>
      <c r="M133" s="19">
        <f>IF($A133="","",MAX(0,MIN(100,gup_kaliteTaban-IF($J133&lt;gup_esikPr,gup_kaliteCeza,0)-IF($F133&gt;gup_esikKayipKwh,gup_kaliteSapma,0)-IF($P133="YETIM",gup_kaliteCeza,0))))</f>
        <v/>
      </c>
      <c r="N133" s="19">
        <f>IF($A133="","",IF(OR($J133&lt;gup_esikPr,$F133&gt;gup_esikKayipKwh,$M133&lt;gup_esikSaglik),"ALARM","UYGUN"))</f>
        <v/>
      </c>
      <c r="O133" s="19">
        <f>IF($A133="","",1)</f>
        <v/>
      </c>
      <c r="P133" s="19">
        <f>IF($A133="","",IF(OR($B133="",COUNTIF(tblVarliklar[VarlikId],$B133)=0),"YETIM","TAMAM"))</f>
        <v/>
      </c>
    </row>
    <row r="134">
      <c r="A134" s="15" t="n"/>
      <c r="B134" s="15" t="n"/>
      <c r="C134" s="62" t="n"/>
      <c r="D134" s="16" t="n"/>
      <c r="E134" s="21" t="n"/>
      <c r="F134" s="16" t="n"/>
      <c r="G134" s="15" t="n"/>
      <c r="H134" s="19">
        <f>IF($A134="","",IFERROR(SUMIF(tblVarliklar[VarlikId],$B134,tblVarliklar[KapasiteKwp_kwp]),gup_varsayilanKapasite))</f>
        <v/>
      </c>
      <c r="I134" s="19">
        <f>IF($A134="","",$E134*$H134)</f>
        <v/>
      </c>
      <c r="J134" s="19">
        <f>IF(OR($A134="",$I134=0),"",$D134/$I134)</f>
        <v/>
      </c>
      <c r="K134" s="19">
        <f>IF(OR($A134="",$I134=0),"",$F134/$I134)</f>
        <v/>
      </c>
      <c r="L134" s="19">
        <f>IF($A134="","",$D134)</f>
        <v/>
      </c>
      <c r="M134" s="19">
        <f>IF($A134="","",MAX(0,MIN(100,gup_kaliteTaban-IF($J134&lt;gup_esikPr,gup_kaliteCeza,0)-IF($F134&gt;gup_esikKayipKwh,gup_kaliteSapma,0)-IF($P134="YETIM",gup_kaliteCeza,0))))</f>
        <v/>
      </c>
      <c r="N134" s="19">
        <f>IF($A134="","",IF(OR($J134&lt;gup_esikPr,$F134&gt;gup_esikKayipKwh,$M134&lt;gup_esikSaglik),"ALARM","UYGUN"))</f>
        <v/>
      </c>
      <c r="O134" s="19">
        <f>IF($A134="","",1)</f>
        <v/>
      </c>
      <c r="P134" s="19">
        <f>IF($A134="","",IF(OR($B134="",COUNTIF(tblVarliklar[VarlikId],$B134)=0),"YETIM","TAMAM"))</f>
        <v/>
      </c>
    </row>
    <row r="135">
      <c r="A135" s="15" t="n"/>
      <c r="B135" s="15" t="n"/>
      <c r="C135" s="62" t="n"/>
      <c r="D135" s="16" t="n"/>
      <c r="E135" s="21" t="n"/>
      <c r="F135" s="16" t="n"/>
      <c r="G135" s="15" t="n"/>
      <c r="H135" s="19">
        <f>IF($A135="","",IFERROR(SUMIF(tblVarliklar[VarlikId],$B135,tblVarliklar[KapasiteKwp_kwp]),gup_varsayilanKapasite))</f>
        <v/>
      </c>
      <c r="I135" s="19">
        <f>IF($A135="","",$E135*$H135)</f>
        <v/>
      </c>
      <c r="J135" s="19">
        <f>IF(OR($A135="",$I135=0),"",$D135/$I135)</f>
        <v/>
      </c>
      <c r="K135" s="19">
        <f>IF(OR($A135="",$I135=0),"",$F135/$I135)</f>
        <v/>
      </c>
      <c r="L135" s="19">
        <f>IF($A135="","",$D135)</f>
        <v/>
      </c>
      <c r="M135" s="19">
        <f>IF($A135="","",MAX(0,MIN(100,gup_kaliteTaban-IF($J135&lt;gup_esikPr,gup_kaliteCeza,0)-IF($F135&gt;gup_esikKayipKwh,gup_kaliteSapma,0)-IF($P135="YETIM",gup_kaliteCeza,0))))</f>
        <v/>
      </c>
      <c r="N135" s="19">
        <f>IF($A135="","",IF(OR($J135&lt;gup_esikPr,$F135&gt;gup_esikKayipKwh,$M135&lt;gup_esikSaglik),"ALARM","UYGUN"))</f>
        <v/>
      </c>
      <c r="O135" s="19">
        <f>IF($A135="","",1)</f>
        <v/>
      </c>
      <c r="P135" s="19">
        <f>IF($A135="","",IF(OR($B135="",COUNTIF(tblVarliklar[VarlikId],$B135)=0),"YETIM","TAMAM"))</f>
        <v/>
      </c>
    </row>
    <row r="136">
      <c r="A136" s="15" t="n"/>
      <c r="B136" s="15" t="n"/>
      <c r="C136" s="62" t="n"/>
      <c r="D136" s="16" t="n"/>
      <c r="E136" s="21" t="n"/>
      <c r="F136" s="16" t="n"/>
      <c r="G136" s="15" t="n"/>
      <c r="H136" s="19">
        <f>IF($A136="","",IFERROR(SUMIF(tblVarliklar[VarlikId],$B136,tblVarliklar[KapasiteKwp_kwp]),gup_varsayilanKapasite))</f>
        <v/>
      </c>
      <c r="I136" s="19">
        <f>IF($A136="","",$E136*$H136)</f>
        <v/>
      </c>
      <c r="J136" s="19">
        <f>IF(OR($A136="",$I136=0),"",$D136/$I136)</f>
        <v/>
      </c>
      <c r="K136" s="19">
        <f>IF(OR($A136="",$I136=0),"",$F136/$I136)</f>
        <v/>
      </c>
      <c r="L136" s="19">
        <f>IF($A136="","",$D136)</f>
        <v/>
      </c>
      <c r="M136" s="19">
        <f>IF($A136="","",MAX(0,MIN(100,gup_kaliteTaban-IF($J136&lt;gup_esikPr,gup_kaliteCeza,0)-IF($F136&gt;gup_esikKayipKwh,gup_kaliteSapma,0)-IF($P136="YETIM",gup_kaliteCeza,0))))</f>
        <v/>
      </c>
      <c r="N136" s="19">
        <f>IF($A136="","",IF(OR($J136&lt;gup_esikPr,$F136&gt;gup_esikKayipKwh,$M136&lt;gup_esikSaglik),"ALARM","UYGUN"))</f>
        <v/>
      </c>
      <c r="O136" s="19">
        <f>IF($A136="","",1)</f>
        <v/>
      </c>
      <c r="P136" s="19">
        <f>IF($A136="","",IF(OR($B136="",COUNTIF(tblVarliklar[VarlikId],$B136)=0),"YETIM","TAMAM"))</f>
        <v/>
      </c>
    </row>
    <row r="137">
      <c r="A137" s="15" t="n"/>
      <c r="B137" s="15" t="n"/>
      <c r="C137" s="62" t="n"/>
      <c r="D137" s="16" t="n"/>
      <c r="E137" s="21" t="n"/>
      <c r="F137" s="16" t="n"/>
      <c r="G137" s="15" t="n"/>
      <c r="H137" s="19">
        <f>IF($A137="","",IFERROR(SUMIF(tblVarliklar[VarlikId],$B137,tblVarliklar[KapasiteKwp_kwp]),gup_varsayilanKapasite))</f>
        <v/>
      </c>
      <c r="I137" s="19">
        <f>IF($A137="","",$E137*$H137)</f>
        <v/>
      </c>
      <c r="J137" s="19">
        <f>IF(OR($A137="",$I137=0),"",$D137/$I137)</f>
        <v/>
      </c>
      <c r="K137" s="19">
        <f>IF(OR($A137="",$I137=0),"",$F137/$I137)</f>
        <v/>
      </c>
      <c r="L137" s="19">
        <f>IF($A137="","",$D137)</f>
        <v/>
      </c>
      <c r="M137" s="19">
        <f>IF($A137="","",MAX(0,MIN(100,gup_kaliteTaban-IF($J137&lt;gup_esikPr,gup_kaliteCeza,0)-IF($F137&gt;gup_esikKayipKwh,gup_kaliteSapma,0)-IF($P137="YETIM",gup_kaliteCeza,0))))</f>
        <v/>
      </c>
      <c r="N137" s="19">
        <f>IF($A137="","",IF(OR($J137&lt;gup_esikPr,$F137&gt;gup_esikKayipKwh,$M137&lt;gup_esikSaglik),"ALARM","UYGUN"))</f>
        <v/>
      </c>
      <c r="O137" s="19">
        <f>IF($A137="","",1)</f>
        <v/>
      </c>
      <c r="P137" s="19">
        <f>IF($A137="","",IF(OR($B137="",COUNTIF(tblVarliklar[VarlikId],$B137)=0),"YETIM","TAMAM"))</f>
        <v/>
      </c>
    </row>
    <row r="138">
      <c r="A138" s="15" t="n"/>
      <c r="B138" s="15" t="n"/>
      <c r="C138" s="62" t="n"/>
      <c r="D138" s="16" t="n"/>
      <c r="E138" s="21" t="n"/>
      <c r="F138" s="16" t="n"/>
      <c r="G138" s="15" t="n"/>
      <c r="H138" s="19">
        <f>IF($A138="","",IFERROR(SUMIF(tblVarliklar[VarlikId],$B138,tblVarliklar[KapasiteKwp_kwp]),gup_varsayilanKapasite))</f>
        <v/>
      </c>
      <c r="I138" s="19">
        <f>IF($A138="","",$E138*$H138)</f>
        <v/>
      </c>
      <c r="J138" s="19">
        <f>IF(OR($A138="",$I138=0),"",$D138/$I138)</f>
        <v/>
      </c>
      <c r="K138" s="19">
        <f>IF(OR($A138="",$I138=0),"",$F138/$I138)</f>
        <v/>
      </c>
      <c r="L138" s="19">
        <f>IF($A138="","",$D138)</f>
        <v/>
      </c>
      <c r="M138" s="19">
        <f>IF($A138="","",MAX(0,MIN(100,gup_kaliteTaban-IF($J138&lt;gup_esikPr,gup_kaliteCeza,0)-IF($F138&gt;gup_esikKayipKwh,gup_kaliteSapma,0)-IF($P138="YETIM",gup_kaliteCeza,0))))</f>
        <v/>
      </c>
      <c r="N138" s="19">
        <f>IF($A138="","",IF(OR($J138&lt;gup_esikPr,$F138&gt;gup_esikKayipKwh,$M138&lt;gup_esikSaglik),"ALARM","UYGUN"))</f>
        <v/>
      </c>
      <c r="O138" s="19">
        <f>IF($A138="","",1)</f>
        <v/>
      </c>
      <c r="P138" s="19">
        <f>IF($A138="","",IF(OR($B138="",COUNTIF(tblVarliklar[VarlikId],$B138)=0),"YETIM","TAMAM"))</f>
        <v/>
      </c>
    </row>
    <row r="139">
      <c r="A139" s="15" t="n"/>
      <c r="B139" s="15" t="n"/>
      <c r="C139" s="62" t="n"/>
      <c r="D139" s="16" t="n"/>
      <c r="E139" s="21" t="n"/>
      <c r="F139" s="16" t="n"/>
      <c r="G139" s="15" t="n"/>
      <c r="H139" s="19">
        <f>IF($A139="","",IFERROR(SUMIF(tblVarliklar[VarlikId],$B139,tblVarliklar[KapasiteKwp_kwp]),gup_varsayilanKapasite))</f>
        <v/>
      </c>
      <c r="I139" s="19">
        <f>IF($A139="","",$E139*$H139)</f>
        <v/>
      </c>
      <c r="J139" s="19">
        <f>IF(OR($A139="",$I139=0),"",$D139/$I139)</f>
        <v/>
      </c>
      <c r="K139" s="19">
        <f>IF(OR($A139="",$I139=0),"",$F139/$I139)</f>
        <v/>
      </c>
      <c r="L139" s="19">
        <f>IF($A139="","",$D139)</f>
        <v/>
      </c>
      <c r="M139" s="19">
        <f>IF($A139="","",MAX(0,MIN(100,gup_kaliteTaban-IF($J139&lt;gup_esikPr,gup_kaliteCeza,0)-IF($F139&gt;gup_esikKayipKwh,gup_kaliteSapma,0)-IF($P139="YETIM",gup_kaliteCeza,0))))</f>
        <v/>
      </c>
      <c r="N139" s="19">
        <f>IF($A139="","",IF(OR($J139&lt;gup_esikPr,$F139&gt;gup_esikKayipKwh,$M139&lt;gup_esikSaglik),"ALARM","UYGUN"))</f>
        <v/>
      </c>
      <c r="O139" s="19">
        <f>IF($A139="","",1)</f>
        <v/>
      </c>
      <c r="P139" s="19">
        <f>IF($A139="","",IF(OR($B139="",COUNTIF(tblVarliklar[VarlikId],$B139)=0),"YETIM","TAMAM"))</f>
        <v/>
      </c>
    </row>
    <row r="140">
      <c r="A140" s="15" t="n"/>
      <c r="B140" s="15" t="n"/>
      <c r="C140" s="62" t="n"/>
      <c r="D140" s="16" t="n"/>
      <c r="E140" s="21" t="n"/>
      <c r="F140" s="16" t="n"/>
      <c r="G140" s="15" t="n"/>
      <c r="H140" s="19">
        <f>IF($A140="","",IFERROR(SUMIF(tblVarliklar[VarlikId],$B140,tblVarliklar[KapasiteKwp_kwp]),gup_varsayilanKapasite))</f>
        <v/>
      </c>
      <c r="I140" s="19">
        <f>IF($A140="","",$E140*$H140)</f>
        <v/>
      </c>
      <c r="J140" s="19">
        <f>IF(OR($A140="",$I140=0),"",$D140/$I140)</f>
        <v/>
      </c>
      <c r="K140" s="19">
        <f>IF(OR($A140="",$I140=0),"",$F140/$I140)</f>
        <v/>
      </c>
      <c r="L140" s="19">
        <f>IF($A140="","",$D140)</f>
        <v/>
      </c>
      <c r="M140" s="19">
        <f>IF($A140="","",MAX(0,MIN(100,gup_kaliteTaban-IF($J140&lt;gup_esikPr,gup_kaliteCeza,0)-IF($F140&gt;gup_esikKayipKwh,gup_kaliteSapma,0)-IF($P140="YETIM",gup_kaliteCeza,0))))</f>
        <v/>
      </c>
      <c r="N140" s="19">
        <f>IF($A140="","",IF(OR($J140&lt;gup_esikPr,$F140&gt;gup_esikKayipKwh,$M140&lt;gup_esikSaglik),"ALARM","UYGUN"))</f>
        <v/>
      </c>
      <c r="O140" s="19">
        <f>IF($A140="","",1)</f>
        <v/>
      </c>
      <c r="P140" s="19">
        <f>IF($A140="","",IF(OR($B140="",COUNTIF(tblVarliklar[VarlikId],$B140)=0),"YETIM","TAMAM"))</f>
        <v/>
      </c>
    </row>
    <row r="141">
      <c r="A141" s="15" t="n"/>
      <c r="B141" s="15" t="n"/>
      <c r="C141" s="62" t="n"/>
      <c r="D141" s="16" t="n"/>
      <c r="E141" s="21" t="n"/>
      <c r="F141" s="16" t="n"/>
      <c r="G141" s="15" t="n"/>
      <c r="H141" s="19">
        <f>IF($A141="","",IFERROR(SUMIF(tblVarliklar[VarlikId],$B141,tblVarliklar[KapasiteKwp_kwp]),gup_varsayilanKapasite))</f>
        <v/>
      </c>
      <c r="I141" s="19">
        <f>IF($A141="","",$E141*$H141)</f>
        <v/>
      </c>
      <c r="J141" s="19">
        <f>IF(OR($A141="",$I141=0),"",$D141/$I141)</f>
        <v/>
      </c>
      <c r="K141" s="19">
        <f>IF(OR($A141="",$I141=0),"",$F141/$I141)</f>
        <v/>
      </c>
      <c r="L141" s="19">
        <f>IF($A141="","",$D141)</f>
        <v/>
      </c>
      <c r="M141" s="19">
        <f>IF($A141="","",MAX(0,MIN(100,gup_kaliteTaban-IF($J141&lt;gup_esikPr,gup_kaliteCeza,0)-IF($F141&gt;gup_esikKayipKwh,gup_kaliteSapma,0)-IF($P141="YETIM",gup_kaliteCeza,0))))</f>
        <v/>
      </c>
      <c r="N141" s="19">
        <f>IF($A141="","",IF(OR($J141&lt;gup_esikPr,$F141&gt;gup_esikKayipKwh,$M141&lt;gup_esikSaglik),"ALARM","UYGUN"))</f>
        <v/>
      </c>
      <c r="O141" s="19">
        <f>IF($A141="","",1)</f>
        <v/>
      </c>
      <c r="P141" s="19">
        <f>IF($A141="","",IF(OR($B141="",COUNTIF(tblVarliklar[VarlikId],$B141)=0),"YETIM","TAMAM"))</f>
        <v/>
      </c>
    </row>
    <row r="142">
      <c r="A142" s="15" t="n"/>
      <c r="B142" s="15" t="n"/>
      <c r="C142" s="62" t="n"/>
      <c r="D142" s="16" t="n"/>
      <c r="E142" s="21" t="n"/>
      <c r="F142" s="16" t="n"/>
      <c r="G142" s="15" t="n"/>
      <c r="H142" s="19">
        <f>IF($A142="","",IFERROR(SUMIF(tblVarliklar[VarlikId],$B142,tblVarliklar[KapasiteKwp_kwp]),gup_varsayilanKapasite))</f>
        <v/>
      </c>
      <c r="I142" s="19">
        <f>IF($A142="","",$E142*$H142)</f>
        <v/>
      </c>
      <c r="J142" s="19">
        <f>IF(OR($A142="",$I142=0),"",$D142/$I142)</f>
        <v/>
      </c>
      <c r="K142" s="19">
        <f>IF(OR($A142="",$I142=0),"",$F142/$I142)</f>
        <v/>
      </c>
      <c r="L142" s="19">
        <f>IF($A142="","",$D142)</f>
        <v/>
      </c>
      <c r="M142" s="19">
        <f>IF($A142="","",MAX(0,MIN(100,gup_kaliteTaban-IF($J142&lt;gup_esikPr,gup_kaliteCeza,0)-IF($F142&gt;gup_esikKayipKwh,gup_kaliteSapma,0)-IF($P142="YETIM",gup_kaliteCeza,0))))</f>
        <v/>
      </c>
      <c r="N142" s="19">
        <f>IF($A142="","",IF(OR($J142&lt;gup_esikPr,$F142&gt;gup_esikKayipKwh,$M142&lt;gup_esikSaglik),"ALARM","UYGUN"))</f>
        <v/>
      </c>
      <c r="O142" s="19">
        <f>IF($A142="","",1)</f>
        <v/>
      </c>
      <c r="P142" s="19">
        <f>IF($A142="","",IF(OR($B142="",COUNTIF(tblVarliklar[VarlikId],$B142)=0),"YETIM","TAMAM"))</f>
        <v/>
      </c>
    </row>
    <row r="143">
      <c r="A143" s="15" t="n"/>
      <c r="B143" s="15" t="n"/>
      <c r="C143" s="62" t="n"/>
      <c r="D143" s="16" t="n"/>
      <c r="E143" s="21" t="n"/>
      <c r="F143" s="16" t="n"/>
      <c r="G143" s="15" t="n"/>
      <c r="H143" s="19">
        <f>IF($A143="","",IFERROR(SUMIF(tblVarliklar[VarlikId],$B143,tblVarliklar[KapasiteKwp_kwp]),gup_varsayilanKapasite))</f>
        <v/>
      </c>
      <c r="I143" s="19">
        <f>IF($A143="","",$E143*$H143)</f>
        <v/>
      </c>
      <c r="J143" s="19">
        <f>IF(OR($A143="",$I143=0),"",$D143/$I143)</f>
        <v/>
      </c>
      <c r="K143" s="19">
        <f>IF(OR($A143="",$I143=0),"",$F143/$I143)</f>
        <v/>
      </c>
      <c r="L143" s="19">
        <f>IF($A143="","",$D143)</f>
        <v/>
      </c>
      <c r="M143" s="19">
        <f>IF($A143="","",MAX(0,MIN(100,gup_kaliteTaban-IF($J143&lt;gup_esikPr,gup_kaliteCeza,0)-IF($F143&gt;gup_esikKayipKwh,gup_kaliteSapma,0)-IF($P143="YETIM",gup_kaliteCeza,0))))</f>
        <v/>
      </c>
      <c r="N143" s="19">
        <f>IF($A143="","",IF(OR($J143&lt;gup_esikPr,$F143&gt;gup_esikKayipKwh,$M143&lt;gup_esikSaglik),"ALARM","UYGUN"))</f>
        <v/>
      </c>
      <c r="O143" s="19">
        <f>IF($A143="","",1)</f>
        <v/>
      </c>
      <c r="P143" s="19">
        <f>IF($A143="","",IF(OR($B143="",COUNTIF(tblVarliklar[VarlikId],$B143)=0),"YETIM","TAMAM"))</f>
        <v/>
      </c>
    </row>
    <row r="144">
      <c r="A144" s="15" t="n"/>
      <c r="B144" s="15" t="n"/>
      <c r="C144" s="62" t="n"/>
      <c r="D144" s="16" t="n"/>
      <c r="E144" s="21" t="n"/>
      <c r="F144" s="16" t="n"/>
      <c r="G144" s="15" t="n"/>
      <c r="H144" s="19">
        <f>IF($A144="","",IFERROR(SUMIF(tblVarliklar[VarlikId],$B144,tblVarliklar[KapasiteKwp_kwp]),gup_varsayilanKapasite))</f>
        <v/>
      </c>
      <c r="I144" s="19">
        <f>IF($A144="","",$E144*$H144)</f>
        <v/>
      </c>
      <c r="J144" s="19">
        <f>IF(OR($A144="",$I144=0),"",$D144/$I144)</f>
        <v/>
      </c>
      <c r="K144" s="19">
        <f>IF(OR($A144="",$I144=0),"",$F144/$I144)</f>
        <v/>
      </c>
      <c r="L144" s="19">
        <f>IF($A144="","",$D144)</f>
        <v/>
      </c>
      <c r="M144" s="19">
        <f>IF($A144="","",MAX(0,MIN(100,gup_kaliteTaban-IF($J144&lt;gup_esikPr,gup_kaliteCeza,0)-IF($F144&gt;gup_esikKayipKwh,gup_kaliteSapma,0)-IF($P144="YETIM",gup_kaliteCeza,0))))</f>
        <v/>
      </c>
      <c r="N144" s="19">
        <f>IF($A144="","",IF(OR($J144&lt;gup_esikPr,$F144&gt;gup_esikKayipKwh,$M144&lt;gup_esikSaglik),"ALARM","UYGUN"))</f>
        <v/>
      </c>
      <c r="O144" s="19">
        <f>IF($A144="","",1)</f>
        <v/>
      </c>
      <c r="P144" s="19">
        <f>IF($A144="","",IF(OR($B144="",COUNTIF(tblVarliklar[VarlikId],$B144)=0),"YETIM","TAMAM"))</f>
        <v/>
      </c>
    </row>
    <row r="145">
      <c r="A145" s="15" t="n"/>
      <c r="B145" s="15" t="n"/>
      <c r="C145" s="62" t="n"/>
      <c r="D145" s="16" t="n"/>
      <c r="E145" s="21" t="n"/>
      <c r="F145" s="16" t="n"/>
      <c r="G145" s="15" t="n"/>
      <c r="H145" s="19">
        <f>IF($A145="","",IFERROR(SUMIF(tblVarliklar[VarlikId],$B145,tblVarliklar[KapasiteKwp_kwp]),gup_varsayilanKapasite))</f>
        <v/>
      </c>
      <c r="I145" s="19">
        <f>IF($A145="","",$E145*$H145)</f>
        <v/>
      </c>
      <c r="J145" s="19">
        <f>IF(OR($A145="",$I145=0),"",$D145/$I145)</f>
        <v/>
      </c>
      <c r="K145" s="19">
        <f>IF(OR($A145="",$I145=0),"",$F145/$I145)</f>
        <v/>
      </c>
      <c r="L145" s="19">
        <f>IF($A145="","",$D145)</f>
        <v/>
      </c>
      <c r="M145" s="19">
        <f>IF($A145="","",MAX(0,MIN(100,gup_kaliteTaban-IF($J145&lt;gup_esikPr,gup_kaliteCeza,0)-IF($F145&gt;gup_esikKayipKwh,gup_kaliteSapma,0)-IF($P145="YETIM",gup_kaliteCeza,0))))</f>
        <v/>
      </c>
      <c r="N145" s="19">
        <f>IF($A145="","",IF(OR($J145&lt;gup_esikPr,$F145&gt;gup_esikKayipKwh,$M145&lt;gup_esikSaglik),"ALARM","UYGUN"))</f>
        <v/>
      </c>
      <c r="O145" s="19">
        <f>IF($A145="","",1)</f>
        <v/>
      </c>
      <c r="P145" s="19">
        <f>IF($A145="","",IF(OR($B145="",COUNTIF(tblVarliklar[VarlikId],$B145)=0),"YETIM","TAMAM"))</f>
        <v/>
      </c>
    </row>
    <row r="146">
      <c r="A146" s="15" t="n"/>
      <c r="B146" s="15" t="n"/>
      <c r="C146" s="62" t="n"/>
      <c r="D146" s="16" t="n"/>
      <c r="E146" s="21" t="n"/>
      <c r="F146" s="16" t="n"/>
      <c r="G146" s="15" t="n"/>
      <c r="H146" s="19">
        <f>IF($A146="","",IFERROR(SUMIF(tblVarliklar[VarlikId],$B146,tblVarliklar[KapasiteKwp_kwp]),gup_varsayilanKapasite))</f>
        <v/>
      </c>
      <c r="I146" s="19">
        <f>IF($A146="","",$E146*$H146)</f>
        <v/>
      </c>
      <c r="J146" s="19">
        <f>IF(OR($A146="",$I146=0),"",$D146/$I146)</f>
        <v/>
      </c>
      <c r="K146" s="19">
        <f>IF(OR($A146="",$I146=0),"",$F146/$I146)</f>
        <v/>
      </c>
      <c r="L146" s="19">
        <f>IF($A146="","",$D146)</f>
        <v/>
      </c>
      <c r="M146" s="19">
        <f>IF($A146="","",MAX(0,MIN(100,gup_kaliteTaban-IF($J146&lt;gup_esikPr,gup_kaliteCeza,0)-IF($F146&gt;gup_esikKayipKwh,gup_kaliteSapma,0)-IF($P146="YETIM",gup_kaliteCeza,0))))</f>
        <v/>
      </c>
      <c r="N146" s="19">
        <f>IF($A146="","",IF(OR($J146&lt;gup_esikPr,$F146&gt;gup_esikKayipKwh,$M146&lt;gup_esikSaglik),"ALARM","UYGUN"))</f>
        <v/>
      </c>
      <c r="O146" s="19">
        <f>IF($A146="","",1)</f>
        <v/>
      </c>
      <c r="P146" s="19">
        <f>IF($A146="","",IF(OR($B146="",COUNTIF(tblVarliklar[VarlikId],$B146)=0),"YETIM","TAMAM"))</f>
        <v/>
      </c>
    </row>
    <row r="147">
      <c r="A147" s="15" t="n"/>
      <c r="B147" s="15" t="n"/>
      <c r="C147" s="62" t="n"/>
      <c r="D147" s="16" t="n"/>
      <c r="E147" s="21" t="n"/>
      <c r="F147" s="16" t="n"/>
      <c r="G147" s="15" t="n"/>
      <c r="H147" s="19">
        <f>IF($A147="","",IFERROR(SUMIF(tblVarliklar[VarlikId],$B147,tblVarliklar[KapasiteKwp_kwp]),gup_varsayilanKapasite))</f>
        <v/>
      </c>
      <c r="I147" s="19">
        <f>IF($A147="","",$E147*$H147)</f>
        <v/>
      </c>
      <c r="J147" s="19">
        <f>IF(OR($A147="",$I147=0),"",$D147/$I147)</f>
        <v/>
      </c>
      <c r="K147" s="19">
        <f>IF(OR($A147="",$I147=0),"",$F147/$I147)</f>
        <v/>
      </c>
      <c r="L147" s="19">
        <f>IF($A147="","",$D147)</f>
        <v/>
      </c>
      <c r="M147" s="19">
        <f>IF($A147="","",MAX(0,MIN(100,gup_kaliteTaban-IF($J147&lt;gup_esikPr,gup_kaliteCeza,0)-IF($F147&gt;gup_esikKayipKwh,gup_kaliteSapma,0)-IF($P147="YETIM",gup_kaliteCeza,0))))</f>
        <v/>
      </c>
      <c r="N147" s="19">
        <f>IF($A147="","",IF(OR($J147&lt;gup_esikPr,$F147&gt;gup_esikKayipKwh,$M147&lt;gup_esikSaglik),"ALARM","UYGUN"))</f>
        <v/>
      </c>
      <c r="O147" s="19">
        <f>IF($A147="","",1)</f>
        <v/>
      </c>
      <c r="P147" s="19">
        <f>IF($A147="","",IF(OR($B147="",COUNTIF(tblVarliklar[VarlikId],$B147)=0),"YETIM","TAMAM"))</f>
        <v/>
      </c>
    </row>
    <row r="148">
      <c r="A148" s="15" t="n"/>
      <c r="B148" s="15" t="n"/>
      <c r="C148" s="62" t="n"/>
      <c r="D148" s="16" t="n"/>
      <c r="E148" s="21" t="n"/>
      <c r="F148" s="16" t="n"/>
      <c r="G148" s="15" t="n"/>
      <c r="H148" s="19">
        <f>IF($A148="","",IFERROR(SUMIF(tblVarliklar[VarlikId],$B148,tblVarliklar[KapasiteKwp_kwp]),gup_varsayilanKapasite))</f>
        <v/>
      </c>
      <c r="I148" s="19">
        <f>IF($A148="","",$E148*$H148)</f>
        <v/>
      </c>
      <c r="J148" s="19">
        <f>IF(OR($A148="",$I148=0),"",$D148/$I148)</f>
        <v/>
      </c>
      <c r="K148" s="19">
        <f>IF(OR($A148="",$I148=0),"",$F148/$I148)</f>
        <v/>
      </c>
      <c r="L148" s="19">
        <f>IF($A148="","",$D148)</f>
        <v/>
      </c>
      <c r="M148" s="19">
        <f>IF($A148="","",MAX(0,MIN(100,gup_kaliteTaban-IF($J148&lt;gup_esikPr,gup_kaliteCeza,0)-IF($F148&gt;gup_esikKayipKwh,gup_kaliteSapma,0)-IF($P148="YETIM",gup_kaliteCeza,0))))</f>
        <v/>
      </c>
      <c r="N148" s="19">
        <f>IF($A148="","",IF(OR($J148&lt;gup_esikPr,$F148&gt;gup_esikKayipKwh,$M148&lt;gup_esikSaglik),"ALARM","UYGUN"))</f>
        <v/>
      </c>
      <c r="O148" s="19">
        <f>IF($A148="","",1)</f>
        <v/>
      </c>
      <c r="P148" s="19">
        <f>IF($A148="","",IF(OR($B148="",COUNTIF(tblVarliklar[VarlikId],$B148)=0),"YETIM","TAMAM"))</f>
        <v/>
      </c>
    </row>
    <row r="149">
      <c r="A149" s="15" t="n"/>
      <c r="B149" s="15" t="n"/>
      <c r="C149" s="62" t="n"/>
      <c r="D149" s="16" t="n"/>
      <c r="E149" s="21" t="n"/>
      <c r="F149" s="16" t="n"/>
      <c r="G149" s="15" t="n"/>
      <c r="H149" s="19">
        <f>IF($A149="","",IFERROR(SUMIF(tblVarliklar[VarlikId],$B149,tblVarliklar[KapasiteKwp_kwp]),gup_varsayilanKapasite))</f>
        <v/>
      </c>
      <c r="I149" s="19">
        <f>IF($A149="","",$E149*$H149)</f>
        <v/>
      </c>
      <c r="J149" s="19">
        <f>IF(OR($A149="",$I149=0),"",$D149/$I149)</f>
        <v/>
      </c>
      <c r="K149" s="19">
        <f>IF(OR($A149="",$I149=0),"",$F149/$I149)</f>
        <v/>
      </c>
      <c r="L149" s="19">
        <f>IF($A149="","",$D149)</f>
        <v/>
      </c>
      <c r="M149" s="19">
        <f>IF($A149="","",MAX(0,MIN(100,gup_kaliteTaban-IF($J149&lt;gup_esikPr,gup_kaliteCeza,0)-IF($F149&gt;gup_esikKayipKwh,gup_kaliteSapma,0)-IF($P149="YETIM",gup_kaliteCeza,0))))</f>
        <v/>
      </c>
      <c r="N149" s="19">
        <f>IF($A149="","",IF(OR($J149&lt;gup_esikPr,$F149&gt;gup_esikKayipKwh,$M149&lt;gup_esikSaglik),"ALARM","UYGUN"))</f>
        <v/>
      </c>
      <c r="O149" s="19">
        <f>IF($A149="","",1)</f>
        <v/>
      </c>
      <c r="P149" s="19">
        <f>IF($A149="","",IF(OR($B149="",COUNTIF(tblVarliklar[VarlikId],$B149)=0),"YETIM","TAMAM"))</f>
        <v/>
      </c>
    </row>
    <row r="150">
      <c r="A150" s="15" t="n"/>
      <c r="B150" s="15" t="n"/>
      <c r="C150" s="62" t="n"/>
      <c r="D150" s="16" t="n"/>
      <c r="E150" s="21" t="n"/>
      <c r="F150" s="16" t="n"/>
      <c r="G150" s="15" t="n"/>
      <c r="H150" s="19">
        <f>IF($A150="","",IFERROR(SUMIF(tblVarliklar[VarlikId],$B150,tblVarliklar[KapasiteKwp_kwp]),gup_varsayilanKapasite))</f>
        <v/>
      </c>
      <c r="I150" s="19">
        <f>IF($A150="","",$E150*$H150)</f>
        <v/>
      </c>
      <c r="J150" s="19">
        <f>IF(OR($A150="",$I150=0),"",$D150/$I150)</f>
        <v/>
      </c>
      <c r="K150" s="19">
        <f>IF(OR($A150="",$I150=0),"",$F150/$I150)</f>
        <v/>
      </c>
      <c r="L150" s="19">
        <f>IF($A150="","",$D150)</f>
        <v/>
      </c>
      <c r="M150" s="19">
        <f>IF($A150="","",MAX(0,MIN(100,gup_kaliteTaban-IF($J150&lt;gup_esikPr,gup_kaliteCeza,0)-IF($F150&gt;gup_esikKayipKwh,gup_kaliteSapma,0)-IF($P150="YETIM",gup_kaliteCeza,0))))</f>
        <v/>
      </c>
      <c r="N150" s="19">
        <f>IF($A150="","",IF(OR($J150&lt;gup_esikPr,$F150&gt;gup_esikKayipKwh,$M150&lt;gup_esikSaglik),"ALARM","UYGUN"))</f>
        <v/>
      </c>
      <c r="O150" s="19">
        <f>IF($A150="","",1)</f>
        <v/>
      </c>
      <c r="P150" s="19">
        <f>IF($A150="","",IF(OR($B150="",COUNTIF(tblVarliklar[VarlikId],$B150)=0),"YETIM","TAMAM"))</f>
        <v/>
      </c>
    </row>
    <row r="151">
      <c r="A151" s="15" t="n"/>
      <c r="B151" s="15" t="n"/>
      <c r="C151" s="62" t="n"/>
      <c r="D151" s="16" t="n"/>
      <c r="E151" s="21" t="n"/>
      <c r="F151" s="16" t="n"/>
      <c r="G151" s="15" t="n"/>
      <c r="H151" s="19">
        <f>IF($A151="","",IFERROR(SUMIF(tblVarliklar[VarlikId],$B151,tblVarliklar[KapasiteKwp_kwp]),gup_varsayilanKapasite))</f>
        <v/>
      </c>
      <c r="I151" s="19">
        <f>IF($A151="","",$E151*$H151)</f>
        <v/>
      </c>
      <c r="J151" s="19">
        <f>IF(OR($A151="",$I151=0),"",$D151/$I151)</f>
        <v/>
      </c>
      <c r="K151" s="19">
        <f>IF(OR($A151="",$I151=0),"",$F151/$I151)</f>
        <v/>
      </c>
      <c r="L151" s="19">
        <f>IF($A151="","",$D151)</f>
        <v/>
      </c>
      <c r="M151" s="19">
        <f>IF($A151="","",MAX(0,MIN(100,gup_kaliteTaban-IF($J151&lt;gup_esikPr,gup_kaliteCeza,0)-IF($F151&gt;gup_esikKayipKwh,gup_kaliteSapma,0)-IF($P151="YETIM",gup_kaliteCeza,0))))</f>
        <v/>
      </c>
      <c r="N151" s="19">
        <f>IF($A151="","",IF(OR($J151&lt;gup_esikPr,$F151&gt;gup_esikKayipKwh,$M151&lt;gup_esikSaglik),"ALARM","UYGUN"))</f>
        <v/>
      </c>
      <c r="O151" s="19">
        <f>IF($A151="","",1)</f>
        <v/>
      </c>
      <c r="P151" s="19">
        <f>IF($A151="","",IF(OR($B151="",COUNTIF(tblVarliklar[VarlikId],$B151)=0),"YETIM","TAMAM"))</f>
        <v/>
      </c>
    </row>
    <row r="152">
      <c r="A152" s="15" t="n"/>
      <c r="B152" s="15" t="n"/>
      <c r="C152" s="62" t="n"/>
      <c r="D152" s="16" t="n"/>
      <c r="E152" s="21" t="n"/>
      <c r="F152" s="16" t="n"/>
      <c r="G152" s="15" t="n"/>
      <c r="H152" s="19">
        <f>IF($A152="","",IFERROR(SUMIF(tblVarliklar[VarlikId],$B152,tblVarliklar[KapasiteKwp_kwp]),gup_varsayilanKapasite))</f>
        <v/>
      </c>
      <c r="I152" s="19">
        <f>IF($A152="","",$E152*$H152)</f>
        <v/>
      </c>
      <c r="J152" s="19">
        <f>IF(OR($A152="",$I152=0),"",$D152/$I152)</f>
        <v/>
      </c>
      <c r="K152" s="19">
        <f>IF(OR($A152="",$I152=0),"",$F152/$I152)</f>
        <v/>
      </c>
      <c r="L152" s="19">
        <f>IF($A152="","",$D152)</f>
        <v/>
      </c>
      <c r="M152" s="19">
        <f>IF($A152="","",MAX(0,MIN(100,gup_kaliteTaban-IF($J152&lt;gup_esikPr,gup_kaliteCeza,0)-IF($F152&gt;gup_esikKayipKwh,gup_kaliteSapma,0)-IF($P152="YETIM",gup_kaliteCeza,0))))</f>
        <v/>
      </c>
      <c r="N152" s="19">
        <f>IF($A152="","",IF(OR($J152&lt;gup_esikPr,$F152&gt;gup_esikKayipKwh,$M152&lt;gup_esikSaglik),"ALARM","UYGUN"))</f>
        <v/>
      </c>
      <c r="O152" s="19">
        <f>IF($A152="","",1)</f>
        <v/>
      </c>
      <c r="P152" s="19">
        <f>IF($A152="","",IF(OR($B152="",COUNTIF(tblVarliklar[VarlikId],$B152)=0),"YETIM","TAMAM"))</f>
        <v/>
      </c>
    </row>
    <row r="153">
      <c r="A153" s="15" t="n"/>
      <c r="B153" s="15" t="n"/>
      <c r="C153" s="62" t="n"/>
      <c r="D153" s="16" t="n"/>
      <c r="E153" s="21" t="n"/>
      <c r="F153" s="16" t="n"/>
      <c r="G153" s="15" t="n"/>
      <c r="H153" s="19">
        <f>IF($A153="","",IFERROR(SUMIF(tblVarliklar[VarlikId],$B153,tblVarliklar[KapasiteKwp_kwp]),gup_varsayilanKapasite))</f>
        <v/>
      </c>
      <c r="I153" s="19">
        <f>IF($A153="","",$E153*$H153)</f>
        <v/>
      </c>
      <c r="J153" s="19">
        <f>IF(OR($A153="",$I153=0),"",$D153/$I153)</f>
        <v/>
      </c>
      <c r="K153" s="19">
        <f>IF(OR($A153="",$I153=0),"",$F153/$I153)</f>
        <v/>
      </c>
      <c r="L153" s="19">
        <f>IF($A153="","",$D153)</f>
        <v/>
      </c>
      <c r="M153" s="19">
        <f>IF($A153="","",MAX(0,MIN(100,gup_kaliteTaban-IF($J153&lt;gup_esikPr,gup_kaliteCeza,0)-IF($F153&gt;gup_esikKayipKwh,gup_kaliteSapma,0)-IF($P153="YETIM",gup_kaliteCeza,0))))</f>
        <v/>
      </c>
      <c r="N153" s="19">
        <f>IF($A153="","",IF(OR($J153&lt;gup_esikPr,$F153&gt;gup_esikKayipKwh,$M153&lt;gup_esikSaglik),"ALARM","UYGUN"))</f>
        <v/>
      </c>
      <c r="O153" s="19">
        <f>IF($A153="","",1)</f>
        <v/>
      </c>
      <c r="P153" s="19">
        <f>IF($A153="","",IF(OR($B153="",COUNTIF(tblVarliklar[VarlikId],$B153)=0),"YETIM","TAMAM"))</f>
        <v/>
      </c>
    </row>
    <row r="154">
      <c r="A154" s="15" t="n"/>
      <c r="B154" s="15" t="n"/>
      <c r="C154" s="62" t="n"/>
      <c r="D154" s="16" t="n"/>
      <c r="E154" s="21" t="n"/>
      <c r="F154" s="16" t="n"/>
      <c r="G154" s="15" t="n"/>
      <c r="H154" s="19">
        <f>IF($A154="","",IFERROR(SUMIF(tblVarliklar[VarlikId],$B154,tblVarliklar[KapasiteKwp_kwp]),gup_varsayilanKapasite))</f>
        <v/>
      </c>
      <c r="I154" s="19">
        <f>IF($A154="","",$E154*$H154)</f>
        <v/>
      </c>
      <c r="J154" s="19">
        <f>IF(OR($A154="",$I154=0),"",$D154/$I154)</f>
        <v/>
      </c>
      <c r="K154" s="19">
        <f>IF(OR($A154="",$I154=0),"",$F154/$I154)</f>
        <v/>
      </c>
      <c r="L154" s="19">
        <f>IF($A154="","",$D154)</f>
        <v/>
      </c>
      <c r="M154" s="19">
        <f>IF($A154="","",MAX(0,MIN(100,gup_kaliteTaban-IF($J154&lt;gup_esikPr,gup_kaliteCeza,0)-IF($F154&gt;gup_esikKayipKwh,gup_kaliteSapma,0)-IF($P154="YETIM",gup_kaliteCeza,0))))</f>
        <v/>
      </c>
      <c r="N154" s="19">
        <f>IF($A154="","",IF(OR($J154&lt;gup_esikPr,$F154&gt;gup_esikKayipKwh,$M154&lt;gup_esikSaglik),"ALARM","UYGUN"))</f>
        <v/>
      </c>
      <c r="O154" s="19">
        <f>IF($A154="","",1)</f>
        <v/>
      </c>
      <c r="P154" s="19">
        <f>IF($A154="","",IF(OR($B154="",COUNTIF(tblVarliklar[VarlikId],$B154)=0),"YETIM","TAMAM"))</f>
        <v/>
      </c>
    </row>
    <row r="155">
      <c r="A155" s="15" t="n"/>
      <c r="B155" s="15" t="n"/>
      <c r="C155" s="62" t="n"/>
      <c r="D155" s="16" t="n"/>
      <c r="E155" s="21" t="n"/>
      <c r="F155" s="16" t="n"/>
      <c r="G155" s="15" t="n"/>
      <c r="H155" s="19">
        <f>IF($A155="","",IFERROR(SUMIF(tblVarliklar[VarlikId],$B155,tblVarliklar[KapasiteKwp_kwp]),gup_varsayilanKapasite))</f>
        <v/>
      </c>
      <c r="I155" s="19">
        <f>IF($A155="","",$E155*$H155)</f>
        <v/>
      </c>
      <c r="J155" s="19">
        <f>IF(OR($A155="",$I155=0),"",$D155/$I155)</f>
        <v/>
      </c>
      <c r="K155" s="19">
        <f>IF(OR($A155="",$I155=0),"",$F155/$I155)</f>
        <v/>
      </c>
      <c r="L155" s="19">
        <f>IF($A155="","",$D155)</f>
        <v/>
      </c>
      <c r="M155" s="19">
        <f>IF($A155="","",MAX(0,MIN(100,gup_kaliteTaban-IF($J155&lt;gup_esikPr,gup_kaliteCeza,0)-IF($F155&gt;gup_esikKayipKwh,gup_kaliteSapma,0)-IF($P155="YETIM",gup_kaliteCeza,0))))</f>
        <v/>
      </c>
      <c r="N155" s="19">
        <f>IF($A155="","",IF(OR($J155&lt;gup_esikPr,$F155&gt;gup_esikKayipKwh,$M155&lt;gup_esikSaglik),"ALARM","UYGUN"))</f>
        <v/>
      </c>
      <c r="O155" s="19">
        <f>IF($A155="","",1)</f>
        <v/>
      </c>
      <c r="P155" s="19">
        <f>IF($A155="","",IF(OR($B155="",COUNTIF(tblVarliklar[VarlikId],$B155)=0),"YETIM","TAMAM"))</f>
        <v/>
      </c>
    </row>
    <row r="156">
      <c r="A156" s="15" t="n"/>
      <c r="B156" s="15" t="n"/>
      <c r="C156" s="62" t="n"/>
      <c r="D156" s="16" t="n"/>
      <c r="E156" s="21" t="n"/>
      <c r="F156" s="16" t="n"/>
      <c r="G156" s="15" t="n"/>
      <c r="H156" s="19">
        <f>IF($A156="","",IFERROR(SUMIF(tblVarliklar[VarlikId],$B156,tblVarliklar[KapasiteKwp_kwp]),gup_varsayilanKapasite))</f>
        <v/>
      </c>
      <c r="I156" s="19">
        <f>IF($A156="","",$E156*$H156)</f>
        <v/>
      </c>
      <c r="J156" s="19">
        <f>IF(OR($A156="",$I156=0),"",$D156/$I156)</f>
        <v/>
      </c>
      <c r="K156" s="19">
        <f>IF(OR($A156="",$I156=0),"",$F156/$I156)</f>
        <v/>
      </c>
      <c r="L156" s="19">
        <f>IF($A156="","",$D156)</f>
        <v/>
      </c>
      <c r="M156" s="19">
        <f>IF($A156="","",MAX(0,MIN(100,gup_kaliteTaban-IF($J156&lt;gup_esikPr,gup_kaliteCeza,0)-IF($F156&gt;gup_esikKayipKwh,gup_kaliteSapma,0)-IF($P156="YETIM",gup_kaliteCeza,0))))</f>
        <v/>
      </c>
      <c r="N156" s="19">
        <f>IF($A156="","",IF(OR($J156&lt;gup_esikPr,$F156&gt;gup_esikKayipKwh,$M156&lt;gup_esikSaglik),"ALARM","UYGUN"))</f>
        <v/>
      </c>
      <c r="O156" s="19">
        <f>IF($A156="","",1)</f>
        <v/>
      </c>
      <c r="P156" s="19">
        <f>IF($A156="","",IF(OR($B156="",COUNTIF(tblVarliklar[VarlikId],$B156)=0),"YETIM","TAMAM"))</f>
        <v/>
      </c>
    </row>
    <row r="157">
      <c r="A157" s="15" t="n"/>
      <c r="B157" s="15" t="n"/>
      <c r="C157" s="62" t="n"/>
      <c r="D157" s="16" t="n"/>
      <c r="E157" s="21" t="n"/>
      <c r="F157" s="16" t="n"/>
      <c r="G157" s="15" t="n"/>
      <c r="H157" s="19">
        <f>IF($A157="","",IFERROR(SUMIF(tblVarliklar[VarlikId],$B157,tblVarliklar[KapasiteKwp_kwp]),gup_varsayilanKapasite))</f>
        <v/>
      </c>
      <c r="I157" s="19">
        <f>IF($A157="","",$E157*$H157)</f>
        <v/>
      </c>
      <c r="J157" s="19">
        <f>IF(OR($A157="",$I157=0),"",$D157/$I157)</f>
        <v/>
      </c>
      <c r="K157" s="19">
        <f>IF(OR($A157="",$I157=0),"",$F157/$I157)</f>
        <v/>
      </c>
      <c r="L157" s="19">
        <f>IF($A157="","",$D157)</f>
        <v/>
      </c>
      <c r="M157" s="19">
        <f>IF($A157="","",MAX(0,MIN(100,gup_kaliteTaban-IF($J157&lt;gup_esikPr,gup_kaliteCeza,0)-IF($F157&gt;gup_esikKayipKwh,gup_kaliteSapma,0)-IF($P157="YETIM",gup_kaliteCeza,0))))</f>
        <v/>
      </c>
      <c r="N157" s="19">
        <f>IF($A157="","",IF(OR($J157&lt;gup_esikPr,$F157&gt;gup_esikKayipKwh,$M157&lt;gup_esikSaglik),"ALARM","UYGUN"))</f>
        <v/>
      </c>
      <c r="O157" s="19">
        <f>IF($A157="","",1)</f>
        <v/>
      </c>
      <c r="P157" s="19">
        <f>IF($A157="","",IF(OR($B157="",COUNTIF(tblVarliklar[VarlikId],$B157)=0),"YETIM","TAMAM"))</f>
        <v/>
      </c>
    </row>
    <row r="158">
      <c r="A158" s="15" t="n"/>
      <c r="B158" s="15" t="n"/>
      <c r="C158" s="62" t="n"/>
      <c r="D158" s="16" t="n"/>
      <c r="E158" s="21" t="n"/>
      <c r="F158" s="16" t="n"/>
      <c r="G158" s="15" t="n"/>
      <c r="H158" s="19">
        <f>IF($A158="","",IFERROR(SUMIF(tblVarliklar[VarlikId],$B158,tblVarliklar[KapasiteKwp_kwp]),gup_varsayilanKapasite))</f>
        <v/>
      </c>
      <c r="I158" s="19">
        <f>IF($A158="","",$E158*$H158)</f>
        <v/>
      </c>
      <c r="J158" s="19">
        <f>IF(OR($A158="",$I158=0),"",$D158/$I158)</f>
        <v/>
      </c>
      <c r="K158" s="19">
        <f>IF(OR($A158="",$I158=0),"",$F158/$I158)</f>
        <v/>
      </c>
      <c r="L158" s="19">
        <f>IF($A158="","",$D158)</f>
        <v/>
      </c>
      <c r="M158" s="19">
        <f>IF($A158="","",MAX(0,MIN(100,gup_kaliteTaban-IF($J158&lt;gup_esikPr,gup_kaliteCeza,0)-IF($F158&gt;gup_esikKayipKwh,gup_kaliteSapma,0)-IF($P158="YETIM",gup_kaliteCeza,0))))</f>
        <v/>
      </c>
      <c r="N158" s="19">
        <f>IF($A158="","",IF(OR($J158&lt;gup_esikPr,$F158&gt;gup_esikKayipKwh,$M158&lt;gup_esikSaglik),"ALARM","UYGUN"))</f>
        <v/>
      </c>
      <c r="O158" s="19">
        <f>IF($A158="","",1)</f>
        <v/>
      </c>
      <c r="P158" s="19">
        <f>IF($A158="","",IF(OR($B158="",COUNTIF(tblVarliklar[VarlikId],$B158)=0),"YETIM","TAMAM"))</f>
        <v/>
      </c>
    </row>
    <row r="159">
      <c r="A159" s="15" t="n"/>
      <c r="B159" s="15" t="n"/>
      <c r="C159" s="62" t="n"/>
      <c r="D159" s="16" t="n"/>
      <c r="E159" s="21" t="n"/>
      <c r="F159" s="16" t="n"/>
      <c r="G159" s="15" t="n"/>
      <c r="H159" s="19">
        <f>IF($A159="","",IFERROR(SUMIF(tblVarliklar[VarlikId],$B159,tblVarliklar[KapasiteKwp_kwp]),gup_varsayilanKapasite))</f>
        <v/>
      </c>
      <c r="I159" s="19">
        <f>IF($A159="","",$E159*$H159)</f>
        <v/>
      </c>
      <c r="J159" s="19">
        <f>IF(OR($A159="",$I159=0),"",$D159/$I159)</f>
        <v/>
      </c>
      <c r="K159" s="19">
        <f>IF(OR($A159="",$I159=0),"",$F159/$I159)</f>
        <v/>
      </c>
      <c r="L159" s="19">
        <f>IF($A159="","",$D159)</f>
        <v/>
      </c>
      <c r="M159" s="19">
        <f>IF($A159="","",MAX(0,MIN(100,gup_kaliteTaban-IF($J159&lt;gup_esikPr,gup_kaliteCeza,0)-IF($F159&gt;gup_esikKayipKwh,gup_kaliteSapma,0)-IF($P159="YETIM",gup_kaliteCeza,0))))</f>
        <v/>
      </c>
      <c r="N159" s="19">
        <f>IF($A159="","",IF(OR($J159&lt;gup_esikPr,$F159&gt;gup_esikKayipKwh,$M159&lt;gup_esikSaglik),"ALARM","UYGUN"))</f>
        <v/>
      </c>
      <c r="O159" s="19">
        <f>IF($A159="","",1)</f>
        <v/>
      </c>
      <c r="P159" s="19">
        <f>IF($A159="","",IF(OR($B159="",COUNTIF(tblVarliklar[VarlikId],$B159)=0),"YETIM","TAMAM"))</f>
        <v/>
      </c>
    </row>
    <row r="160">
      <c r="A160" s="15" t="n"/>
      <c r="B160" s="15" t="n"/>
      <c r="C160" s="62" t="n"/>
      <c r="D160" s="16" t="n"/>
      <c r="E160" s="21" t="n"/>
      <c r="F160" s="16" t="n"/>
      <c r="G160" s="15" t="n"/>
      <c r="H160" s="19">
        <f>IF($A160="","",IFERROR(SUMIF(tblVarliklar[VarlikId],$B160,tblVarliklar[KapasiteKwp_kwp]),gup_varsayilanKapasite))</f>
        <v/>
      </c>
      <c r="I160" s="19">
        <f>IF($A160="","",$E160*$H160)</f>
        <v/>
      </c>
      <c r="J160" s="19">
        <f>IF(OR($A160="",$I160=0),"",$D160/$I160)</f>
        <v/>
      </c>
      <c r="K160" s="19">
        <f>IF(OR($A160="",$I160=0),"",$F160/$I160)</f>
        <v/>
      </c>
      <c r="L160" s="19">
        <f>IF($A160="","",$D160)</f>
        <v/>
      </c>
      <c r="M160" s="19">
        <f>IF($A160="","",MAX(0,MIN(100,gup_kaliteTaban-IF($J160&lt;gup_esikPr,gup_kaliteCeza,0)-IF($F160&gt;gup_esikKayipKwh,gup_kaliteSapma,0)-IF($P160="YETIM",gup_kaliteCeza,0))))</f>
        <v/>
      </c>
      <c r="N160" s="19">
        <f>IF($A160="","",IF(OR($J160&lt;gup_esikPr,$F160&gt;gup_esikKayipKwh,$M160&lt;gup_esikSaglik),"ALARM","UYGUN"))</f>
        <v/>
      </c>
      <c r="O160" s="19">
        <f>IF($A160="","",1)</f>
        <v/>
      </c>
      <c r="P160" s="19">
        <f>IF($A160="","",IF(OR($B160="",COUNTIF(tblVarliklar[VarlikId],$B160)=0),"YETIM","TAMAM"))</f>
        <v/>
      </c>
    </row>
    <row r="161">
      <c r="A161" s="15" t="n"/>
      <c r="B161" s="15" t="n"/>
      <c r="C161" s="62" t="n"/>
      <c r="D161" s="16" t="n"/>
      <c r="E161" s="21" t="n"/>
      <c r="F161" s="16" t="n"/>
      <c r="G161" s="15" t="n"/>
      <c r="H161" s="19">
        <f>IF($A161="","",IFERROR(SUMIF(tblVarliklar[VarlikId],$B161,tblVarliklar[KapasiteKwp_kwp]),gup_varsayilanKapasite))</f>
        <v/>
      </c>
      <c r="I161" s="19">
        <f>IF($A161="","",$E161*$H161)</f>
        <v/>
      </c>
      <c r="J161" s="19">
        <f>IF(OR($A161="",$I161=0),"",$D161/$I161)</f>
        <v/>
      </c>
      <c r="K161" s="19">
        <f>IF(OR($A161="",$I161=0),"",$F161/$I161)</f>
        <v/>
      </c>
      <c r="L161" s="19">
        <f>IF($A161="","",$D161)</f>
        <v/>
      </c>
      <c r="M161" s="19">
        <f>IF($A161="","",MAX(0,MIN(100,gup_kaliteTaban-IF($J161&lt;gup_esikPr,gup_kaliteCeza,0)-IF($F161&gt;gup_esikKayipKwh,gup_kaliteSapma,0)-IF($P161="YETIM",gup_kaliteCeza,0))))</f>
        <v/>
      </c>
      <c r="N161" s="19">
        <f>IF($A161="","",IF(OR($J161&lt;gup_esikPr,$F161&gt;gup_esikKayipKwh,$M161&lt;gup_esikSaglik),"ALARM","UYGUN"))</f>
        <v/>
      </c>
      <c r="O161" s="19">
        <f>IF($A161="","",1)</f>
        <v/>
      </c>
      <c r="P161" s="19">
        <f>IF($A161="","",IF(OR($B161="",COUNTIF(tblVarliklar[VarlikId],$B161)=0),"YETIM","TAMAM"))</f>
        <v/>
      </c>
    </row>
    <row r="162">
      <c r="A162" s="15" t="n"/>
      <c r="B162" s="15" t="n"/>
      <c r="C162" s="62" t="n"/>
      <c r="D162" s="16" t="n"/>
      <c r="E162" s="21" t="n"/>
      <c r="F162" s="16" t="n"/>
      <c r="G162" s="15" t="n"/>
      <c r="H162" s="19">
        <f>IF($A162="","",IFERROR(SUMIF(tblVarliklar[VarlikId],$B162,tblVarliklar[KapasiteKwp_kwp]),gup_varsayilanKapasite))</f>
        <v/>
      </c>
      <c r="I162" s="19">
        <f>IF($A162="","",$E162*$H162)</f>
        <v/>
      </c>
      <c r="J162" s="19">
        <f>IF(OR($A162="",$I162=0),"",$D162/$I162)</f>
        <v/>
      </c>
      <c r="K162" s="19">
        <f>IF(OR($A162="",$I162=0),"",$F162/$I162)</f>
        <v/>
      </c>
      <c r="L162" s="19">
        <f>IF($A162="","",$D162)</f>
        <v/>
      </c>
      <c r="M162" s="19">
        <f>IF($A162="","",MAX(0,MIN(100,gup_kaliteTaban-IF($J162&lt;gup_esikPr,gup_kaliteCeza,0)-IF($F162&gt;gup_esikKayipKwh,gup_kaliteSapma,0)-IF($P162="YETIM",gup_kaliteCeza,0))))</f>
        <v/>
      </c>
      <c r="N162" s="19">
        <f>IF($A162="","",IF(OR($J162&lt;gup_esikPr,$F162&gt;gup_esikKayipKwh,$M162&lt;gup_esikSaglik),"ALARM","UYGUN"))</f>
        <v/>
      </c>
      <c r="O162" s="19">
        <f>IF($A162="","",1)</f>
        <v/>
      </c>
      <c r="P162" s="19">
        <f>IF($A162="","",IF(OR($B162="",COUNTIF(tblVarliklar[VarlikId],$B162)=0),"YETIM","TAMAM"))</f>
        <v/>
      </c>
    </row>
    <row r="163">
      <c r="A163" s="15" t="n"/>
      <c r="B163" s="15" t="n"/>
      <c r="C163" s="62" t="n"/>
      <c r="D163" s="16" t="n"/>
      <c r="E163" s="21" t="n"/>
      <c r="F163" s="16" t="n"/>
      <c r="G163" s="15" t="n"/>
      <c r="H163" s="19">
        <f>IF($A163="","",IFERROR(SUMIF(tblVarliklar[VarlikId],$B163,tblVarliklar[KapasiteKwp_kwp]),gup_varsayilanKapasite))</f>
        <v/>
      </c>
      <c r="I163" s="19">
        <f>IF($A163="","",$E163*$H163)</f>
        <v/>
      </c>
      <c r="J163" s="19">
        <f>IF(OR($A163="",$I163=0),"",$D163/$I163)</f>
        <v/>
      </c>
      <c r="K163" s="19">
        <f>IF(OR($A163="",$I163=0),"",$F163/$I163)</f>
        <v/>
      </c>
      <c r="L163" s="19">
        <f>IF($A163="","",$D163)</f>
        <v/>
      </c>
      <c r="M163" s="19">
        <f>IF($A163="","",MAX(0,MIN(100,gup_kaliteTaban-IF($J163&lt;gup_esikPr,gup_kaliteCeza,0)-IF($F163&gt;gup_esikKayipKwh,gup_kaliteSapma,0)-IF($P163="YETIM",gup_kaliteCeza,0))))</f>
        <v/>
      </c>
      <c r="N163" s="19">
        <f>IF($A163="","",IF(OR($J163&lt;gup_esikPr,$F163&gt;gup_esikKayipKwh,$M163&lt;gup_esikSaglik),"ALARM","UYGUN"))</f>
        <v/>
      </c>
      <c r="O163" s="19">
        <f>IF($A163="","",1)</f>
        <v/>
      </c>
      <c r="P163" s="19">
        <f>IF($A163="","",IF(OR($B163="",COUNTIF(tblVarliklar[VarlikId],$B163)=0),"YETIM","TAMAM"))</f>
        <v/>
      </c>
    </row>
    <row r="164">
      <c r="A164" s="15" t="n"/>
      <c r="B164" s="15" t="n"/>
      <c r="C164" s="62" t="n"/>
      <c r="D164" s="16" t="n"/>
      <c r="E164" s="21" t="n"/>
      <c r="F164" s="16" t="n"/>
      <c r="G164" s="15" t="n"/>
      <c r="H164" s="19">
        <f>IF($A164="","",IFERROR(SUMIF(tblVarliklar[VarlikId],$B164,tblVarliklar[KapasiteKwp_kwp]),gup_varsayilanKapasite))</f>
        <v/>
      </c>
      <c r="I164" s="19">
        <f>IF($A164="","",$E164*$H164)</f>
        <v/>
      </c>
      <c r="J164" s="19">
        <f>IF(OR($A164="",$I164=0),"",$D164/$I164)</f>
        <v/>
      </c>
      <c r="K164" s="19">
        <f>IF(OR($A164="",$I164=0),"",$F164/$I164)</f>
        <v/>
      </c>
      <c r="L164" s="19">
        <f>IF($A164="","",$D164)</f>
        <v/>
      </c>
      <c r="M164" s="19">
        <f>IF($A164="","",MAX(0,MIN(100,gup_kaliteTaban-IF($J164&lt;gup_esikPr,gup_kaliteCeza,0)-IF($F164&gt;gup_esikKayipKwh,gup_kaliteSapma,0)-IF($P164="YETIM",gup_kaliteCeza,0))))</f>
        <v/>
      </c>
      <c r="N164" s="19">
        <f>IF($A164="","",IF(OR($J164&lt;gup_esikPr,$F164&gt;gup_esikKayipKwh,$M164&lt;gup_esikSaglik),"ALARM","UYGUN"))</f>
        <v/>
      </c>
      <c r="O164" s="19">
        <f>IF($A164="","",1)</f>
        <v/>
      </c>
      <c r="P164" s="19">
        <f>IF($A164="","",IF(OR($B164="",COUNTIF(tblVarliklar[VarlikId],$B164)=0),"YETIM","TAMAM"))</f>
        <v/>
      </c>
    </row>
    <row r="165">
      <c r="A165" s="15" t="n"/>
      <c r="B165" s="15" t="n"/>
      <c r="C165" s="62" t="n"/>
      <c r="D165" s="16" t="n"/>
      <c r="E165" s="21" t="n"/>
      <c r="F165" s="16" t="n"/>
      <c r="G165" s="15" t="n"/>
      <c r="H165" s="19">
        <f>IF($A165="","",IFERROR(SUMIF(tblVarliklar[VarlikId],$B165,tblVarliklar[KapasiteKwp_kwp]),gup_varsayilanKapasite))</f>
        <v/>
      </c>
      <c r="I165" s="19">
        <f>IF($A165="","",$E165*$H165)</f>
        <v/>
      </c>
      <c r="J165" s="19">
        <f>IF(OR($A165="",$I165=0),"",$D165/$I165)</f>
        <v/>
      </c>
      <c r="K165" s="19">
        <f>IF(OR($A165="",$I165=0),"",$F165/$I165)</f>
        <v/>
      </c>
      <c r="L165" s="19">
        <f>IF($A165="","",$D165)</f>
        <v/>
      </c>
      <c r="M165" s="19">
        <f>IF($A165="","",MAX(0,MIN(100,gup_kaliteTaban-IF($J165&lt;gup_esikPr,gup_kaliteCeza,0)-IF($F165&gt;gup_esikKayipKwh,gup_kaliteSapma,0)-IF($P165="YETIM",gup_kaliteCeza,0))))</f>
        <v/>
      </c>
      <c r="N165" s="19">
        <f>IF($A165="","",IF(OR($J165&lt;gup_esikPr,$F165&gt;gup_esikKayipKwh,$M165&lt;gup_esikSaglik),"ALARM","UYGUN"))</f>
        <v/>
      </c>
      <c r="O165" s="19">
        <f>IF($A165="","",1)</f>
        <v/>
      </c>
      <c r="P165" s="19">
        <f>IF($A165="","",IF(OR($B165="",COUNTIF(tblVarliklar[VarlikId],$B165)=0),"YETIM","TAMAM"))</f>
        <v/>
      </c>
    </row>
    <row r="166">
      <c r="A166" s="15" t="n"/>
      <c r="B166" s="15" t="n"/>
      <c r="C166" s="62" t="n"/>
      <c r="D166" s="16" t="n"/>
      <c r="E166" s="21" t="n"/>
      <c r="F166" s="16" t="n"/>
      <c r="G166" s="15" t="n"/>
      <c r="H166" s="19">
        <f>IF($A166="","",IFERROR(SUMIF(tblVarliklar[VarlikId],$B166,tblVarliklar[KapasiteKwp_kwp]),gup_varsayilanKapasite))</f>
        <v/>
      </c>
      <c r="I166" s="19">
        <f>IF($A166="","",$E166*$H166)</f>
        <v/>
      </c>
      <c r="J166" s="19">
        <f>IF(OR($A166="",$I166=0),"",$D166/$I166)</f>
        <v/>
      </c>
      <c r="K166" s="19">
        <f>IF(OR($A166="",$I166=0),"",$F166/$I166)</f>
        <v/>
      </c>
      <c r="L166" s="19">
        <f>IF($A166="","",$D166)</f>
        <v/>
      </c>
      <c r="M166" s="19">
        <f>IF($A166="","",MAX(0,MIN(100,gup_kaliteTaban-IF($J166&lt;gup_esikPr,gup_kaliteCeza,0)-IF($F166&gt;gup_esikKayipKwh,gup_kaliteSapma,0)-IF($P166="YETIM",gup_kaliteCeza,0))))</f>
        <v/>
      </c>
      <c r="N166" s="19">
        <f>IF($A166="","",IF(OR($J166&lt;gup_esikPr,$F166&gt;gup_esikKayipKwh,$M166&lt;gup_esikSaglik),"ALARM","UYGUN"))</f>
        <v/>
      </c>
      <c r="O166" s="19">
        <f>IF($A166="","",1)</f>
        <v/>
      </c>
      <c r="P166" s="19">
        <f>IF($A166="","",IF(OR($B166="",COUNTIF(tblVarliklar[VarlikId],$B166)=0),"YETIM","TAMAM"))</f>
        <v/>
      </c>
    </row>
    <row r="167">
      <c r="A167" s="15" t="n"/>
      <c r="B167" s="15" t="n"/>
      <c r="C167" s="62" t="n"/>
      <c r="D167" s="16" t="n"/>
      <c r="E167" s="21" t="n"/>
      <c r="F167" s="16" t="n"/>
      <c r="G167" s="15" t="n"/>
      <c r="H167" s="19">
        <f>IF($A167="","",IFERROR(SUMIF(tblVarliklar[VarlikId],$B167,tblVarliklar[KapasiteKwp_kwp]),gup_varsayilanKapasite))</f>
        <v/>
      </c>
      <c r="I167" s="19">
        <f>IF($A167="","",$E167*$H167)</f>
        <v/>
      </c>
      <c r="J167" s="19">
        <f>IF(OR($A167="",$I167=0),"",$D167/$I167)</f>
        <v/>
      </c>
      <c r="K167" s="19">
        <f>IF(OR($A167="",$I167=0),"",$F167/$I167)</f>
        <v/>
      </c>
      <c r="L167" s="19">
        <f>IF($A167="","",$D167)</f>
        <v/>
      </c>
      <c r="M167" s="19">
        <f>IF($A167="","",MAX(0,MIN(100,gup_kaliteTaban-IF($J167&lt;gup_esikPr,gup_kaliteCeza,0)-IF($F167&gt;gup_esikKayipKwh,gup_kaliteSapma,0)-IF($P167="YETIM",gup_kaliteCeza,0))))</f>
        <v/>
      </c>
      <c r="N167" s="19">
        <f>IF($A167="","",IF(OR($J167&lt;gup_esikPr,$F167&gt;gup_esikKayipKwh,$M167&lt;gup_esikSaglik),"ALARM","UYGUN"))</f>
        <v/>
      </c>
      <c r="O167" s="19">
        <f>IF($A167="","",1)</f>
        <v/>
      </c>
      <c r="P167" s="19">
        <f>IF($A167="","",IF(OR($B167="",COUNTIF(tblVarliklar[VarlikId],$B167)=0),"YETIM","TAMAM"))</f>
        <v/>
      </c>
    </row>
    <row r="168">
      <c r="A168" s="15" t="n"/>
      <c r="B168" s="15" t="n"/>
      <c r="C168" s="62" t="n"/>
      <c r="D168" s="16" t="n"/>
      <c r="E168" s="21" t="n"/>
      <c r="F168" s="16" t="n"/>
      <c r="G168" s="15" t="n"/>
      <c r="H168" s="19">
        <f>IF($A168="","",IFERROR(SUMIF(tblVarliklar[VarlikId],$B168,tblVarliklar[KapasiteKwp_kwp]),gup_varsayilanKapasite))</f>
        <v/>
      </c>
      <c r="I168" s="19">
        <f>IF($A168="","",$E168*$H168)</f>
        <v/>
      </c>
      <c r="J168" s="19">
        <f>IF(OR($A168="",$I168=0),"",$D168/$I168)</f>
        <v/>
      </c>
      <c r="K168" s="19">
        <f>IF(OR($A168="",$I168=0),"",$F168/$I168)</f>
        <v/>
      </c>
      <c r="L168" s="19">
        <f>IF($A168="","",$D168)</f>
        <v/>
      </c>
      <c r="M168" s="19">
        <f>IF($A168="","",MAX(0,MIN(100,gup_kaliteTaban-IF($J168&lt;gup_esikPr,gup_kaliteCeza,0)-IF($F168&gt;gup_esikKayipKwh,gup_kaliteSapma,0)-IF($P168="YETIM",gup_kaliteCeza,0))))</f>
        <v/>
      </c>
      <c r="N168" s="19">
        <f>IF($A168="","",IF(OR($J168&lt;gup_esikPr,$F168&gt;gup_esikKayipKwh,$M168&lt;gup_esikSaglik),"ALARM","UYGUN"))</f>
        <v/>
      </c>
      <c r="O168" s="19">
        <f>IF($A168="","",1)</f>
        <v/>
      </c>
      <c r="P168" s="19">
        <f>IF($A168="","",IF(OR($B168="",COUNTIF(tblVarliklar[VarlikId],$B168)=0),"YETIM","TAMAM"))</f>
        <v/>
      </c>
    </row>
    <row r="169">
      <c r="A169" s="15" t="n"/>
      <c r="B169" s="15" t="n"/>
      <c r="C169" s="62" t="n"/>
      <c r="D169" s="16" t="n"/>
      <c r="E169" s="21" t="n"/>
      <c r="F169" s="16" t="n"/>
      <c r="G169" s="15" t="n"/>
      <c r="H169" s="19">
        <f>IF($A169="","",IFERROR(SUMIF(tblVarliklar[VarlikId],$B169,tblVarliklar[KapasiteKwp_kwp]),gup_varsayilanKapasite))</f>
        <v/>
      </c>
      <c r="I169" s="19">
        <f>IF($A169="","",$E169*$H169)</f>
        <v/>
      </c>
      <c r="J169" s="19">
        <f>IF(OR($A169="",$I169=0),"",$D169/$I169)</f>
        <v/>
      </c>
      <c r="K169" s="19">
        <f>IF(OR($A169="",$I169=0),"",$F169/$I169)</f>
        <v/>
      </c>
      <c r="L169" s="19">
        <f>IF($A169="","",$D169)</f>
        <v/>
      </c>
      <c r="M169" s="19">
        <f>IF($A169="","",MAX(0,MIN(100,gup_kaliteTaban-IF($J169&lt;gup_esikPr,gup_kaliteCeza,0)-IF($F169&gt;gup_esikKayipKwh,gup_kaliteSapma,0)-IF($P169="YETIM",gup_kaliteCeza,0))))</f>
        <v/>
      </c>
      <c r="N169" s="19">
        <f>IF($A169="","",IF(OR($J169&lt;gup_esikPr,$F169&gt;gup_esikKayipKwh,$M169&lt;gup_esikSaglik),"ALARM","UYGUN"))</f>
        <v/>
      </c>
      <c r="O169" s="19">
        <f>IF($A169="","",1)</f>
        <v/>
      </c>
      <c r="P169" s="19">
        <f>IF($A169="","",IF(OR($B169="",COUNTIF(tblVarliklar[VarlikId],$B169)=0),"YETIM","TAMAM"))</f>
        <v/>
      </c>
    </row>
    <row r="170">
      <c r="A170" s="15" t="n"/>
      <c r="B170" s="15" t="n"/>
      <c r="C170" s="62" t="n"/>
      <c r="D170" s="16" t="n"/>
      <c r="E170" s="21" t="n"/>
      <c r="F170" s="16" t="n"/>
      <c r="G170" s="15" t="n"/>
      <c r="H170" s="19">
        <f>IF($A170="","",IFERROR(SUMIF(tblVarliklar[VarlikId],$B170,tblVarliklar[KapasiteKwp_kwp]),gup_varsayilanKapasite))</f>
        <v/>
      </c>
      <c r="I170" s="19">
        <f>IF($A170="","",$E170*$H170)</f>
        <v/>
      </c>
      <c r="J170" s="19">
        <f>IF(OR($A170="",$I170=0),"",$D170/$I170)</f>
        <v/>
      </c>
      <c r="K170" s="19">
        <f>IF(OR($A170="",$I170=0),"",$F170/$I170)</f>
        <v/>
      </c>
      <c r="L170" s="19">
        <f>IF($A170="","",$D170)</f>
        <v/>
      </c>
      <c r="M170" s="19">
        <f>IF($A170="","",MAX(0,MIN(100,gup_kaliteTaban-IF($J170&lt;gup_esikPr,gup_kaliteCeza,0)-IF($F170&gt;gup_esikKayipKwh,gup_kaliteSapma,0)-IF($P170="YETIM",gup_kaliteCeza,0))))</f>
        <v/>
      </c>
      <c r="N170" s="19">
        <f>IF($A170="","",IF(OR($J170&lt;gup_esikPr,$F170&gt;gup_esikKayipKwh,$M170&lt;gup_esikSaglik),"ALARM","UYGUN"))</f>
        <v/>
      </c>
      <c r="O170" s="19">
        <f>IF($A170="","",1)</f>
        <v/>
      </c>
      <c r="P170" s="19">
        <f>IF($A170="","",IF(OR($B170="",COUNTIF(tblVarliklar[VarlikId],$B170)=0),"YETIM","TAMAM"))</f>
        <v/>
      </c>
    </row>
    <row r="171">
      <c r="A171" s="15" t="n"/>
      <c r="B171" s="15" t="n"/>
      <c r="C171" s="62" t="n"/>
      <c r="D171" s="16" t="n"/>
      <c r="E171" s="21" t="n"/>
      <c r="F171" s="16" t="n"/>
      <c r="G171" s="15" t="n"/>
      <c r="H171" s="19">
        <f>IF($A171="","",IFERROR(SUMIF(tblVarliklar[VarlikId],$B171,tblVarliklar[KapasiteKwp_kwp]),gup_varsayilanKapasite))</f>
        <v/>
      </c>
      <c r="I171" s="19">
        <f>IF($A171="","",$E171*$H171)</f>
        <v/>
      </c>
      <c r="J171" s="19">
        <f>IF(OR($A171="",$I171=0),"",$D171/$I171)</f>
        <v/>
      </c>
      <c r="K171" s="19">
        <f>IF(OR($A171="",$I171=0),"",$F171/$I171)</f>
        <v/>
      </c>
      <c r="L171" s="19">
        <f>IF($A171="","",$D171)</f>
        <v/>
      </c>
      <c r="M171" s="19">
        <f>IF($A171="","",MAX(0,MIN(100,gup_kaliteTaban-IF($J171&lt;gup_esikPr,gup_kaliteCeza,0)-IF($F171&gt;gup_esikKayipKwh,gup_kaliteSapma,0)-IF($P171="YETIM",gup_kaliteCeza,0))))</f>
        <v/>
      </c>
      <c r="N171" s="19">
        <f>IF($A171="","",IF(OR($J171&lt;gup_esikPr,$F171&gt;gup_esikKayipKwh,$M171&lt;gup_esikSaglik),"ALARM","UYGUN"))</f>
        <v/>
      </c>
      <c r="O171" s="19">
        <f>IF($A171="","",1)</f>
        <v/>
      </c>
      <c r="P171" s="19">
        <f>IF($A171="","",IF(OR($B171="",COUNTIF(tblVarliklar[VarlikId],$B171)=0),"YETIM","TAMAM"))</f>
        <v/>
      </c>
    </row>
    <row r="172">
      <c r="A172" s="15" t="n"/>
      <c r="B172" s="15" t="n"/>
      <c r="C172" s="62" t="n"/>
      <c r="D172" s="16" t="n"/>
      <c r="E172" s="21" t="n"/>
      <c r="F172" s="16" t="n"/>
      <c r="G172" s="15" t="n"/>
      <c r="H172" s="19">
        <f>IF($A172="","",IFERROR(SUMIF(tblVarliklar[VarlikId],$B172,tblVarliklar[KapasiteKwp_kwp]),gup_varsayilanKapasite))</f>
        <v/>
      </c>
      <c r="I172" s="19">
        <f>IF($A172="","",$E172*$H172)</f>
        <v/>
      </c>
      <c r="J172" s="19">
        <f>IF(OR($A172="",$I172=0),"",$D172/$I172)</f>
        <v/>
      </c>
      <c r="K172" s="19">
        <f>IF(OR($A172="",$I172=0),"",$F172/$I172)</f>
        <v/>
      </c>
      <c r="L172" s="19">
        <f>IF($A172="","",$D172)</f>
        <v/>
      </c>
      <c r="M172" s="19">
        <f>IF($A172="","",MAX(0,MIN(100,gup_kaliteTaban-IF($J172&lt;gup_esikPr,gup_kaliteCeza,0)-IF($F172&gt;gup_esikKayipKwh,gup_kaliteSapma,0)-IF($P172="YETIM",gup_kaliteCeza,0))))</f>
        <v/>
      </c>
      <c r="N172" s="19">
        <f>IF($A172="","",IF(OR($J172&lt;gup_esikPr,$F172&gt;gup_esikKayipKwh,$M172&lt;gup_esikSaglik),"ALARM","UYGUN"))</f>
        <v/>
      </c>
      <c r="O172" s="19">
        <f>IF($A172="","",1)</f>
        <v/>
      </c>
      <c r="P172" s="19">
        <f>IF($A172="","",IF(OR($B172="",COUNTIF(tblVarliklar[VarlikId],$B172)=0),"YETIM","TAMAM"))</f>
        <v/>
      </c>
    </row>
    <row r="173">
      <c r="A173" s="15" t="n"/>
      <c r="B173" s="15" t="n"/>
      <c r="C173" s="62" t="n"/>
      <c r="D173" s="16" t="n"/>
      <c r="E173" s="21" t="n"/>
      <c r="F173" s="16" t="n"/>
      <c r="G173" s="15" t="n"/>
      <c r="H173" s="19">
        <f>IF($A173="","",IFERROR(SUMIF(tblVarliklar[VarlikId],$B173,tblVarliklar[KapasiteKwp_kwp]),gup_varsayilanKapasite))</f>
        <v/>
      </c>
      <c r="I173" s="19">
        <f>IF($A173="","",$E173*$H173)</f>
        <v/>
      </c>
      <c r="J173" s="19">
        <f>IF(OR($A173="",$I173=0),"",$D173/$I173)</f>
        <v/>
      </c>
      <c r="K173" s="19">
        <f>IF(OR($A173="",$I173=0),"",$F173/$I173)</f>
        <v/>
      </c>
      <c r="L173" s="19">
        <f>IF($A173="","",$D173)</f>
        <v/>
      </c>
      <c r="M173" s="19">
        <f>IF($A173="","",MAX(0,MIN(100,gup_kaliteTaban-IF($J173&lt;gup_esikPr,gup_kaliteCeza,0)-IF($F173&gt;gup_esikKayipKwh,gup_kaliteSapma,0)-IF($P173="YETIM",gup_kaliteCeza,0))))</f>
        <v/>
      </c>
      <c r="N173" s="19">
        <f>IF($A173="","",IF(OR($J173&lt;gup_esikPr,$F173&gt;gup_esikKayipKwh,$M173&lt;gup_esikSaglik),"ALARM","UYGUN"))</f>
        <v/>
      </c>
      <c r="O173" s="19">
        <f>IF($A173="","",1)</f>
        <v/>
      </c>
      <c r="P173" s="19">
        <f>IF($A173="","",IF(OR($B173="",COUNTIF(tblVarliklar[VarlikId],$B173)=0),"YETIM","TAMAM"))</f>
        <v/>
      </c>
    </row>
    <row r="174">
      <c r="A174" s="15" t="n"/>
      <c r="B174" s="15" t="n"/>
      <c r="C174" s="62" t="n"/>
      <c r="D174" s="16" t="n"/>
      <c r="E174" s="21" t="n"/>
      <c r="F174" s="16" t="n"/>
      <c r="G174" s="15" t="n"/>
      <c r="H174" s="19">
        <f>IF($A174="","",IFERROR(SUMIF(tblVarliklar[VarlikId],$B174,tblVarliklar[KapasiteKwp_kwp]),gup_varsayilanKapasite))</f>
        <v/>
      </c>
      <c r="I174" s="19">
        <f>IF($A174="","",$E174*$H174)</f>
        <v/>
      </c>
      <c r="J174" s="19">
        <f>IF(OR($A174="",$I174=0),"",$D174/$I174)</f>
        <v/>
      </c>
      <c r="K174" s="19">
        <f>IF(OR($A174="",$I174=0),"",$F174/$I174)</f>
        <v/>
      </c>
      <c r="L174" s="19">
        <f>IF($A174="","",$D174)</f>
        <v/>
      </c>
      <c r="M174" s="19">
        <f>IF($A174="","",MAX(0,MIN(100,gup_kaliteTaban-IF($J174&lt;gup_esikPr,gup_kaliteCeza,0)-IF($F174&gt;gup_esikKayipKwh,gup_kaliteSapma,0)-IF($P174="YETIM",gup_kaliteCeza,0))))</f>
        <v/>
      </c>
      <c r="N174" s="19">
        <f>IF($A174="","",IF(OR($J174&lt;gup_esikPr,$F174&gt;gup_esikKayipKwh,$M174&lt;gup_esikSaglik),"ALARM","UYGUN"))</f>
        <v/>
      </c>
      <c r="O174" s="19">
        <f>IF($A174="","",1)</f>
        <v/>
      </c>
      <c r="P174" s="19">
        <f>IF($A174="","",IF(OR($B174="",COUNTIF(tblVarliklar[VarlikId],$B174)=0),"YETIM","TAMAM"))</f>
        <v/>
      </c>
    </row>
    <row r="175">
      <c r="A175" s="15" t="n"/>
      <c r="B175" s="15" t="n"/>
      <c r="C175" s="62" t="n"/>
      <c r="D175" s="16" t="n"/>
      <c r="E175" s="21" t="n"/>
      <c r="F175" s="16" t="n"/>
      <c r="G175" s="15" t="n"/>
      <c r="H175" s="19">
        <f>IF($A175="","",IFERROR(SUMIF(tblVarliklar[VarlikId],$B175,tblVarliklar[KapasiteKwp_kwp]),gup_varsayilanKapasite))</f>
        <v/>
      </c>
      <c r="I175" s="19">
        <f>IF($A175="","",$E175*$H175)</f>
        <v/>
      </c>
      <c r="J175" s="19">
        <f>IF(OR($A175="",$I175=0),"",$D175/$I175)</f>
        <v/>
      </c>
      <c r="K175" s="19">
        <f>IF(OR($A175="",$I175=0),"",$F175/$I175)</f>
        <v/>
      </c>
      <c r="L175" s="19">
        <f>IF($A175="","",$D175)</f>
        <v/>
      </c>
      <c r="M175" s="19">
        <f>IF($A175="","",MAX(0,MIN(100,gup_kaliteTaban-IF($J175&lt;gup_esikPr,gup_kaliteCeza,0)-IF($F175&gt;gup_esikKayipKwh,gup_kaliteSapma,0)-IF($P175="YETIM",gup_kaliteCeza,0))))</f>
        <v/>
      </c>
      <c r="N175" s="19">
        <f>IF($A175="","",IF(OR($J175&lt;gup_esikPr,$F175&gt;gup_esikKayipKwh,$M175&lt;gup_esikSaglik),"ALARM","UYGUN"))</f>
        <v/>
      </c>
      <c r="O175" s="19">
        <f>IF($A175="","",1)</f>
        <v/>
      </c>
      <c r="P175" s="19">
        <f>IF($A175="","",IF(OR($B175="",COUNTIF(tblVarliklar[VarlikId],$B175)=0),"YETIM","TAMAM"))</f>
        <v/>
      </c>
    </row>
    <row r="176">
      <c r="A176" s="15" t="n"/>
      <c r="B176" s="15" t="n"/>
      <c r="C176" s="62" t="n"/>
      <c r="D176" s="16" t="n"/>
      <c r="E176" s="21" t="n"/>
      <c r="F176" s="16" t="n"/>
      <c r="G176" s="15" t="n"/>
      <c r="H176" s="19">
        <f>IF($A176="","",IFERROR(SUMIF(tblVarliklar[VarlikId],$B176,tblVarliklar[KapasiteKwp_kwp]),gup_varsayilanKapasite))</f>
        <v/>
      </c>
      <c r="I176" s="19">
        <f>IF($A176="","",$E176*$H176)</f>
        <v/>
      </c>
      <c r="J176" s="19">
        <f>IF(OR($A176="",$I176=0),"",$D176/$I176)</f>
        <v/>
      </c>
      <c r="K176" s="19">
        <f>IF(OR($A176="",$I176=0),"",$F176/$I176)</f>
        <v/>
      </c>
      <c r="L176" s="19">
        <f>IF($A176="","",$D176)</f>
        <v/>
      </c>
      <c r="M176" s="19">
        <f>IF($A176="","",MAX(0,MIN(100,gup_kaliteTaban-IF($J176&lt;gup_esikPr,gup_kaliteCeza,0)-IF($F176&gt;gup_esikKayipKwh,gup_kaliteSapma,0)-IF($P176="YETIM",gup_kaliteCeza,0))))</f>
        <v/>
      </c>
      <c r="N176" s="19">
        <f>IF($A176="","",IF(OR($J176&lt;gup_esikPr,$F176&gt;gup_esikKayipKwh,$M176&lt;gup_esikSaglik),"ALARM","UYGUN"))</f>
        <v/>
      </c>
      <c r="O176" s="19">
        <f>IF($A176="","",1)</f>
        <v/>
      </c>
      <c r="P176" s="19">
        <f>IF($A176="","",IF(OR($B176="",COUNTIF(tblVarliklar[VarlikId],$B176)=0),"YETIM","TAMAM"))</f>
        <v/>
      </c>
    </row>
    <row r="177">
      <c r="A177" s="15" t="n"/>
      <c r="B177" s="15" t="n"/>
      <c r="C177" s="62" t="n"/>
      <c r="D177" s="16" t="n"/>
      <c r="E177" s="21" t="n"/>
      <c r="F177" s="16" t="n"/>
      <c r="G177" s="15" t="n"/>
      <c r="H177" s="19">
        <f>IF($A177="","",IFERROR(SUMIF(tblVarliklar[VarlikId],$B177,tblVarliklar[KapasiteKwp_kwp]),gup_varsayilanKapasite))</f>
        <v/>
      </c>
      <c r="I177" s="19">
        <f>IF($A177="","",$E177*$H177)</f>
        <v/>
      </c>
      <c r="J177" s="19">
        <f>IF(OR($A177="",$I177=0),"",$D177/$I177)</f>
        <v/>
      </c>
      <c r="K177" s="19">
        <f>IF(OR($A177="",$I177=0),"",$F177/$I177)</f>
        <v/>
      </c>
      <c r="L177" s="19">
        <f>IF($A177="","",$D177)</f>
        <v/>
      </c>
      <c r="M177" s="19">
        <f>IF($A177="","",MAX(0,MIN(100,gup_kaliteTaban-IF($J177&lt;gup_esikPr,gup_kaliteCeza,0)-IF($F177&gt;gup_esikKayipKwh,gup_kaliteSapma,0)-IF($P177="YETIM",gup_kaliteCeza,0))))</f>
        <v/>
      </c>
      <c r="N177" s="19">
        <f>IF($A177="","",IF(OR($J177&lt;gup_esikPr,$F177&gt;gup_esikKayipKwh,$M177&lt;gup_esikSaglik),"ALARM","UYGUN"))</f>
        <v/>
      </c>
      <c r="O177" s="19">
        <f>IF($A177="","",1)</f>
        <v/>
      </c>
      <c r="P177" s="19">
        <f>IF($A177="","",IF(OR($B177="",COUNTIF(tblVarliklar[VarlikId],$B177)=0),"YETIM","TAMAM"))</f>
        <v/>
      </c>
    </row>
    <row r="178">
      <c r="A178" s="15" t="n"/>
      <c r="B178" s="15" t="n"/>
      <c r="C178" s="62" t="n"/>
      <c r="D178" s="16" t="n"/>
      <c r="E178" s="21" t="n"/>
      <c r="F178" s="16" t="n"/>
      <c r="G178" s="15" t="n"/>
      <c r="H178" s="19">
        <f>IF($A178="","",IFERROR(SUMIF(tblVarliklar[VarlikId],$B178,tblVarliklar[KapasiteKwp_kwp]),gup_varsayilanKapasite))</f>
        <v/>
      </c>
      <c r="I178" s="19">
        <f>IF($A178="","",$E178*$H178)</f>
        <v/>
      </c>
      <c r="J178" s="19">
        <f>IF(OR($A178="",$I178=0),"",$D178/$I178)</f>
        <v/>
      </c>
      <c r="K178" s="19">
        <f>IF(OR($A178="",$I178=0),"",$F178/$I178)</f>
        <v/>
      </c>
      <c r="L178" s="19">
        <f>IF($A178="","",$D178)</f>
        <v/>
      </c>
      <c r="M178" s="19">
        <f>IF($A178="","",MAX(0,MIN(100,gup_kaliteTaban-IF($J178&lt;gup_esikPr,gup_kaliteCeza,0)-IF($F178&gt;gup_esikKayipKwh,gup_kaliteSapma,0)-IF($P178="YETIM",gup_kaliteCeza,0))))</f>
        <v/>
      </c>
      <c r="N178" s="19">
        <f>IF($A178="","",IF(OR($J178&lt;gup_esikPr,$F178&gt;gup_esikKayipKwh,$M178&lt;gup_esikSaglik),"ALARM","UYGUN"))</f>
        <v/>
      </c>
      <c r="O178" s="19">
        <f>IF($A178="","",1)</f>
        <v/>
      </c>
      <c r="P178" s="19">
        <f>IF($A178="","",IF(OR($B178="",COUNTIF(tblVarliklar[VarlikId],$B178)=0),"YETIM","TAMAM"))</f>
        <v/>
      </c>
    </row>
    <row r="179">
      <c r="A179" s="15" t="n"/>
      <c r="B179" s="15" t="n"/>
      <c r="C179" s="62" t="n"/>
      <c r="D179" s="16" t="n"/>
      <c r="E179" s="21" t="n"/>
      <c r="F179" s="16" t="n"/>
      <c r="G179" s="15" t="n"/>
      <c r="H179" s="19">
        <f>IF($A179="","",IFERROR(SUMIF(tblVarliklar[VarlikId],$B179,tblVarliklar[KapasiteKwp_kwp]),gup_varsayilanKapasite))</f>
        <v/>
      </c>
      <c r="I179" s="19">
        <f>IF($A179="","",$E179*$H179)</f>
        <v/>
      </c>
      <c r="J179" s="19">
        <f>IF(OR($A179="",$I179=0),"",$D179/$I179)</f>
        <v/>
      </c>
      <c r="K179" s="19">
        <f>IF(OR($A179="",$I179=0),"",$F179/$I179)</f>
        <v/>
      </c>
      <c r="L179" s="19">
        <f>IF($A179="","",$D179)</f>
        <v/>
      </c>
      <c r="M179" s="19">
        <f>IF($A179="","",MAX(0,MIN(100,gup_kaliteTaban-IF($J179&lt;gup_esikPr,gup_kaliteCeza,0)-IF($F179&gt;gup_esikKayipKwh,gup_kaliteSapma,0)-IF($P179="YETIM",gup_kaliteCeza,0))))</f>
        <v/>
      </c>
      <c r="N179" s="19">
        <f>IF($A179="","",IF(OR($J179&lt;gup_esikPr,$F179&gt;gup_esikKayipKwh,$M179&lt;gup_esikSaglik),"ALARM","UYGUN"))</f>
        <v/>
      </c>
      <c r="O179" s="19">
        <f>IF($A179="","",1)</f>
        <v/>
      </c>
      <c r="P179" s="19">
        <f>IF($A179="","",IF(OR($B179="",COUNTIF(tblVarliklar[VarlikId],$B179)=0),"YETIM","TAMAM"))</f>
        <v/>
      </c>
    </row>
    <row r="180">
      <c r="A180" s="15" t="n"/>
      <c r="B180" s="15" t="n"/>
      <c r="C180" s="62" t="n"/>
      <c r="D180" s="16" t="n"/>
      <c r="E180" s="21" t="n"/>
      <c r="F180" s="16" t="n"/>
      <c r="G180" s="15" t="n"/>
      <c r="H180" s="19">
        <f>IF($A180="","",IFERROR(SUMIF(tblVarliklar[VarlikId],$B180,tblVarliklar[KapasiteKwp_kwp]),gup_varsayilanKapasite))</f>
        <v/>
      </c>
      <c r="I180" s="19">
        <f>IF($A180="","",$E180*$H180)</f>
        <v/>
      </c>
      <c r="J180" s="19">
        <f>IF(OR($A180="",$I180=0),"",$D180/$I180)</f>
        <v/>
      </c>
      <c r="K180" s="19">
        <f>IF(OR($A180="",$I180=0),"",$F180/$I180)</f>
        <v/>
      </c>
      <c r="L180" s="19">
        <f>IF($A180="","",$D180)</f>
        <v/>
      </c>
      <c r="M180" s="19">
        <f>IF($A180="","",MAX(0,MIN(100,gup_kaliteTaban-IF($J180&lt;gup_esikPr,gup_kaliteCeza,0)-IF($F180&gt;gup_esikKayipKwh,gup_kaliteSapma,0)-IF($P180="YETIM",gup_kaliteCeza,0))))</f>
        <v/>
      </c>
      <c r="N180" s="19">
        <f>IF($A180="","",IF(OR($J180&lt;gup_esikPr,$F180&gt;gup_esikKayipKwh,$M180&lt;gup_esikSaglik),"ALARM","UYGUN"))</f>
        <v/>
      </c>
      <c r="O180" s="19">
        <f>IF($A180="","",1)</f>
        <v/>
      </c>
      <c r="P180" s="19">
        <f>IF($A180="","",IF(OR($B180="",COUNTIF(tblVarliklar[VarlikId],$B180)=0),"YETIM","TAMAM"))</f>
        <v/>
      </c>
    </row>
    <row r="181">
      <c r="A181" s="15" t="n"/>
      <c r="B181" s="15" t="n"/>
      <c r="C181" s="62" t="n"/>
      <c r="D181" s="16" t="n"/>
      <c r="E181" s="21" t="n"/>
      <c r="F181" s="16" t="n"/>
      <c r="G181" s="15" t="n"/>
      <c r="H181" s="19">
        <f>IF($A181="","",IFERROR(SUMIF(tblVarliklar[VarlikId],$B181,tblVarliklar[KapasiteKwp_kwp]),gup_varsayilanKapasite))</f>
        <v/>
      </c>
      <c r="I181" s="19">
        <f>IF($A181="","",$E181*$H181)</f>
        <v/>
      </c>
      <c r="J181" s="19">
        <f>IF(OR($A181="",$I181=0),"",$D181/$I181)</f>
        <v/>
      </c>
      <c r="K181" s="19">
        <f>IF(OR($A181="",$I181=0),"",$F181/$I181)</f>
        <v/>
      </c>
      <c r="L181" s="19">
        <f>IF($A181="","",$D181)</f>
        <v/>
      </c>
      <c r="M181" s="19">
        <f>IF($A181="","",MAX(0,MIN(100,gup_kaliteTaban-IF($J181&lt;gup_esikPr,gup_kaliteCeza,0)-IF($F181&gt;gup_esikKayipKwh,gup_kaliteSapma,0)-IF($P181="YETIM",gup_kaliteCeza,0))))</f>
        <v/>
      </c>
      <c r="N181" s="19">
        <f>IF($A181="","",IF(OR($J181&lt;gup_esikPr,$F181&gt;gup_esikKayipKwh,$M181&lt;gup_esikSaglik),"ALARM","UYGUN"))</f>
        <v/>
      </c>
      <c r="O181" s="19">
        <f>IF($A181="","",1)</f>
        <v/>
      </c>
      <c r="P181" s="19">
        <f>IF($A181="","",IF(OR($B181="",COUNTIF(tblVarliklar[VarlikId],$B181)=0),"YETIM","TAMAM"))</f>
        <v/>
      </c>
    </row>
    <row r="182">
      <c r="A182" s="15" t="n"/>
      <c r="B182" s="15" t="n"/>
      <c r="C182" s="62" t="n"/>
      <c r="D182" s="16" t="n"/>
      <c r="E182" s="21" t="n"/>
      <c r="F182" s="16" t="n"/>
      <c r="G182" s="15" t="n"/>
      <c r="H182" s="19">
        <f>IF($A182="","",IFERROR(SUMIF(tblVarliklar[VarlikId],$B182,tblVarliklar[KapasiteKwp_kwp]),gup_varsayilanKapasite))</f>
        <v/>
      </c>
      <c r="I182" s="19">
        <f>IF($A182="","",$E182*$H182)</f>
        <v/>
      </c>
      <c r="J182" s="19">
        <f>IF(OR($A182="",$I182=0),"",$D182/$I182)</f>
        <v/>
      </c>
      <c r="K182" s="19">
        <f>IF(OR($A182="",$I182=0),"",$F182/$I182)</f>
        <v/>
      </c>
      <c r="L182" s="19">
        <f>IF($A182="","",$D182)</f>
        <v/>
      </c>
      <c r="M182" s="19">
        <f>IF($A182="","",MAX(0,MIN(100,gup_kaliteTaban-IF($J182&lt;gup_esikPr,gup_kaliteCeza,0)-IF($F182&gt;gup_esikKayipKwh,gup_kaliteSapma,0)-IF($P182="YETIM",gup_kaliteCeza,0))))</f>
        <v/>
      </c>
      <c r="N182" s="19">
        <f>IF($A182="","",IF(OR($J182&lt;gup_esikPr,$F182&gt;gup_esikKayipKwh,$M182&lt;gup_esikSaglik),"ALARM","UYGUN"))</f>
        <v/>
      </c>
      <c r="O182" s="19">
        <f>IF($A182="","",1)</f>
        <v/>
      </c>
      <c r="P182" s="19">
        <f>IF($A182="","",IF(OR($B182="",COUNTIF(tblVarliklar[VarlikId],$B182)=0),"YETIM","TAMAM"))</f>
        <v/>
      </c>
    </row>
    <row r="183">
      <c r="A183" s="15" t="n"/>
      <c r="B183" s="15" t="n"/>
      <c r="C183" s="62" t="n"/>
      <c r="D183" s="16" t="n"/>
      <c r="E183" s="21" t="n"/>
      <c r="F183" s="16" t="n"/>
      <c r="G183" s="15" t="n"/>
      <c r="H183" s="19">
        <f>IF($A183="","",IFERROR(SUMIF(tblVarliklar[VarlikId],$B183,tblVarliklar[KapasiteKwp_kwp]),gup_varsayilanKapasite))</f>
        <v/>
      </c>
      <c r="I183" s="19">
        <f>IF($A183="","",$E183*$H183)</f>
        <v/>
      </c>
      <c r="J183" s="19">
        <f>IF(OR($A183="",$I183=0),"",$D183/$I183)</f>
        <v/>
      </c>
      <c r="K183" s="19">
        <f>IF(OR($A183="",$I183=0),"",$F183/$I183)</f>
        <v/>
      </c>
      <c r="L183" s="19">
        <f>IF($A183="","",$D183)</f>
        <v/>
      </c>
      <c r="M183" s="19">
        <f>IF($A183="","",MAX(0,MIN(100,gup_kaliteTaban-IF($J183&lt;gup_esikPr,gup_kaliteCeza,0)-IF($F183&gt;gup_esikKayipKwh,gup_kaliteSapma,0)-IF($P183="YETIM",gup_kaliteCeza,0))))</f>
        <v/>
      </c>
      <c r="N183" s="19">
        <f>IF($A183="","",IF(OR($J183&lt;gup_esikPr,$F183&gt;gup_esikKayipKwh,$M183&lt;gup_esikSaglik),"ALARM","UYGUN"))</f>
        <v/>
      </c>
      <c r="O183" s="19">
        <f>IF($A183="","",1)</f>
        <v/>
      </c>
      <c r="P183" s="19">
        <f>IF($A183="","",IF(OR($B183="",COUNTIF(tblVarliklar[VarlikId],$B183)=0),"YETIM","TAMAM"))</f>
        <v/>
      </c>
    </row>
    <row r="184">
      <c r="A184" s="15" t="n"/>
      <c r="B184" s="15" t="n"/>
      <c r="C184" s="62" t="n"/>
      <c r="D184" s="16" t="n"/>
      <c r="E184" s="21" t="n"/>
      <c r="F184" s="16" t="n"/>
      <c r="G184" s="15" t="n"/>
      <c r="H184" s="19">
        <f>IF($A184="","",IFERROR(SUMIF(tblVarliklar[VarlikId],$B184,tblVarliklar[KapasiteKwp_kwp]),gup_varsayilanKapasite))</f>
        <v/>
      </c>
      <c r="I184" s="19">
        <f>IF($A184="","",$E184*$H184)</f>
        <v/>
      </c>
      <c r="J184" s="19">
        <f>IF(OR($A184="",$I184=0),"",$D184/$I184)</f>
        <v/>
      </c>
      <c r="K184" s="19">
        <f>IF(OR($A184="",$I184=0),"",$F184/$I184)</f>
        <v/>
      </c>
      <c r="L184" s="19">
        <f>IF($A184="","",$D184)</f>
        <v/>
      </c>
      <c r="M184" s="19">
        <f>IF($A184="","",MAX(0,MIN(100,gup_kaliteTaban-IF($J184&lt;gup_esikPr,gup_kaliteCeza,0)-IF($F184&gt;gup_esikKayipKwh,gup_kaliteSapma,0)-IF($P184="YETIM",gup_kaliteCeza,0))))</f>
        <v/>
      </c>
      <c r="N184" s="19">
        <f>IF($A184="","",IF(OR($J184&lt;gup_esikPr,$F184&gt;gup_esikKayipKwh,$M184&lt;gup_esikSaglik),"ALARM","UYGUN"))</f>
        <v/>
      </c>
      <c r="O184" s="19">
        <f>IF($A184="","",1)</f>
        <v/>
      </c>
      <c r="P184" s="19">
        <f>IF($A184="","",IF(OR($B184="",COUNTIF(tblVarliklar[VarlikId],$B184)=0),"YETIM","TAMAM"))</f>
        <v/>
      </c>
    </row>
    <row r="185">
      <c r="A185" s="15" t="n"/>
      <c r="B185" s="15" t="n"/>
      <c r="C185" s="62" t="n"/>
      <c r="D185" s="16" t="n"/>
      <c r="E185" s="21" t="n"/>
      <c r="F185" s="16" t="n"/>
      <c r="G185" s="15" t="n"/>
      <c r="H185" s="19">
        <f>IF($A185="","",IFERROR(SUMIF(tblVarliklar[VarlikId],$B185,tblVarliklar[KapasiteKwp_kwp]),gup_varsayilanKapasite))</f>
        <v/>
      </c>
      <c r="I185" s="19">
        <f>IF($A185="","",$E185*$H185)</f>
        <v/>
      </c>
      <c r="J185" s="19">
        <f>IF(OR($A185="",$I185=0),"",$D185/$I185)</f>
        <v/>
      </c>
      <c r="K185" s="19">
        <f>IF(OR($A185="",$I185=0),"",$F185/$I185)</f>
        <v/>
      </c>
      <c r="L185" s="19">
        <f>IF($A185="","",$D185)</f>
        <v/>
      </c>
      <c r="M185" s="19">
        <f>IF($A185="","",MAX(0,MIN(100,gup_kaliteTaban-IF($J185&lt;gup_esikPr,gup_kaliteCeza,0)-IF($F185&gt;gup_esikKayipKwh,gup_kaliteSapma,0)-IF($P185="YETIM",gup_kaliteCeza,0))))</f>
        <v/>
      </c>
      <c r="N185" s="19">
        <f>IF($A185="","",IF(OR($J185&lt;gup_esikPr,$F185&gt;gup_esikKayipKwh,$M185&lt;gup_esikSaglik),"ALARM","UYGUN"))</f>
        <v/>
      </c>
      <c r="O185" s="19">
        <f>IF($A185="","",1)</f>
        <v/>
      </c>
      <c r="P185" s="19">
        <f>IF($A185="","",IF(OR($B185="",COUNTIF(tblVarliklar[VarlikId],$B185)=0),"YETIM","TAMAM"))</f>
        <v/>
      </c>
    </row>
    <row r="186">
      <c r="A186" s="15" t="n"/>
      <c r="B186" s="15" t="n"/>
      <c r="C186" s="62" t="n"/>
      <c r="D186" s="16" t="n"/>
      <c r="E186" s="21" t="n"/>
      <c r="F186" s="16" t="n"/>
      <c r="G186" s="15" t="n"/>
      <c r="H186" s="19">
        <f>IF($A186="","",IFERROR(SUMIF(tblVarliklar[VarlikId],$B186,tblVarliklar[KapasiteKwp_kwp]),gup_varsayilanKapasite))</f>
        <v/>
      </c>
      <c r="I186" s="19">
        <f>IF($A186="","",$E186*$H186)</f>
        <v/>
      </c>
      <c r="J186" s="19">
        <f>IF(OR($A186="",$I186=0),"",$D186/$I186)</f>
        <v/>
      </c>
      <c r="K186" s="19">
        <f>IF(OR($A186="",$I186=0),"",$F186/$I186)</f>
        <v/>
      </c>
      <c r="L186" s="19">
        <f>IF($A186="","",$D186)</f>
        <v/>
      </c>
      <c r="M186" s="19">
        <f>IF($A186="","",MAX(0,MIN(100,gup_kaliteTaban-IF($J186&lt;gup_esikPr,gup_kaliteCeza,0)-IF($F186&gt;gup_esikKayipKwh,gup_kaliteSapma,0)-IF($P186="YETIM",gup_kaliteCeza,0))))</f>
        <v/>
      </c>
      <c r="N186" s="19">
        <f>IF($A186="","",IF(OR($J186&lt;gup_esikPr,$F186&gt;gup_esikKayipKwh,$M186&lt;gup_esikSaglik),"ALARM","UYGUN"))</f>
        <v/>
      </c>
      <c r="O186" s="19">
        <f>IF($A186="","",1)</f>
        <v/>
      </c>
      <c r="P186" s="19">
        <f>IF($A186="","",IF(OR($B186="",COUNTIF(tblVarliklar[VarlikId],$B186)=0),"YETIM","TAMAM"))</f>
        <v/>
      </c>
    </row>
    <row r="187">
      <c r="A187" s="15" t="n"/>
      <c r="B187" s="15" t="n"/>
      <c r="C187" s="62" t="n"/>
      <c r="D187" s="16" t="n"/>
      <c r="E187" s="21" t="n"/>
      <c r="F187" s="16" t="n"/>
      <c r="G187" s="15" t="n"/>
      <c r="H187" s="19">
        <f>IF($A187="","",IFERROR(SUMIF(tblVarliklar[VarlikId],$B187,tblVarliklar[KapasiteKwp_kwp]),gup_varsayilanKapasite))</f>
        <v/>
      </c>
      <c r="I187" s="19">
        <f>IF($A187="","",$E187*$H187)</f>
        <v/>
      </c>
      <c r="J187" s="19">
        <f>IF(OR($A187="",$I187=0),"",$D187/$I187)</f>
        <v/>
      </c>
      <c r="K187" s="19">
        <f>IF(OR($A187="",$I187=0),"",$F187/$I187)</f>
        <v/>
      </c>
      <c r="L187" s="19">
        <f>IF($A187="","",$D187)</f>
        <v/>
      </c>
      <c r="M187" s="19">
        <f>IF($A187="","",MAX(0,MIN(100,gup_kaliteTaban-IF($J187&lt;gup_esikPr,gup_kaliteCeza,0)-IF($F187&gt;gup_esikKayipKwh,gup_kaliteSapma,0)-IF($P187="YETIM",gup_kaliteCeza,0))))</f>
        <v/>
      </c>
      <c r="N187" s="19">
        <f>IF($A187="","",IF(OR($J187&lt;gup_esikPr,$F187&gt;gup_esikKayipKwh,$M187&lt;gup_esikSaglik),"ALARM","UYGUN"))</f>
        <v/>
      </c>
      <c r="O187" s="19">
        <f>IF($A187="","",1)</f>
        <v/>
      </c>
      <c r="P187" s="19">
        <f>IF($A187="","",IF(OR($B187="",COUNTIF(tblVarliklar[VarlikId],$B187)=0),"YETIM","TAMAM"))</f>
        <v/>
      </c>
    </row>
    <row r="188">
      <c r="A188" s="15" t="n"/>
      <c r="B188" s="15" t="n"/>
      <c r="C188" s="62" t="n"/>
      <c r="D188" s="16" t="n"/>
      <c r="E188" s="21" t="n"/>
      <c r="F188" s="16" t="n"/>
      <c r="G188" s="15" t="n"/>
      <c r="H188" s="19">
        <f>IF($A188="","",IFERROR(SUMIF(tblVarliklar[VarlikId],$B188,tblVarliklar[KapasiteKwp_kwp]),gup_varsayilanKapasite))</f>
        <v/>
      </c>
      <c r="I188" s="19">
        <f>IF($A188="","",$E188*$H188)</f>
        <v/>
      </c>
      <c r="J188" s="19">
        <f>IF(OR($A188="",$I188=0),"",$D188/$I188)</f>
        <v/>
      </c>
      <c r="K188" s="19">
        <f>IF(OR($A188="",$I188=0),"",$F188/$I188)</f>
        <v/>
      </c>
      <c r="L188" s="19">
        <f>IF($A188="","",$D188)</f>
        <v/>
      </c>
      <c r="M188" s="19">
        <f>IF($A188="","",MAX(0,MIN(100,gup_kaliteTaban-IF($J188&lt;gup_esikPr,gup_kaliteCeza,0)-IF($F188&gt;gup_esikKayipKwh,gup_kaliteSapma,0)-IF($P188="YETIM",gup_kaliteCeza,0))))</f>
        <v/>
      </c>
      <c r="N188" s="19">
        <f>IF($A188="","",IF(OR($J188&lt;gup_esikPr,$F188&gt;gup_esikKayipKwh,$M188&lt;gup_esikSaglik),"ALARM","UYGUN"))</f>
        <v/>
      </c>
      <c r="O188" s="19">
        <f>IF($A188="","",1)</f>
        <v/>
      </c>
      <c r="P188" s="19">
        <f>IF($A188="","",IF(OR($B188="",COUNTIF(tblVarliklar[VarlikId],$B188)=0),"YETIM","TAMAM"))</f>
        <v/>
      </c>
    </row>
    <row r="189">
      <c r="A189" s="15" t="n"/>
      <c r="B189" s="15" t="n"/>
      <c r="C189" s="62" t="n"/>
      <c r="D189" s="16" t="n"/>
      <c r="E189" s="21" t="n"/>
      <c r="F189" s="16" t="n"/>
      <c r="G189" s="15" t="n"/>
      <c r="H189" s="19">
        <f>IF($A189="","",IFERROR(SUMIF(tblVarliklar[VarlikId],$B189,tblVarliklar[KapasiteKwp_kwp]),gup_varsayilanKapasite))</f>
        <v/>
      </c>
      <c r="I189" s="19">
        <f>IF($A189="","",$E189*$H189)</f>
        <v/>
      </c>
      <c r="J189" s="19">
        <f>IF(OR($A189="",$I189=0),"",$D189/$I189)</f>
        <v/>
      </c>
      <c r="K189" s="19">
        <f>IF(OR($A189="",$I189=0),"",$F189/$I189)</f>
        <v/>
      </c>
      <c r="L189" s="19">
        <f>IF($A189="","",$D189)</f>
        <v/>
      </c>
      <c r="M189" s="19">
        <f>IF($A189="","",MAX(0,MIN(100,gup_kaliteTaban-IF($J189&lt;gup_esikPr,gup_kaliteCeza,0)-IF($F189&gt;gup_esikKayipKwh,gup_kaliteSapma,0)-IF($P189="YETIM",gup_kaliteCeza,0))))</f>
        <v/>
      </c>
      <c r="N189" s="19">
        <f>IF($A189="","",IF(OR($J189&lt;gup_esikPr,$F189&gt;gup_esikKayipKwh,$M189&lt;gup_esikSaglik),"ALARM","UYGUN"))</f>
        <v/>
      </c>
      <c r="O189" s="19">
        <f>IF($A189="","",1)</f>
        <v/>
      </c>
      <c r="P189" s="19">
        <f>IF($A189="","",IF(OR($B189="",COUNTIF(tblVarliklar[VarlikId],$B189)=0),"YETIM","TAMAM"))</f>
        <v/>
      </c>
    </row>
    <row r="190">
      <c r="A190" s="15" t="n"/>
      <c r="B190" s="15" t="n"/>
      <c r="C190" s="62" t="n"/>
      <c r="D190" s="16" t="n"/>
      <c r="E190" s="21" t="n"/>
      <c r="F190" s="16" t="n"/>
      <c r="G190" s="15" t="n"/>
      <c r="H190" s="19">
        <f>IF($A190="","",IFERROR(SUMIF(tblVarliklar[VarlikId],$B190,tblVarliklar[KapasiteKwp_kwp]),gup_varsayilanKapasite))</f>
        <v/>
      </c>
      <c r="I190" s="19">
        <f>IF($A190="","",$E190*$H190)</f>
        <v/>
      </c>
      <c r="J190" s="19">
        <f>IF(OR($A190="",$I190=0),"",$D190/$I190)</f>
        <v/>
      </c>
      <c r="K190" s="19">
        <f>IF(OR($A190="",$I190=0),"",$F190/$I190)</f>
        <v/>
      </c>
      <c r="L190" s="19">
        <f>IF($A190="","",$D190)</f>
        <v/>
      </c>
      <c r="M190" s="19">
        <f>IF($A190="","",MAX(0,MIN(100,gup_kaliteTaban-IF($J190&lt;gup_esikPr,gup_kaliteCeza,0)-IF($F190&gt;gup_esikKayipKwh,gup_kaliteSapma,0)-IF($P190="YETIM",gup_kaliteCeza,0))))</f>
        <v/>
      </c>
      <c r="N190" s="19">
        <f>IF($A190="","",IF(OR($J190&lt;gup_esikPr,$F190&gt;gup_esikKayipKwh,$M190&lt;gup_esikSaglik),"ALARM","UYGUN"))</f>
        <v/>
      </c>
      <c r="O190" s="19">
        <f>IF($A190="","",1)</f>
        <v/>
      </c>
      <c r="P190" s="19">
        <f>IF($A190="","",IF(OR($B190="",COUNTIF(tblVarliklar[VarlikId],$B190)=0),"YETIM","TAMAM"))</f>
        <v/>
      </c>
    </row>
    <row r="191">
      <c r="A191" s="15" t="n"/>
      <c r="B191" s="15" t="n"/>
      <c r="C191" s="62" t="n"/>
      <c r="D191" s="16" t="n"/>
      <c r="E191" s="21" t="n"/>
      <c r="F191" s="16" t="n"/>
      <c r="G191" s="15" t="n"/>
      <c r="H191" s="19">
        <f>IF($A191="","",IFERROR(SUMIF(tblVarliklar[VarlikId],$B191,tblVarliklar[KapasiteKwp_kwp]),gup_varsayilanKapasite))</f>
        <v/>
      </c>
      <c r="I191" s="19">
        <f>IF($A191="","",$E191*$H191)</f>
        <v/>
      </c>
      <c r="J191" s="19">
        <f>IF(OR($A191="",$I191=0),"",$D191/$I191)</f>
        <v/>
      </c>
      <c r="K191" s="19">
        <f>IF(OR($A191="",$I191=0),"",$F191/$I191)</f>
        <v/>
      </c>
      <c r="L191" s="19">
        <f>IF($A191="","",$D191)</f>
        <v/>
      </c>
      <c r="M191" s="19">
        <f>IF($A191="","",MAX(0,MIN(100,gup_kaliteTaban-IF($J191&lt;gup_esikPr,gup_kaliteCeza,0)-IF($F191&gt;gup_esikKayipKwh,gup_kaliteSapma,0)-IF($P191="YETIM",gup_kaliteCeza,0))))</f>
        <v/>
      </c>
      <c r="N191" s="19">
        <f>IF($A191="","",IF(OR($J191&lt;gup_esikPr,$F191&gt;gup_esikKayipKwh,$M191&lt;gup_esikSaglik),"ALARM","UYGUN"))</f>
        <v/>
      </c>
      <c r="O191" s="19">
        <f>IF($A191="","",1)</f>
        <v/>
      </c>
      <c r="P191" s="19">
        <f>IF($A191="","",IF(OR($B191="",COUNTIF(tblVarliklar[VarlikId],$B191)=0),"YETIM","TAMAM"))</f>
        <v/>
      </c>
    </row>
    <row r="192">
      <c r="A192" s="15" t="n"/>
      <c r="B192" s="15" t="n"/>
      <c r="C192" s="62" t="n"/>
      <c r="D192" s="16" t="n"/>
      <c r="E192" s="21" t="n"/>
      <c r="F192" s="16" t="n"/>
      <c r="G192" s="15" t="n"/>
      <c r="H192" s="19">
        <f>IF($A192="","",IFERROR(SUMIF(tblVarliklar[VarlikId],$B192,tblVarliklar[KapasiteKwp_kwp]),gup_varsayilanKapasite))</f>
        <v/>
      </c>
      <c r="I192" s="19">
        <f>IF($A192="","",$E192*$H192)</f>
        <v/>
      </c>
      <c r="J192" s="19">
        <f>IF(OR($A192="",$I192=0),"",$D192/$I192)</f>
        <v/>
      </c>
      <c r="K192" s="19">
        <f>IF(OR($A192="",$I192=0),"",$F192/$I192)</f>
        <v/>
      </c>
      <c r="L192" s="19">
        <f>IF($A192="","",$D192)</f>
        <v/>
      </c>
      <c r="M192" s="19">
        <f>IF($A192="","",MAX(0,MIN(100,gup_kaliteTaban-IF($J192&lt;gup_esikPr,gup_kaliteCeza,0)-IF($F192&gt;gup_esikKayipKwh,gup_kaliteSapma,0)-IF($P192="YETIM",gup_kaliteCeza,0))))</f>
        <v/>
      </c>
      <c r="N192" s="19">
        <f>IF($A192="","",IF(OR($J192&lt;gup_esikPr,$F192&gt;gup_esikKayipKwh,$M192&lt;gup_esikSaglik),"ALARM","UYGUN"))</f>
        <v/>
      </c>
      <c r="O192" s="19">
        <f>IF($A192="","",1)</f>
        <v/>
      </c>
      <c r="P192" s="19">
        <f>IF($A192="","",IF(OR($B192="",COUNTIF(tblVarliklar[VarlikId],$B192)=0),"YETIM","TAMAM"))</f>
        <v/>
      </c>
    </row>
    <row r="193">
      <c r="A193" s="15" t="n"/>
      <c r="B193" s="15" t="n"/>
      <c r="C193" s="62" t="n"/>
      <c r="D193" s="16" t="n"/>
      <c r="E193" s="21" t="n"/>
      <c r="F193" s="16" t="n"/>
      <c r="G193" s="15" t="n"/>
      <c r="H193" s="19">
        <f>IF($A193="","",IFERROR(SUMIF(tblVarliklar[VarlikId],$B193,tblVarliklar[KapasiteKwp_kwp]),gup_varsayilanKapasite))</f>
        <v/>
      </c>
      <c r="I193" s="19">
        <f>IF($A193="","",$E193*$H193)</f>
        <v/>
      </c>
      <c r="J193" s="19">
        <f>IF(OR($A193="",$I193=0),"",$D193/$I193)</f>
        <v/>
      </c>
      <c r="K193" s="19">
        <f>IF(OR($A193="",$I193=0),"",$F193/$I193)</f>
        <v/>
      </c>
      <c r="L193" s="19">
        <f>IF($A193="","",$D193)</f>
        <v/>
      </c>
      <c r="M193" s="19">
        <f>IF($A193="","",MAX(0,MIN(100,gup_kaliteTaban-IF($J193&lt;gup_esikPr,gup_kaliteCeza,0)-IF($F193&gt;gup_esikKayipKwh,gup_kaliteSapma,0)-IF($P193="YETIM",gup_kaliteCeza,0))))</f>
        <v/>
      </c>
      <c r="N193" s="19">
        <f>IF($A193="","",IF(OR($J193&lt;gup_esikPr,$F193&gt;gup_esikKayipKwh,$M193&lt;gup_esikSaglik),"ALARM","UYGUN"))</f>
        <v/>
      </c>
      <c r="O193" s="19">
        <f>IF($A193="","",1)</f>
        <v/>
      </c>
      <c r="P193" s="19">
        <f>IF($A193="","",IF(OR($B193="",COUNTIF(tblVarliklar[VarlikId],$B193)=0),"YETIM","TAMAM"))</f>
        <v/>
      </c>
    </row>
    <row r="194">
      <c r="A194" s="15" t="n"/>
      <c r="B194" s="15" t="n"/>
      <c r="C194" s="62" t="n"/>
      <c r="D194" s="16" t="n"/>
      <c r="E194" s="21" t="n"/>
      <c r="F194" s="16" t="n"/>
      <c r="G194" s="15" t="n"/>
      <c r="H194" s="19">
        <f>IF($A194="","",IFERROR(SUMIF(tblVarliklar[VarlikId],$B194,tblVarliklar[KapasiteKwp_kwp]),gup_varsayilanKapasite))</f>
        <v/>
      </c>
      <c r="I194" s="19">
        <f>IF($A194="","",$E194*$H194)</f>
        <v/>
      </c>
      <c r="J194" s="19">
        <f>IF(OR($A194="",$I194=0),"",$D194/$I194)</f>
        <v/>
      </c>
      <c r="K194" s="19">
        <f>IF(OR($A194="",$I194=0),"",$F194/$I194)</f>
        <v/>
      </c>
      <c r="L194" s="19">
        <f>IF($A194="","",$D194)</f>
        <v/>
      </c>
      <c r="M194" s="19">
        <f>IF($A194="","",MAX(0,MIN(100,gup_kaliteTaban-IF($J194&lt;gup_esikPr,gup_kaliteCeza,0)-IF($F194&gt;gup_esikKayipKwh,gup_kaliteSapma,0)-IF($P194="YETIM",gup_kaliteCeza,0))))</f>
        <v/>
      </c>
      <c r="N194" s="19">
        <f>IF($A194="","",IF(OR($J194&lt;gup_esikPr,$F194&gt;gup_esikKayipKwh,$M194&lt;gup_esikSaglik),"ALARM","UYGUN"))</f>
        <v/>
      </c>
      <c r="O194" s="19">
        <f>IF($A194="","",1)</f>
        <v/>
      </c>
      <c r="P194" s="19">
        <f>IF($A194="","",IF(OR($B194="",COUNTIF(tblVarliklar[VarlikId],$B194)=0),"YETIM","TAMAM"))</f>
        <v/>
      </c>
    </row>
    <row r="195">
      <c r="A195" s="15" t="n"/>
      <c r="B195" s="15" t="n"/>
      <c r="C195" s="62" t="n"/>
      <c r="D195" s="16" t="n"/>
      <c r="E195" s="21" t="n"/>
      <c r="F195" s="16" t="n"/>
      <c r="G195" s="15" t="n"/>
      <c r="H195" s="19">
        <f>IF($A195="","",IFERROR(SUMIF(tblVarliklar[VarlikId],$B195,tblVarliklar[KapasiteKwp_kwp]),gup_varsayilanKapasite))</f>
        <v/>
      </c>
      <c r="I195" s="19">
        <f>IF($A195="","",$E195*$H195)</f>
        <v/>
      </c>
      <c r="J195" s="19">
        <f>IF(OR($A195="",$I195=0),"",$D195/$I195)</f>
        <v/>
      </c>
      <c r="K195" s="19">
        <f>IF(OR($A195="",$I195=0),"",$F195/$I195)</f>
        <v/>
      </c>
      <c r="L195" s="19">
        <f>IF($A195="","",$D195)</f>
        <v/>
      </c>
      <c r="M195" s="19">
        <f>IF($A195="","",MAX(0,MIN(100,gup_kaliteTaban-IF($J195&lt;gup_esikPr,gup_kaliteCeza,0)-IF($F195&gt;gup_esikKayipKwh,gup_kaliteSapma,0)-IF($P195="YETIM",gup_kaliteCeza,0))))</f>
        <v/>
      </c>
      <c r="N195" s="19">
        <f>IF($A195="","",IF(OR($J195&lt;gup_esikPr,$F195&gt;gup_esikKayipKwh,$M195&lt;gup_esikSaglik),"ALARM","UYGUN"))</f>
        <v/>
      </c>
      <c r="O195" s="19">
        <f>IF($A195="","",1)</f>
        <v/>
      </c>
      <c r="P195" s="19">
        <f>IF($A195="","",IF(OR($B195="",COUNTIF(tblVarliklar[VarlikId],$B195)=0),"YETIM","TAMAM"))</f>
        <v/>
      </c>
    </row>
    <row r="196">
      <c r="A196" s="15" t="n"/>
      <c r="B196" s="15" t="n"/>
      <c r="C196" s="62" t="n"/>
      <c r="D196" s="16" t="n"/>
      <c r="E196" s="21" t="n"/>
      <c r="F196" s="16" t="n"/>
      <c r="G196" s="15" t="n"/>
      <c r="H196" s="19">
        <f>IF($A196="","",IFERROR(SUMIF(tblVarliklar[VarlikId],$B196,tblVarliklar[KapasiteKwp_kwp]),gup_varsayilanKapasite))</f>
        <v/>
      </c>
      <c r="I196" s="19">
        <f>IF($A196="","",$E196*$H196)</f>
        <v/>
      </c>
      <c r="J196" s="19">
        <f>IF(OR($A196="",$I196=0),"",$D196/$I196)</f>
        <v/>
      </c>
      <c r="K196" s="19">
        <f>IF(OR($A196="",$I196=0),"",$F196/$I196)</f>
        <v/>
      </c>
      <c r="L196" s="19">
        <f>IF($A196="","",$D196)</f>
        <v/>
      </c>
      <c r="M196" s="19">
        <f>IF($A196="","",MAX(0,MIN(100,gup_kaliteTaban-IF($J196&lt;gup_esikPr,gup_kaliteCeza,0)-IF($F196&gt;gup_esikKayipKwh,gup_kaliteSapma,0)-IF($P196="YETIM",gup_kaliteCeza,0))))</f>
        <v/>
      </c>
      <c r="N196" s="19">
        <f>IF($A196="","",IF(OR($J196&lt;gup_esikPr,$F196&gt;gup_esikKayipKwh,$M196&lt;gup_esikSaglik),"ALARM","UYGUN"))</f>
        <v/>
      </c>
      <c r="O196" s="19">
        <f>IF($A196="","",1)</f>
        <v/>
      </c>
      <c r="P196" s="19">
        <f>IF($A196="","",IF(OR($B196="",COUNTIF(tblVarliklar[VarlikId],$B196)=0),"YETIM","TAMAM"))</f>
        <v/>
      </c>
    </row>
    <row r="197">
      <c r="A197" s="15" t="n"/>
      <c r="B197" s="15" t="n"/>
      <c r="C197" s="62" t="n"/>
      <c r="D197" s="16" t="n"/>
      <c r="E197" s="21" t="n"/>
      <c r="F197" s="16" t="n"/>
      <c r="G197" s="15" t="n"/>
      <c r="H197" s="19">
        <f>IF($A197="","",IFERROR(SUMIF(tblVarliklar[VarlikId],$B197,tblVarliklar[KapasiteKwp_kwp]),gup_varsayilanKapasite))</f>
        <v/>
      </c>
      <c r="I197" s="19">
        <f>IF($A197="","",$E197*$H197)</f>
        <v/>
      </c>
      <c r="J197" s="19">
        <f>IF(OR($A197="",$I197=0),"",$D197/$I197)</f>
        <v/>
      </c>
      <c r="K197" s="19">
        <f>IF(OR($A197="",$I197=0),"",$F197/$I197)</f>
        <v/>
      </c>
      <c r="L197" s="19">
        <f>IF($A197="","",$D197)</f>
        <v/>
      </c>
      <c r="M197" s="19">
        <f>IF($A197="","",MAX(0,MIN(100,gup_kaliteTaban-IF($J197&lt;gup_esikPr,gup_kaliteCeza,0)-IF($F197&gt;gup_esikKayipKwh,gup_kaliteSapma,0)-IF($P197="YETIM",gup_kaliteCeza,0))))</f>
        <v/>
      </c>
      <c r="N197" s="19">
        <f>IF($A197="","",IF(OR($J197&lt;gup_esikPr,$F197&gt;gup_esikKayipKwh,$M197&lt;gup_esikSaglik),"ALARM","UYGUN"))</f>
        <v/>
      </c>
      <c r="O197" s="19">
        <f>IF($A197="","",1)</f>
        <v/>
      </c>
      <c r="P197" s="19">
        <f>IF($A197="","",IF(OR($B197="",COUNTIF(tblVarliklar[VarlikId],$B197)=0),"YETIM","TAMAM"))</f>
        <v/>
      </c>
    </row>
    <row r="198">
      <c r="A198" s="15" t="n"/>
      <c r="B198" s="15" t="n"/>
      <c r="C198" s="62" t="n"/>
      <c r="D198" s="16" t="n"/>
      <c r="E198" s="21" t="n"/>
      <c r="F198" s="16" t="n"/>
      <c r="G198" s="15" t="n"/>
      <c r="H198" s="19">
        <f>IF($A198="","",IFERROR(SUMIF(tblVarliklar[VarlikId],$B198,tblVarliklar[KapasiteKwp_kwp]),gup_varsayilanKapasite))</f>
        <v/>
      </c>
      <c r="I198" s="19">
        <f>IF($A198="","",$E198*$H198)</f>
        <v/>
      </c>
      <c r="J198" s="19">
        <f>IF(OR($A198="",$I198=0),"",$D198/$I198)</f>
        <v/>
      </c>
      <c r="K198" s="19">
        <f>IF(OR($A198="",$I198=0),"",$F198/$I198)</f>
        <v/>
      </c>
      <c r="L198" s="19">
        <f>IF($A198="","",$D198)</f>
        <v/>
      </c>
      <c r="M198" s="19">
        <f>IF($A198="","",MAX(0,MIN(100,gup_kaliteTaban-IF($J198&lt;gup_esikPr,gup_kaliteCeza,0)-IF($F198&gt;gup_esikKayipKwh,gup_kaliteSapma,0)-IF($P198="YETIM",gup_kaliteCeza,0))))</f>
        <v/>
      </c>
      <c r="N198" s="19">
        <f>IF($A198="","",IF(OR($J198&lt;gup_esikPr,$F198&gt;gup_esikKayipKwh,$M198&lt;gup_esikSaglik),"ALARM","UYGUN"))</f>
        <v/>
      </c>
      <c r="O198" s="19">
        <f>IF($A198="","",1)</f>
        <v/>
      </c>
      <c r="P198" s="19">
        <f>IF($A198="","",IF(OR($B198="",COUNTIF(tblVarliklar[VarlikId],$B198)=0),"YETIM","TAMAM"))</f>
        <v/>
      </c>
    </row>
    <row r="199">
      <c r="A199" s="15" t="n"/>
      <c r="B199" s="15" t="n"/>
      <c r="C199" s="62" t="n"/>
      <c r="D199" s="16" t="n"/>
      <c r="E199" s="21" t="n"/>
      <c r="F199" s="16" t="n"/>
      <c r="G199" s="15" t="n"/>
      <c r="H199" s="19">
        <f>IF($A199="","",IFERROR(SUMIF(tblVarliklar[VarlikId],$B199,tblVarliklar[KapasiteKwp_kwp]),gup_varsayilanKapasite))</f>
        <v/>
      </c>
      <c r="I199" s="19">
        <f>IF($A199="","",$E199*$H199)</f>
        <v/>
      </c>
      <c r="J199" s="19">
        <f>IF(OR($A199="",$I199=0),"",$D199/$I199)</f>
        <v/>
      </c>
      <c r="K199" s="19">
        <f>IF(OR($A199="",$I199=0),"",$F199/$I199)</f>
        <v/>
      </c>
      <c r="L199" s="19">
        <f>IF($A199="","",$D199)</f>
        <v/>
      </c>
      <c r="M199" s="19">
        <f>IF($A199="","",MAX(0,MIN(100,gup_kaliteTaban-IF($J199&lt;gup_esikPr,gup_kaliteCeza,0)-IF($F199&gt;gup_esikKayipKwh,gup_kaliteSapma,0)-IF($P199="YETIM",gup_kaliteCeza,0))))</f>
        <v/>
      </c>
      <c r="N199" s="19">
        <f>IF($A199="","",IF(OR($J199&lt;gup_esikPr,$F199&gt;gup_esikKayipKwh,$M199&lt;gup_esikSaglik),"ALARM","UYGUN"))</f>
        <v/>
      </c>
      <c r="O199" s="19">
        <f>IF($A199="","",1)</f>
        <v/>
      </c>
      <c r="P199" s="19">
        <f>IF($A199="","",IF(OR($B199="",COUNTIF(tblVarliklar[VarlikId],$B199)=0),"YETIM","TAMAM"))</f>
        <v/>
      </c>
    </row>
    <row r="200">
      <c r="A200" s="15" t="n"/>
      <c r="B200" s="15" t="n"/>
      <c r="C200" s="62" t="n"/>
      <c r="D200" s="16" t="n"/>
      <c r="E200" s="21" t="n"/>
      <c r="F200" s="16" t="n"/>
      <c r="G200" s="15" t="n"/>
      <c r="H200" s="19">
        <f>IF($A200="","",IFERROR(SUMIF(tblVarliklar[VarlikId],$B200,tblVarliklar[KapasiteKwp_kwp]),gup_varsayilanKapasite))</f>
        <v/>
      </c>
      <c r="I200" s="19">
        <f>IF($A200="","",$E200*$H200)</f>
        <v/>
      </c>
      <c r="J200" s="19">
        <f>IF(OR($A200="",$I200=0),"",$D200/$I200)</f>
        <v/>
      </c>
      <c r="K200" s="19">
        <f>IF(OR($A200="",$I200=0),"",$F200/$I200)</f>
        <v/>
      </c>
      <c r="L200" s="19">
        <f>IF($A200="","",$D200)</f>
        <v/>
      </c>
      <c r="M200" s="19">
        <f>IF($A200="","",MAX(0,MIN(100,gup_kaliteTaban-IF($J200&lt;gup_esikPr,gup_kaliteCeza,0)-IF($F200&gt;gup_esikKayipKwh,gup_kaliteSapma,0)-IF($P200="YETIM",gup_kaliteCeza,0))))</f>
        <v/>
      </c>
      <c r="N200" s="19">
        <f>IF($A200="","",IF(OR($J200&lt;gup_esikPr,$F200&gt;gup_esikKayipKwh,$M200&lt;gup_esikSaglik),"ALARM","UYGUN"))</f>
        <v/>
      </c>
      <c r="O200" s="19">
        <f>IF($A200="","",1)</f>
        <v/>
      </c>
      <c r="P200" s="19">
        <f>IF($A200="","",IF(OR($B200="",COUNTIF(tblVarliklar[VarlikId],$B200)=0),"YETIM","TAMAM"))</f>
        <v/>
      </c>
    </row>
    <row r="201">
      <c r="A201" s="15" t="n"/>
      <c r="B201" s="15" t="n"/>
      <c r="C201" s="62" t="n"/>
      <c r="D201" s="16" t="n"/>
      <c r="E201" s="21" t="n"/>
      <c r="F201" s="16" t="n"/>
      <c r="G201" s="15" t="n"/>
      <c r="H201" s="19">
        <f>IF($A201="","",IFERROR(SUMIF(tblVarliklar[VarlikId],$B201,tblVarliklar[KapasiteKwp_kwp]),gup_varsayilanKapasite))</f>
        <v/>
      </c>
      <c r="I201" s="19">
        <f>IF($A201="","",$E201*$H201)</f>
        <v/>
      </c>
      <c r="J201" s="19">
        <f>IF(OR($A201="",$I201=0),"",$D201/$I201)</f>
        <v/>
      </c>
      <c r="K201" s="19">
        <f>IF(OR($A201="",$I201=0),"",$F201/$I201)</f>
        <v/>
      </c>
      <c r="L201" s="19">
        <f>IF($A201="","",$D201)</f>
        <v/>
      </c>
      <c r="M201" s="19">
        <f>IF($A201="","",MAX(0,MIN(100,gup_kaliteTaban-IF($J201&lt;gup_esikPr,gup_kaliteCeza,0)-IF($F201&gt;gup_esikKayipKwh,gup_kaliteSapma,0)-IF($P201="YETIM",gup_kaliteCeza,0))))</f>
        <v/>
      </c>
      <c r="N201" s="19">
        <f>IF($A201="","",IF(OR($J201&lt;gup_esikPr,$F201&gt;gup_esikKayipKwh,$M201&lt;gup_esikSaglik),"ALARM","UYGUN"))</f>
        <v/>
      </c>
      <c r="O201" s="19">
        <f>IF($A201="","",1)</f>
        <v/>
      </c>
      <c r="P201" s="19">
        <f>IF($A201="","",IF(OR($B201="",COUNTIF(tblVarliklar[VarlikId],$B201)=0),"YETIM","TAMAM"))</f>
        <v/>
      </c>
    </row>
    <row r="202">
      <c r="A202" s="15" t="n"/>
      <c r="B202" s="15" t="n"/>
      <c r="C202" s="62" t="n"/>
      <c r="D202" s="16" t="n"/>
      <c r="E202" s="21" t="n"/>
      <c r="F202" s="16" t="n"/>
      <c r="G202" s="15" t="n"/>
      <c r="H202" s="19">
        <f>IF($A202="","",IFERROR(SUMIF(tblVarliklar[VarlikId],$B202,tblVarliklar[KapasiteKwp_kwp]),gup_varsayilanKapasite))</f>
        <v/>
      </c>
      <c r="I202" s="19">
        <f>IF($A202="","",$E202*$H202)</f>
        <v/>
      </c>
      <c r="J202" s="19">
        <f>IF(OR($A202="",$I202=0),"",$D202/$I202)</f>
        <v/>
      </c>
      <c r="K202" s="19">
        <f>IF(OR($A202="",$I202=0),"",$F202/$I202)</f>
        <v/>
      </c>
      <c r="L202" s="19">
        <f>IF($A202="","",$D202)</f>
        <v/>
      </c>
      <c r="M202" s="19">
        <f>IF($A202="","",MAX(0,MIN(100,gup_kaliteTaban-IF($J202&lt;gup_esikPr,gup_kaliteCeza,0)-IF($F202&gt;gup_esikKayipKwh,gup_kaliteSapma,0)-IF($P202="YETIM",gup_kaliteCeza,0))))</f>
        <v/>
      </c>
      <c r="N202" s="19">
        <f>IF($A202="","",IF(OR($J202&lt;gup_esikPr,$F202&gt;gup_esikKayipKwh,$M202&lt;gup_esikSaglik),"ALARM","UYGUN"))</f>
        <v/>
      </c>
      <c r="O202" s="19">
        <f>IF($A202="","",1)</f>
        <v/>
      </c>
      <c r="P202" s="19">
        <f>IF($A202="","",IF(OR($B202="",COUNTIF(tblVarliklar[VarlikId],$B202)=0),"YETIM","TAMAM"))</f>
        <v/>
      </c>
    </row>
    <row r="203">
      <c r="A203" s="15" t="n"/>
      <c r="B203" s="15" t="n"/>
      <c r="C203" s="62" t="n"/>
      <c r="D203" s="16" t="n"/>
      <c r="E203" s="21" t="n"/>
      <c r="F203" s="16" t="n"/>
      <c r="G203" s="15" t="n"/>
      <c r="H203" s="19">
        <f>IF($A203="","",IFERROR(SUMIF(tblVarliklar[VarlikId],$B203,tblVarliklar[KapasiteKwp_kwp]),gup_varsayilanKapasite))</f>
        <v/>
      </c>
      <c r="I203" s="19">
        <f>IF($A203="","",$E203*$H203)</f>
        <v/>
      </c>
      <c r="J203" s="19">
        <f>IF(OR($A203="",$I203=0),"",$D203/$I203)</f>
        <v/>
      </c>
      <c r="K203" s="19">
        <f>IF(OR($A203="",$I203=0),"",$F203/$I203)</f>
        <v/>
      </c>
      <c r="L203" s="19">
        <f>IF($A203="","",$D203)</f>
        <v/>
      </c>
      <c r="M203" s="19">
        <f>IF($A203="","",MAX(0,MIN(100,gup_kaliteTaban-IF($J203&lt;gup_esikPr,gup_kaliteCeza,0)-IF($F203&gt;gup_esikKayipKwh,gup_kaliteSapma,0)-IF($P203="YETIM",gup_kaliteCeza,0))))</f>
        <v/>
      </c>
      <c r="N203" s="19">
        <f>IF($A203="","",IF(OR($J203&lt;gup_esikPr,$F203&gt;gup_esikKayipKwh,$M203&lt;gup_esikSaglik),"ALARM","UYGUN"))</f>
        <v/>
      </c>
      <c r="O203" s="19">
        <f>IF($A203="","",1)</f>
        <v/>
      </c>
      <c r="P203" s="19">
        <f>IF($A203="","",IF(OR($B203="",COUNTIF(tblVarliklar[VarlikId],$B203)=0),"YETIM","TAMAM"))</f>
        <v/>
      </c>
    </row>
    <row r="204">
      <c r="A204" s="15" t="n"/>
      <c r="B204" s="15" t="n"/>
      <c r="C204" s="62" t="n"/>
      <c r="D204" s="16" t="n"/>
      <c r="E204" s="21" t="n"/>
      <c r="F204" s="16" t="n"/>
      <c r="G204" s="15" t="n"/>
      <c r="H204" s="19">
        <f>IF($A204="","",IFERROR(SUMIF(tblVarliklar[VarlikId],$B204,tblVarliklar[KapasiteKwp_kwp]),gup_varsayilanKapasite))</f>
        <v/>
      </c>
      <c r="I204" s="19">
        <f>IF($A204="","",$E204*$H204)</f>
        <v/>
      </c>
      <c r="J204" s="19">
        <f>IF(OR($A204="",$I204=0),"",$D204/$I204)</f>
        <v/>
      </c>
      <c r="K204" s="19">
        <f>IF(OR($A204="",$I204=0),"",$F204/$I204)</f>
        <v/>
      </c>
      <c r="L204" s="19">
        <f>IF($A204="","",$D204)</f>
        <v/>
      </c>
      <c r="M204" s="19">
        <f>IF($A204="","",MAX(0,MIN(100,gup_kaliteTaban-IF($J204&lt;gup_esikPr,gup_kaliteCeza,0)-IF($F204&gt;gup_esikKayipKwh,gup_kaliteSapma,0)-IF($P204="YETIM",gup_kaliteCeza,0))))</f>
        <v/>
      </c>
      <c r="N204" s="19">
        <f>IF($A204="","",IF(OR($J204&lt;gup_esikPr,$F204&gt;gup_esikKayipKwh,$M204&lt;gup_esikSaglik),"ALARM","UYGUN"))</f>
        <v/>
      </c>
      <c r="O204" s="19">
        <f>IF($A204="","",1)</f>
        <v/>
      </c>
      <c r="P204" s="19">
        <f>IF($A204="","",IF(OR($B204="",COUNTIF(tblVarliklar[VarlikId],$B204)=0),"YETIM","TAMAM"))</f>
        <v/>
      </c>
    </row>
    <row r="205">
      <c r="A205" s="15" t="n"/>
      <c r="B205" s="15" t="n"/>
      <c r="C205" s="62" t="n"/>
      <c r="D205" s="16" t="n"/>
      <c r="E205" s="21" t="n"/>
      <c r="F205" s="16" t="n"/>
      <c r="G205" s="15" t="n"/>
      <c r="H205" s="19">
        <f>IF($A205="","",IFERROR(SUMIF(tblVarliklar[VarlikId],$B205,tblVarliklar[KapasiteKwp_kwp]),gup_varsayilanKapasite))</f>
        <v/>
      </c>
      <c r="I205" s="19">
        <f>IF($A205="","",$E205*$H205)</f>
        <v/>
      </c>
      <c r="J205" s="19">
        <f>IF(OR($A205="",$I205=0),"",$D205/$I205)</f>
        <v/>
      </c>
      <c r="K205" s="19">
        <f>IF(OR($A205="",$I205=0),"",$F205/$I205)</f>
        <v/>
      </c>
      <c r="L205" s="19">
        <f>IF($A205="","",$D205)</f>
        <v/>
      </c>
      <c r="M205" s="19">
        <f>IF($A205="","",MAX(0,MIN(100,gup_kaliteTaban-IF($J205&lt;gup_esikPr,gup_kaliteCeza,0)-IF($F205&gt;gup_esikKayipKwh,gup_kaliteSapma,0)-IF($P205="YETIM",gup_kaliteCeza,0))))</f>
        <v/>
      </c>
      <c r="N205" s="19">
        <f>IF($A205="","",IF(OR($J205&lt;gup_esikPr,$F205&gt;gup_esikKayipKwh,$M205&lt;gup_esikSaglik),"ALARM","UYGUN"))</f>
        <v/>
      </c>
      <c r="O205" s="19">
        <f>IF($A205="","",1)</f>
        <v/>
      </c>
      <c r="P205" s="19">
        <f>IF($A205="","",IF(OR($B205="",COUNTIF(tblVarliklar[VarlikId],$B205)=0),"YETIM","TAMAM"))</f>
        <v/>
      </c>
    </row>
    <row r="206">
      <c r="A206" s="15" t="n"/>
      <c r="B206" s="15" t="n"/>
      <c r="C206" s="62" t="n"/>
      <c r="D206" s="16" t="n"/>
      <c r="E206" s="21" t="n"/>
      <c r="F206" s="16" t="n"/>
      <c r="G206" s="15" t="n"/>
      <c r="H206" s="19">
        <f>IF($A206="","",IFERROR(SUMIF(tblVarliklar[VarlikId],$B206,tblVarliklar[KapasiteKwp_kwp]),gup_varsayilanKapasite))</f>
        <v/>
      </c>
      <c r="I206" s="19">
        <f>IF($A206="","",$E206*$H206)</f>
        <v/>
      </c>
      <c r="J206" s="19">
        <f>IF(OR($A206="",$I206=0),"",$D206/$I206)</f>
        <v/>
      </c>
      <c r="K206" s="19">
        <f>IF(OR($A206="",$I206=0),"",$F206/$I206)</f>
        <v/>
      </c>
      <c r="L206" s="19">
        <f>IF($A206="","",$D206)</f>
        <v/>
      </c>
      <c r="M206" s="19">
        <f>IF($A206="","",MAX(0,MIN(100,gup_kaliteTaban-IF($J206&lt;gup_esikPr,gup_kaliteCeza,0)-IF($F206&gt;gup_esikKayipKwh,gup_kaliteSapma,0)-IF($P206="YETIM",gup_kaliteCeza,0))))</f>
        <v/>
      </c>
      <c r="N206" s="19">
        <f>IF($A206="","",IF(OR($J206&lt;gup_esikPr,$F206&gt;gup_esikKayipKwh,$M206&lt;gup_esikSaglik),"ALARM","UYGUN"))</f>
        <v/>
      </c>
      <c r="O206" s="19">
        <f>IF($A206="","",1)</f>
        <v/>
      </c>
      <c r="P206" s="19">
        <f>IF($A206="","",IF(OR($B206="",COUNTIF(tblVarliklar[VarlikId],$B206)=0),"YETIM","TAMAM"))</f>
        <v/>
      </c>
    </row>
    <row r="207">
      <c r="A207" s="15" t="n"/>
      <c r="B207" s="15" t="n"/>
      <c r="C207" s="62" t="n"/>
      <c r="D207" s="16" t="n"/>
      <c r="E207" s="21" t="n"/>
      <c r="F207" s="16" t="n"/>
      <c r="G207" s="15" t="n"/>
      <c r="H207" s="19">
        <f>IF($A207="","",IFERROR(SUMIF(tblVarliklar[VarlikId],$B207,tblVarliklar[KapasiteKwp_kwp]),gup_varsayilanKapasite))</f>
        <v/>
      </c>
      <c r="I207" s="19">
        <f>IF($A207="","",$E207*$H207)</f>
        <v/>
      </c>
      <c r="J207" s="19">
        <f>IF(OR($A207="",$I207=0),"",$D207/$I207)</f>
        <v/>
      </c>
      <c r="K207" s="19">
        <f>IF(OR($A207="",$I207=0),"",$F207/$I207)</f>
        <v/>
      </c>
      <c r="L207" s="19">
        <f>IF($A207="","",$D207)</f>
        <v/>
      </c>
      <c r="M207" s="19">
        <f>IF($A207="","",MAX(0,MIN(100,gup_kaliteTaban-IF($J207&lt;gup_esikPr,gup_kaliteCeza,0)-IF($F207&gt;gup_esikKayipKwh,gup_kaliteSapma,0)-IF($P207="YETIM",gup_kaliteCeza,0))))</f>
        <v/>
      </c>
      <c r="N207" s="19">
        <f>IF($A207="","",IF(OR($J207&lt;gup_esikPr,$F207&gt;gup_esikKayipKwh,$M207&lt;gup_esikSaglik),"ALARM","UYGUN"))</f>
        <v/>
      </c>
      <c r="O207" s="19">
        <f>IF($A207="","",1)</f>
        <v/>
      </c>
      <c r="P207" s="19">
        <f>IF($A207="","",IF(OR($B207="",COUNTIF(tblVarliklar[VarlikId],$B207)=0),"YETIM","TAMAM"))</f>
        <v/>
      </c>
    </row>
    <row r="208">
      <c r="A208" s="15" t="n"/>
      <c r="B208" s="15" t="n"/>
      <c r="C208" s="62" t="n"/>
      <c r="D208" s="16" t="n"/>
      <c r="E208" s="21" t="n"/>
      <c r="F208" s="16" t="n"/>
      <c r="G208" s="15" t="n"/>
      <c r="H208" s="19">
        <f>IF($A208="","",IFERROR(SUMIF(tblVarliklar[VarlikId],$B208,tblVarliklar[KapasiteKwp_kwp]),gup_varsayilanKapasite))</f>
        <v/>
      </c>
      <c r="I208" s="19">
        <f>IF($A208="","",$E208*$H208)</f>
        <v/>
      </c>
      <c r="J208" s="19">
        <f>IF(OR($A208="",$I208=0),"",$D208/$I208)</f>
        <v/>
      </c>
      <c r="K208" s="19">
        <f>IF(OR($A208="",$I208=0),"",$F208/$I208)</f>
        <v/>
      </c>
      <c r="L208" s="19">
        <f>IF($A208="","",$D208)</f>
        <v/>
      </c>
      <c r="M208" s="19">
        <f>IF($A208="","",MAX(0,MIN(100,gup_kaliteTaban-IF($J208&lt;gup_esikPr,gup_kaliteCeza,0)-IF($F208&gt;gup_esikKayipKwh,gup_kaliteSapma,0)-IF($P208="YETIM",gup_kaliteCeza,0))))</f>
        <v/>
      </c>
      <c r="N208" s="19">
        <f>IF($A208="","",IF(OR($J208&lt;gup_esikPr,$F208&gt;gup_esikKayipKwh,$M208&lt;gup_esikSaglik),"ALARM","UYGUN"))</f>
        <v/>
      </c>
      <c r="O208" s="19">
        <f>IF($A208="","",1)</f>
        <v/>
      </c>
      <c r="P208" s="19">
        <f>IF($A208="","",IF(OR($B208="",COUNTIF(tblVarliklar[VarlikId],$B208)=0),"YETIM","TAMAM"))</f>
        <v/>
      </c>
    </row>
    <row r="209">
      <c r="A209" s="15" t="n"/>
      <c r="B209" s="15" t="n"/>
      <c r="C209" s="62" t="n"/>
      <c r="D209" s="16" t="n"/>
      <c r="E209" s="21" t="n"/>
      <c r="F209" s="16" t="n"/>
      <c r="G209" s="15" t="n"/>
      <c r="H209" s="19">
        <f>IF($A209="","",IFERROR(SUMIF(tblVarliklar[VarlikId],$B209,tblVarliklar[KapasiteKwp_kwp]),gup_varsayilanKapasite))</f>
        <v/>
      </c>
      <c r="I209" s="19">
        <f>IF($A209="","",$E209*$H209)</f>
        <v/>
      </c>
      <c r="J209" s="19">
        <f>IF(OR($A209="",$I209=0),"",$D209/$I209)</f>
        <v/>
      </c>
      <c r="K209" s="19">
        <f>IF(OR($A209="",$I209=0),"",$F209/$I209)</f>
        <v/>
      </c>
      <c r="L209" s="19">
        <f>IF($A209="","",$D209)</f>
        <v/>
      </c>
      <c r="M209" s="19">
        <f>IF($A209="","",MAX(0,MIN(100,gup_kaliteTaban-IF($J209&lt;gup_esikPr,gup_kaliteCeza,0)-IF($F209&gt;gup_esikKayipKwh,gup_kaliteSapma,0)-IF($P209="YETIM",gup_kaliteCeza,0))))</f>
        <v/>
      </c>
      <c r="N209" s="19">
        <f>IF($A209="","",IF(OR($J209&lt;gup_esikPr,$F209&gt;gup_esikKayipKwh,$M209&lt;gup_esikSaglik),"ALARM","UYGUN"))</f>
        <v/>
      </c>
      <c r="O209" s="19">
        <f>IF($A209="","",1)</f>
        <v/>
      </c>
      <c r="P209" s="19">
        <f>IF($A209="","",IF(OR($B209="",COUNTIF(tblVarliklar[VarlikId],$B209)=0),"YETIM","TAMAM"))</f>
        <v/>
      </c>
    </row>
    <row r="210">
      <c r="A210" s="15" t="n"/>
      <c r="B210" s="15" t="n"/>
      <c r="C210" s="62" t="n"/>
      <c r="D210" s="16" t="n"/>
      <c r="E210" s="21" t="n"/>
      <c r="F210" s="16" t="n"/>
      <c r="G210" s="15" t="n"/>
      <c r="H210" s="19">
        <f>IF($A210="","",IFERROR(SUMIF(tblVarliklar[VarlikId],$B210,tblVarliklar[KapasiteKwp_kwp]),gup_varsayilanKapasite))</f>
        <v/>
      </c>
      <c r="I210" s="19">
        <f>IF($A210="","",$E210*$H210)</f>
        <v/>
      </c>
      <c r="J210" s="19">
        <f>IF(OR($A210="",$I210=0),"",$D210/$I210)</f>
        <v/>
      </c>
      <c r="K210" s="19">
        <f>IF(OR($A210="",$I210=0),"",$F210/$I210)</f>
        <v/>
      </c>
      <c r="L210" s="19">
        <f>IF($A210="","",$D210)</f>
        <v/>
      </c>
      <c r="M210" s="19">
        <f>IF($A210="","",MAX(0,MIN(100,gup_kaliteTaban-IF($J210&lt;gup_esikPr,gup_kaliteCeza,0)-IF($F210&gt;gup_esikKayipKwh,gup_kaliteSapma,0)-IF($P210="YETIM",gup_kaliteCeza,0))))</f>
        <v/>
      </c>
      <c r="N210" s="19">
        <f>IF($A210="","",IF(OR($J210&lt;gup_esikPr,$F210&gt;gup_esikKayipKwh,$M210&lt;gup_esikSaglik),"ALARM","UYGUN"))</f>
        <v/>
      </c>
      <c r="O210" s="19">
        <f>IF($A210="","",1)</f>
        <v/>
      </c>
      <c r="P210" s="19">
        <f>IF($A210="","",IF(OR($B210="",COUNTIF(tblVarliklar[VarlikId],$B210)=0),"YETIM","TAMAM"))</f>
        <v/>
      </c>
    </row>
    <row r="211">
      <c r="A211" s="15" t="n"/>
      <c r="B211" s="15" t="n"/>
      <c r="C211" s="62" t="n"/>
      <c r="D211" s="16" t="n"/>
      <c r="E211" s="21" t="n"/>
      <c r="F211" s="16" t="n"/>
      <c r="G211" s="15" t="n"/>
      <c r="H211" s="19">
        <f>IF($A211="","",IFERROR(SUMIF(tblVarliklar[VarlikId],$B211,tblVarliklar[KapasiteKwp_kwp]),gup_varsayilanKapasite))</f>
        <v/>
      </c>
      <c r="I211" s="19">
        <f>IF($A211="","",$E211*$H211)</f>
        <v/>
      </c>
      <c r="J211" s="19">
        <f>IF(OR($A211="",$I211=0),"",$D211/$I211)</f>
        <v/>
      </c>
      <c r="K211" s="19">
        <f>IF(OR($A211="",$I211=0),"",$F211/$I211)</f>
        <v/>
      </c>
      <c r="L211" s="19">
        <f>IF($A211="","",$D211)</f>
        <v/>
      </c>
      <c r="M211" s="19">
        <f>IF($A211="","",MAX(0,MIN(100,gup_kaliteTaban-IF($J211&lt;gup_esikPr,gup_kaliteCeza,0)-IF($F211&gt;gup_esikKayipKwh,gup_kaliteSapma,0)-IF($P211="YETIM",gup_kaliteCeza,0))))</f>
        <v/>
      </c>
      <c r="N211" s="19">
        <f>IF($A211="","",IF(OR($J211&lt;gup_esikPr,$F211&gt;gup_esikKayipKwh,$M211&lt;gup_esikSaglik),"ALARM","UYGUN"))</f>
        <v/>
      </c>
      <c r="O211" s="19">
        <f>IF($A211="","",1)</f>
        <v/>
      </c>
      <c r="P211" s="19">
        <f>IF($A211="","",IF(OR($B211="",COUNTIF(tblVarliklar[VarlikId],$B211)=0),"YETIM","TAMAM"))</f>
        <v/>
      </c>
    </row>
    <row r="212">
      <c r="A212" s="15" t="n"/>
      <c r="B212" s="15" t="n"/>
      <c r="C212" s="62" t="n"/>
      <c r="D212" s="16" t="n"/>
      <c r="E212" s="21" t="n"/>
      <c r="F212" s="16" t="n"/>
      <c r="G212" s="15" t="n"/>
      <c r="H212" s="19">
        <f>IF($A212="","",IFERROR(SUMIF(tblVarliklar[VarlikId],$B212,tblVarliklar[KapasiteKwp_kwp]),gup_varsayilanKapasite))</f>
        <v/>
      </c>
      <c r="I212" s="19">
        <f>IF($A212="","",$E212*$H212)</f>
        <v/>
      </c>
      <c r="J212" s="19">
        <f>IF(OR($A212="",$I212=0),"",$D212/$I212)</f>
        <v/>
      </c>
      <c r="K212" s="19">
        <f>IF(OR($A212="",$I212=0),"",$F212/$I212)</f>
        <v/>
      </c>
      <c r="L212" s="19">
        <f>IF($A212="","",$D212)</f>
        <v/>
      </c>
      <c r="M212" s="19">
        <f>IF($A212="","",MAX(0,MIN(100,gup_kaliteTaban-IF($J212&lt;gup_esikPr,gup_kaliteCeza,0)-IF($F212&gt;gup_esikKayipKwh,gup_kaliteSapma,0)-IF($P212="YETIM",gup_kaliteCeza,0))))</f>
        <v/>
      </c>
      <c r="N212" s="19">
        <f>IF($A212="","",IF(OR($J212&lt;gup_esikPr,$F212&gt;gup_esikKayipKwh,$M212&lt;gup_esikSaglik),"ALARM","UYGUN"))</f>
        <v/>
      </c>
      <c r="O212" s="19">
        <f>IF($A212="","",1)</f>
        <v/>
      </c>
      <c r="P212" s="19">
        <f>IF($A212="","",IF(OR($B212="",COUNTIF(tblVarliklar[VarlikId],$B212)=0),"YETIM","TAMAM"))</f>
        <v/>
      </c>
    </row>
    <row r="213">
      <c r="A213" s="15" t="n"/>
      <c r="B213" s="15" t="n"/>
      <c r="C213" s="62" t="n"/>
      <c r="D213" s="16" t="n"/>
      <c r="E213" s="21" t="n"/>
      <c r="F213" s="16" t="n"/>
      <c r="G213" s="15" t="n"/>
      <c r="H213" s="19">
        <f>IF($A213="","",IFERROR(SUMIF(tblVarliklar[VarlikId],$B213,tblVarliklar[KapasiteKwp_kwp]),gup_varsayilanKapasite))</f>
        <v/>
      </c>
      <c r="I213" s="19">
        <f>IF($A213="","",$E213*$H213)</f>
        <v/>
      </c>
      <c r="J213" s="19">
        <f>IF(OR($A213="",$I213=0),"",$D213/$I213)</f>
        <v/>
      </c>
      <c r="K213" s="19">
        <f>IF(OR($A213="",$I213=0),"",$F213/$I213)</f>
        <v/>
      </c>
      <c r="L213" s="19">
        <f>IF($A213="","",$D213)</f>
        <v/>
      </c>
      <c r="M213" s="19">
        <f>IF($A213="","",MAX(0,MIN(100,gup_kaliteTaban-IF($J213&lt;gup_esikPr,gup_kaliteCeza,0)-IF($F213&gt;gup_esikKayipKwh,gup_kaliteSapma,0)-IF($P213="YETIM",gup_kaliteCeza,0))))</f>
        <v/>
      </c>
      <c r="N213" s="19">
        <f>IF($A213="","",IF(OR($J213&lt;gup_esikPr,$F213&gt;gup_esikKayipKwh,$M213&lt;gup_esikSaglik),"ALARM","UYGUN"))</f>
        <v/>
      </c>
      <c r="O213" s="19">
        <f>IF($A213="","",1)</f>
        <v/>
      </c>
      <c r="P213" s="19">
        <f>IF($A213="","",IF(OR($B213="",COUNTIF(tblVarliklar[VarlikId],$B213)=0),"YETIM","TAMAM"))</f>
        <v/>
      </c>
    </row>
    <row r="214">
      <c r="A214" s="15" t="n"/>
      <c r="B214" s="15" t="n"/>
      <c r="C214" s="62" t="n"/>
      <c r="D214" s="16" t="n"/>
      <c r="E214" s="21" t="n"/>
      <c r="F214" s="16" t="n"/>
      <c r="G214" s="15" t="n"/>
      <c r="H214" s="19">
        <f>IF($A214="","",IFERROR(SUMIF(tblVarliklar[VarlikId],$B214,tblVarliklar[KapasiteKwp_kwp]),gup_varsayilanKapasite))</f>
        <v/>
      </c>
      <c r="I214" s="19">
        <f>IF($A214="","",$E214*$H214)</f>
        <v/>
      </c>
      <c r="J214" s="19">
        <f>IF(OR($A214="",$I214=0),"",$D214/$I214)</f>
        <v/>
      </c>
      <c r="K214" s="19">
        <f>IF(OR($A214="",$I214=0),"",$F214/$I214)</f>
        <v/>
      </c>
      <c r="L214" s="19">
        <f>IF($A214="","",$D214)</f>
        <v/>
      </c>
      <c r="M214" s="19">
        <f>IF($A214="","",MAX(0,MIN(100,gup_kaliteTaban-IF($J214&lt;gup_esikPr,gup_kaliteCeza,0)-IF($F214&gt;gup_esikKayipKwh,gup_kaliteSapma,0)-IF($P214="YETIM",gup_kaliteCeza,0))))</f>
        <v/>
      </c>
      <c r="N214" s="19">
        <f>IF($A214="","",IF(OR($J214&lt;gup_esikPr,$F214&gt;gup_esikKayipKwh,$M214&lt;gup_esikSaglik),"ALARM","UYGUN"))</f>
        <v/>
      </c>
      <c r="O214" s="19">
        <f>IF($A214="","",1)</f>
        <v/>
      </c>
      <c r="P214" s="19">
        <f>IF($A214="","",IF(OR($B214="",COUNTIF(tblVarliklar[VarlikId],$B214)=0),"YETIM","TAMAM"))</f>
        <v/>
      </c>
    </row>
    <row r="215">
      <c r="A215" s="15" t="n"/>
      <c r="B215" s="15" t="n"/>
      <c r="C215" s="62" t="n"/>
      <c r="D215" s="16" t="n"/>
      <c r="E215" s="21" t="n"/>
      <c r="F215" s="16" t="n"/>
      <c r="G215" s="15" t="n"/>
      <c r="H215" s="19">
        <f>IF($A215="","",IFERROR(SUMIF(tblVarliklar[VarlikId],$B215,tblVarliklar[KapasiteKwp_kwp]),gup_varsayilanKapasite))</f>
        <v/>
      </c>
      <c r="I215" s="19">
        <f>IF($A215="","",$E215*$H215)</f>
        <v/>
      </c>
      <c r="J215" s="19">
        <f>IF(OR($A215="",$I215=0),"",$D215/$I215)</f>
        <v/>
      </c>
      <c r="K215" s="19">
        <f>IF(OR($A215="",$I215=0),"",$F215/$I215)</f>
        <v/>
      </c>
      <c r="L215" s="19">
        <f>IF($A215="","",$D215)</f>
        <v/>
      </c>
      <c r="M215" s="19">
        <f>IF($A215="","",MAX(0,MIN(100,gup_kaliteTaban-IF($J215&lt;gup_esikPr,gup_kaliteCeza,0)-IF($F215&gt;gup_esikKayipKwh,gup_kaliteSapma,0)-IF($P215="YETIM",gup_kaliteCeza,0))))</f>
        <v/>
      </c>
      <c r="N215" s="19">
        <f>IF($A215="","",IF(OR($J215&lt;gup_esikPr,$F215&gt;gup_esikKayipKwh,$M215&lt;gup_esikSaglik),"ALARM","UYGUN"))</f>
        <v/>
      </c>
      <c r="O215" s="19">
        <f>IF($A215="","",1)</f>
        <v/>
      </c>
      <c r="P215" s="19">
        <f>IF($A215="","",IF(OR($B215="",COUNTIF(tblVarliklar[VarlikId],$B215)=0),"YETIM","TAMAM"))</f>
        <v/>
      </c>
    </row>
    <row r="216">
      <c r="A216" s="15" t="n"/>
      <c r="B216" s="15" t="n"/>
      <c r="C216" s="62" t="n"/>
      <c r="D216" s="16" t="n"/>
      <c r="E216" s="21" t="n"/>
      <c r="F216" s="16" t="n"/>
      <c r="G216" s="15" t="n"/>
      <c r="H216" s="19">
        <f>IF($A216="","",IFERROR(SUMIF(tblVarliklar[VarlikId],$B216,tblVarliklar[KapasiteKwp_kwp]),gup_varsayilanKapasite))</f>
        <v/>
      </c>
      <c r="I216" s="19">
        <f>IF($A216="","",$E216*$H216)</f>
        <v/>
      </c>
      <c r="J216" s="19">
        <f>IF(OR($A216="",$I216=0),"",$D216/$I216)</f>
        <v/>
      </c>
      <c r="K216" s="19">
        <f>IF(OR($A216="",$I216=0),"",$F216/$I216)</f>
        <v/>
      </c>
      <c r="L216" s="19">
        <f>IF($A216="","",$D216)</f>
        <v/>
      </c>
      <c r="M216" s="19">
        <f>IF($A216="","",MAX(0,MIN(100,gup_kaliteTaban-IF($J216&lt;gup_esikPr,gup_kaliteCeza,0)-IF($F216&gt;gup_esikKayipKwh,gup_kaliteSapma,0)-IF($P216="YETIM",gup_kaliteCeza,0))))</f>
        <v/>
      </c>
      <c r="N216" s="19">
        <f>IF($A216="","",IF(OR($J216&lt;gup_esikPr,$F216&gt;gup_esikKayipKwh,$M216&lt;gup_esikSaglik),"ALARM","UYGUN"))</f>
        <v/>
      </c>
      <c r="O216" s="19">
        <f>IF($A216="","",1)</f>
        <v/>
      </c>
      <c r="P216" s="19">
        <f>IF($A216="","",IF(OR($B216="",COUNTIF(tblVarliklar[VarlikId],$B216)=0),"YETIM","TAMAM"))</f>
        <v/>
      </c>
    </row>
    <row r="217">
      <c r="A217" s="15" t="n"/>
      <c r="B217" s="15" t="n"/>
      <c r="C217" s="62" t="n"/>
      <c r="D217" s="16" t="n"/>
      <c r="E217" s="21" t="n"/>
      <c r="F217" s="16" t="n"/>
      <c r="G217" s="15" t="n"/>
      <c r="H217" s="19">
        <f>IF($A217="","",IFERROR(SUMIF(tblVarliklar[VarlikId],$B217,tblVarliklar[KapasiteKwp_kwp]),gup_varsayilanKapasite))</f>
        <v/>
      </c>
      <c r="I217" s="19">
        <f>IF($A217="","",$E217*$H217)</f>
        <v/>
      </c>
      <c r="J217" s="19">
        <f>IF(OR($A217="",$I217=0),"",$D217/$I217)</f>
        <v/>
      </c>
      <c r="K217" s="19">
        <f>IF(OR($A217="",$I217=0),"",$F217/$I217)</f>
        <v/>
      </c>
      <c r="L217" s="19">
        <f>IF($A217="","",$D217)</f>
        <v/>
      </c>
      <c r="M217" s="19">
        <f>IF($A217="","",MAX(0,MIN(100,gup_kaliteTaban-IF($J217&lt;gup_esikPr,gup_kaliteCeza,0)-IF($F217&gt;gup_esikKayipKwh,gup_kaliteSapma,0)-IF($P217="YETIM",gup_kaliteCeza,0))))</f>
        <v/>
      </c>
      <c r="N217" s="19">
        <f>IF($A217="","",IF(OR($J217&lt;gup_esikPr,$F217&gt;gup_esikKayipKwh,$M217&lt;gup_esikSaglik),"ALARM","UYGUN"))</f>
        <v/>
      </c>
      <c r="O217" s="19">
        <f>IF($A217="","",1)</f>
        <v/>
      </c>
      <c r="P217" s="19">
        <f>IF($A217="","",IF(OR($B217="",COUNTIF(tblVarliklar[VarlikId],$B217)=0),"YETIM","TAMAM"))</f>
        <v/>
      </c>
    </row>
    <row r="218">
      <c r="A218" s="15" t="n"/>
      <c r="B218" s="15" t="n"/>
      <c r="C218" s="62" t="n"/>
      <c r="D218" s="16" t="n"/>
      <c r="E218" s="21" t="n"/>
      <c r="F218" s="16" t="n"/>
      <c r="G218" s="15" t="n"/>
      <c r="H218" s="19">
        <f>IF($A218="","",IFERROR(SUMIF(tblVarliklar[VarlikId],$B218,tblVarliklar[KapasiteKwp_kwp]),gup_varsayilanKapasite))</f>
        <v/>
      </c>
      <c r="I218" s="19">
        <f>IF($A218="","",$E218*$H218)</f>
        <v/>
      </c>
      <c r="J218" s="19">
        <f>IF(OR($A218="",$I218=0),"",$D218/$I218)</f>
        <v/>
      </c>
      <c r="K218" s="19">
        <f>IF(OR($A218="",$I218=0),"",$F218/$I218)</f>
        <v/>
      </c>
      <c r="L218" s="19">
        <f>IF($A218="","",$D218)</f>
        <v/>
      </c>
      <c r="M218" s="19">
        <f>IF($A218="","",MAX(0,MIN(100,gup_kaliteTaban-IF($J218&lt;gup_esikPr,gup_kaliteCeza,0)-IF($F218&gt;gup_esikKayipKwh,gup_kaliteSapma,0)-IF($P218="YETIM",gup_kaliteCeza,0))))</f>
        <v/>
      </c>
      <c r="N218" s="19">
        <f>IF($A218="","",IF(OR($J218&lt;gup_esikPr,$F218&gt;gup_esikKayipKwh,$M218&lt;gup_esikSaglik),"ALARM","UYGUN"))</f>
        <v/>
      </c>
      <c r="O218" s="19">
        <f>IF($A218="","",1)</f>
        <v/>
      </c>
      <c r="P218" s="19">
        <f>IF($A218="","",IF(OR($B218="",COUNTIF(tblVarliklar[VarlikId],$B218)=0),"YETIM","TAMAM"))</f>
        <v/>
      </c>
    </row>
    <row r="219">
      <c r="A219" s="15" t="n"/>
      <c r="B219" s="15" t="n"/>
      <c r="C219" s="62" t="n"/>
      <c r="D219" s="16" t="n"/>
      <c r="E219" s="21" t="n"/>
      <c r="F219" s="16" t="n"/>
      <c r="G219" s="15" t="n"/>
      <c r="H219" s="19">
        <f>IF($A219="","",IFERROR(SUMIF(tblVarliklar[VarlikId],$B219,tblVarliklar[KapasiteKwp_kwp]),gup_varsayilanKapasite))</f>
        <v/>
      </c>
      <c r="I219" s="19">
        <f>IF($A219="","",$E219*$H219)</f>
        <v/>
      </c>
      <c r="J219" s="19">
        <f>IF(OR($A219="",$I219=0),"",$D219/$I219)</f>
        <v/>
      </c>
      <c r="K219" s="19">
        <f>IF(OR($A219="",$I219=0),"",$F219/$I219)</f>
        <v/>
      </c>
      <c r="L219" s="19">
        <f>IF($A219="","",$D219)</f>
        <v/>
      </c>
      <c r="M219" s="19">
        <f>IF($A219="","",MAX(0,MIN(100,gup_kaliteTaban-IF($J219&lt;gup_esikPr,gup_kaliteCeza,0)-IF($F219&gt;gup_esikKayipKwh,gup_kaliteSapma,0)-IF($P219="YETIM",gup_kaliteCeza,0))))</f>
        <v/>
      </c>
      <c r="N219" s="19">
        <f>IF($A219="","",IF(OR($J219&lt;gup_esikPr,$F219&gt;gup_esikKayipKwh,$M219&lt;gup_esikSaglik),"ALARM","UYGUN"))</f>
        <v/>
      </c>
      <c r="O219" s="19">
        <f>IF($A219="","",1)</f>
        <v/>
      </c>
      <c r="P219" s="19">
        <f>IF($A219="","",IF(OR($B219="",COUNTIF(tblVarliklar[VarlikId],$B219)=0),"YETIM","TAMAM"))</f>
        <v/>
      </c>
    </row>
    <row r="220">
      <c r="A220" s="15" t="n"/>
      <c r="B220" s="15" t="n"/>
      <c r="C220" s="62" t="n"/>
      <c r="D220" s="16" t="n"/>
      <c r="E220" s="21" t="n"/>
      <c r="F220" s="16" t="n"/>
      <c r="G220" s="15" t="n"/>
      <c r="H220" s="19">
        <f>IF($A220="","",IFERROR(SUMIF(tblVarliklar[VarlikId],$B220,tblVarliklar[KapasiteKwp_kwp]),gup_varsayilanKapasite))</f>
        <v/>
      </c>
      <c r="I220" s="19">
        <f>IF($A220="","",$E220*$H220)</f>
        <v/>
      </c>
      <c r="J220" s="19">
        <f>IF(OR($A220="",$I220=0),"",$D220/$I220)</f>
        <v/>
      </c>
      <c r="K220" s="19">
        <f>IF(OR($A220="",$I220=0),"",$F220/$I220)</f>
        <v/>
      </c>
      <c r="L220" s="19">
        <f>IF($A220="","",$D220)</f>
        <v/>
      </c>
      <c r="M220" s="19">
        <f>IF($A220="","",MAX(0,MIN(100,gup_kaliteTaban-IF($J220&lt;gup_esikPr,gup_kaliteCeza,0)-IF($F220&gt;gup_esikKayipKwh,gup_kaliteSapma,0)-IF($P220="YETIM",gup_kaliteCeza,0))))</f>
        <v/>
      </c>
      <c r="N220" s="19">
        <f>IF($A220="","",IF(OR($J220&lt;gup_esikPr,$F220&gt;gup_esikKayipKwh,$M220&lt;gup_esikSaglik),"ALARM","UYGUN"))</f>
        <v/>
      </c>
      <c r="O220" s="19">
        <f>IF($A220="","",1)</f>
        <v/>
      </c>
      <c r="P220" s="19">
        <f>IF($A220="","",IF(OR($B220="",COUNTIF(tblVarliklar[VarlikId],$B220)=0),"YETIM","TAMAM"))</f>
        <v/>
      </c>
    </row>
    <row r="221">
      <c r="A221" s="15" t="n"/>
      <c r="B221" s="15" t="n"/>
      <c r="C221" s="62" t="n"/>
      <c r="D221" s="16" t="n"/>
      <c r="E221" s="21" t="n"/>
      <c r="F221" s="16" t="n"/>
      <c r="G221" s="15" t="n"/>
      <c r="H221" s="19">
        <f>IF($A221="","",IFERROR(SUMIF(tblVarliklar[VarlikId],$B221,tblVarliklar[KapasiteKwp_kwp]),gup_varsayilanKapasite))</f>
        <v/>
      </c>
      <c r="I221" s="19">
        <f>IF($A221="","",$E221*$H221)</f>
        <v/>
      </c>
      <c r="J221" s="19">
        <f>IF(OR($A221="",$I221=0),"",$D221/$I221)</f>
        <v/>
      </c>
      <c r="K221" s="19">
        <f>IF(OR($A221="",$I221=0),"",$F221/$I221)</f>
        <v/>
      </c>
      <c r="L221" s="19">
        <f>IF($A221="","",$D221)</f>
        <v/>
      </c>
      <c r="M221" s="19">
        <f>IF($A221="","",MAX(0,MIN(100,gup_kaliteTaban-IF($J221&lt;gup_esikPr,gup_kaliteCeza,0)-IF($F221&gt;gup_esikKayipKwh,gup_kaliteSapma,0)-IF($P221="YETIM",gup_kaliteCeza,0))))</f>
        <v/>
      </c>
      <c r="N221" s="19">
        <f>IF($A221="","",IF(OR($J221&lt;gup_esikPr,$F221&gt;gup_esikKayipKwh,$M221&lt;gup_esikSaglik),"ALARM","UYGUN"))</f>
        <v/>
      </c>
      <c r="O221" s="19">
        <f>IF($A221="","",1)</f>
        <v/>
      </c>
      <c r="P221" s="19">
        <f>IF($A221="","",IF(OR($B221="",COUNTIF(tblVarliklar[VarlikId],$B221)=0),"YETIM","TAMAM"))</f>
        <v/>
      </c>
    </row>
    <row r="222">
      <c r="A222" s="15" t="n"/>
      <c r="B222" s="15" t="n"/>
      <c r="C222" s="62" t="n"/>
      <c r="D222" s="16" t="n"/>
      <c r="E222" s="21" t="n"/>
      <c r="F222" s="16" t="n"/>
      <c r="G222" s="15" t="n"/>
      <c r="H222" s="19">
        <f>IF($A222="","",IFERROR(SUMIF(tblVarliklar[VarlikId],$B222,tblVarliklar[KapasiteKwp_kwp]),gup_varsayilanKapasite))</f>
        <v/>
      </c>
      <c r="I222" s="19">
        <f>IF($A222="","",$E222*$H222)</f>
        <v/>
      </c>
      <c r="J222" s="19">
        <f>IF(OR($A222="",$I222=0),"",$D222/$I222)</f>
        <v/>
      </c>
      <c r="K222" s="19">
        <f>IF(OR($A222="",$I222=0),"",$F222/$I222)</f>
        <v/>
      </c>
      <c r="L222" s="19">
        <f>IF($A222="","",$D222)</f>
        <v/>
      </c>
      <c r="M222" s="19">
        <f>IF($A222="","",MAX(0,MIN(100,gup_kaliteTaban-IF($J222&lt;gup_esikPr,gup_kaliteCeza,0)-IF($F222&gt;gup_esikKayipKwh,gup_kaliteSapma,0)-IF($P222="YETIM",gup_kaliteCeza,0))))</f>
        <v/>
      </c>
      <c r="N222" s="19">
        <f>IF($A222="","",IF(OR($J222&lt;gup_esikPr,$F222&gt;gup_esikKayipKwh,$M222&lt;gup_esikSaglik),"ALARM","UYGUN"))</f>
        <v/>
      </c>
      <c r="O222" s="19">
        <f>IF($A222="","",1)</f>
        <v/>
      </c>
      <c r="P222" s="19">
        <f>IF($A222="","",IF(OR($B222="",COUNTIF(tblVarliklar[VarlikId],$B222)=0),"YETIM","TAMAM"))</f>
        <v/>
      </c>
    </row>
    <row r="223">
      <c r="A223" s="15" t="n"/>
      <c r="B223" s="15" t="n"/>
      <c r="C223" s="62" t="n"/>
      <c r="D223" s="16" t="n"/>
      <c r="E223" s="21" t="n"/>
      <c r="F223" s="16" t="n"/>
      <c r="G223" s="15" t="n"/>
      <c r="H223" s="19">
        <f>IF($A223="","",IFERROR(SUMIF(tblVarliklar[VarlikId],$B223,tblVarliklar[KapasiteKwp_kwp]),gup_varsayilanKapasite))</f>
        <v/>
      </c>
      <c r="I223" s="19">
        <f>IF($A223="","",$E223*$H223)</f>
        <v/>
      </c>
      <c r="J223" s="19">
        <f>IF(OR($A223="",$I223=0),"",$D223/$I223)</f>
        <v/>
      </c>
      <c r="K223" s="19">
        <f>IF(OR($A223="",$I223=0),"",$F223/$I223)</f>
        <v/>
      </c>
      <c r="L223" s="19">
        <f>IF($A223="","",$D223)</f>
        <v/>
      </c>
      <c r="M223" s="19">
        <f>IF($A223="","",MAX(0,MIN(100,gup_kaliteTaban-IF($J223&lt;gup_esikPr,gup_kaliteCeza,0)-IF($F223&gt;gup_esikKayipKwh,gup_kaliteSapma,0)-IF($P223="YETIM",gup_kaliteCeza,0))))</f>
        <v/>
      </c>
      <c r="N223" s="19">
        <f>IF($A223="","",IF(OR($J223&lt;gup_esikPr,$F223&gt;gup_esikKayipKwh,$M223&lt;gup_esikSaglik),"ALARM","UYGUN"))</f>
        <v/>
      </c>
      <c r="O223" s="19">
        <f>IF($A223="","",1)</f>
        <v/>
      </c>
      <c r="P223" s="19">
        <f>IF($A223="","",IF(OR($B223="",COUNTIF(tblVarliklar[VarlikId],$B223)=0),"YETIM","TAMAM"))</f>
        <v/>
      </c>
    </row>
    <row r="224">
      <c r="A224" s="15" t="n"/>
      <c r="B224" s="15" t="n"/>
      <c r="C224" s="62" t="n"/>
      <c r="D224" s="16" t="n"/>
      <c r="E224" s="21" t="n"/>
      <c r="F224" s="16" t="n"/>
      <c r="G224" s="15" t="n"/>
      <c r="H224" s="19">
        <f>IF($A224="","",IFERROR(SUMIF(tblVarliklar[VarlikId],$B224,tblVarliklar[KapasiteKwp_kwp]),gup_varsayilanKapasite))</f>
        <v/>
      </c>
      <c r="I224" s="19">
        <f>IF($A224="","",$E224*$H224)</f>
        <v/>
      </c>
      <c r="J224" s="19">
        <f>IF(OR($A224="",$I224=0),"",$D224/$I224)</f>
        <v/>
      </c>
      <c r="K224" s="19">
        <f>IF(OR($A224="",$I224=0),"",$F224/$I224)</f>
        <v/>
      </c>
      <c r="L224" s="19">
        <f>IF($A224="","",$D224)</f>
        <v/>
      </c>
      <c r="M224" s="19">
        <f>IF($A224="","",MAX(0,MIN(100,gup_kaliteTaban-IF($J224&lt;gup_esikPr,gup_kaliteCeza,0)-IF($F224&gt;gup_esikKayipKwh,gup_kaliteSapma,0)-IF($P224="YETIM",gup_kaliteCeza,0))))</f>
        <v/>
      </c>
      <c r="N224" s="19">
        <f>IF($A224="","",IF(OR($J224&lt;gup_esikPr,$F224&gt;gup_esikKayipKwh,$M224&lt;gup_esikSaglik),"ALARM","UYGUN"))</f>
        <v/>
      </c>
      <c r="O224" s="19">
        <f>IF($A224="","",1)</f>
        <v/>
      </c>
      <c r="P224" s="19">
        <f>IF($A224="","",IF(OR($B224="",COUNTIF(tblVarliklar[VarlikId],$B224)=0),"YETIM","TAMAM"))</f>
        <v/>
      </c>
    </row>
    <row r="225">
      <c r="A225" s="15" t="n"/>
      <c r="B225" s="15" t="n"/>
      <c r="C225" s="62" t="n"/>
      <c r="D225" s="16" t="n"/>
      <c r="E225" s="21" t="n"/>
      <c r="F225" s="16" t="n"/>
      <c r="G225" s="15" t="n"/>
      <c r="H225" s="19">
        <f>IF($A225="","",IFERROR(SUMIF(tblVarliklar[VarlikId],$B225,tblVarliklar[KapasiteKwp_kwp]),gup_varsayilanKapasite))</f>
        <v/>
      </c>
      <c r="I225" s="19">
        <f>IF($A225="","",$E225*$H225)</f>
        <v/>
      </c>
      <c r="J225" s="19">
        <f>IF(OR($A225="",$I225=0),"",$D225/$I225)</f>
        <v/>
      </c>
      <c r="K225" s="19">
        <f>IF(OR($A225="",$I225=0),"",$F225/$I225)</f>
        <v/>
      </c>
      <c r="L225" s="19">
        <f>IF($A225="","",$D225)</f>
        <v/>
      </c>
      <c r="M225" s="19">
        <f>IF($A225="","",MAX(0,MIN(100,gup_kaliteTaban-IF($J225&lt;gup_esikPr,gup_kaliteCeza,0)-IF($F225&gt;gup_esikKayipKwh,gup_kaliteSapma,0)-IF($P225="YETIM",gup_kaliteCeza,0))))</f>
        <v/>
      </c>
      <c r="N225" s="19">
        <f>IF($A225="","",IF(OR($J225&lt;gup_esikPr,$F225&gt;gup_esikKayipKwh,$M225&lt;gup_esikSaglik),"ALARM","UYGUN"))</f>
        <v/>
      </c>
      <c r="O225" s="19">
        <f>IF($A225="","",1)</f>
        <v/>
      </c>
      <c r="P225" s="19">
        <f>IF($A225="","",IF(OR($B225="",COUNTIF(tblVarliklar[VarlikId],$B225)=0),"YETIM","TAMAM"))</f>
        <v/>
      </c>
    </row>
    <row r="226">
      <c r="A226" s="15" t="n"/>
      <c r="B226" s="15" t="n"/>
      <c r="C226" s="62" t="n"/>
      <c r="D226" s="16" t="n"/>
      <c r="E226" s="21" t="n"/>
      <c r="F226" s="16" t="n"/>
      <c r="G226" s="15" t="n"/>
      <c r="H226" s="19">
        <f>IF($A226="","",IFERROR(SUMIF(tblVarliklar[VarlikId],$B226,tblVarliklar[KapasiteKwp_kwp]),gup_varsayilanKapasite))</f>
        <v/>
      </c>
      <c r="I226" s="19">
        <f>IF($A226="","",$E226*$H226)</f>
        <v/>
      </c>
      <c r="J226" s="19">
        <f>IF(OR($A226="",$I226=0),"",$D226/$I226)</f>
        <v/>
      </c>
      <c r="K226" s="19">
        <f>IF(OR($A226="",$I226=0),"",$F226/$I226)</f>
        <v/>
      </c>
      <c r="L226" s="19">
        <f>IF($A226="","",$D226)</f>
        <v/>
      </c>
      <c r="M226" s="19">
        <f>IF($A226="","",MAX(0,MIN(100,gup_kaliteTaban-IF($J226&lt;gup_esikPr,gup_kaliteCeza,0)-IF($F226&gt;gup_esikKayipKwh,gup_kaliteSapma,0)-IF($P226="YETIM",gup_kaliteCeza,0))))</f>
        <v/>
      </c>
      <c r="N226" s="19">
        <f>IF($A226="","",IF(OR($J226&lt;gup_esikPr,$F226&gt;gup_esikKayipKwh,$M226&lt;gup_esikSaglik),"ALARM","UYGUN"))</f>
        <v/>
      </c>
      <c r="O226" s="19">
        <f>IF($A226="","",1)</f>
        <v/>
      </c>
      <c r="P226" s="19">
        <f>IF($A226="","",IF(OR($B226="",COUNTIF(tblVarliklar[VarlikId],$B226)=0),"YETIM","TAMAM"))</f>
        <v/>
      </c>
    </row>
    <row r="227">
      <c r="A227" s="15" t="n"/>
      <c r="B227" s="15" t="n"/>
      <c r="C227" s="62" t="n"/>
      <c r="D227" s="16" t="n"/>
      <c r="E227" s="21" t="n"/>
      <c r="F227" s="16" t="n"/>
      <c r="G227" s="15" t="n"/>
      <c r="H227" s="19">
        <f>IF($A227="","",IFERROR(SUMIF(tblVarliklar[VarlikId],$B227,tblVarliklar[KapasiteKwp_kwp]),gup_varsayilanKapasite))</f>
        <v/>
      </c>
      <c r="I227" s="19">
        <f>IF($A227="","",$E227*$H227)</f>
        <v/>
      </c>
      <c r="J227" s="19">
        <f>IF(OR($A227="",$I227=0),"",$D227/$I227)</f>
        <v/>
      </c>
      <c r="K227" s="19">
        <f>IF(OR($A227="",$I227=0),"",$F227/$I227)</f>
        <v/>
      </c>
      <c r="L227" s="19">
        <f>IF($A227="","",$D227)</f>
        <v/>
      </c>
      <c r="M227" s="19">
        <f>IF($A227="","",MAX(0,MIN(100,gup_kaliteTaban-IF($J227&lt;gup_esikPr,gup_kaliteCeza,0)-IF($F227&gt;gup_esikKayipKwh,gup_kaliteSapma,0)-IF($P227="YETIM",gup_kaliteCeza,0))))</f>
        <v/>
      </c>
      <c r="N227" s="19">
        <f>IF($A227="","",IF(OR($J227&lt;gup_esikPr,$F227&gt;gup_esikKayipKwh,$M227&lt;gup_esikSaglik),"ALARM","UYGUN"))</f>
        <v/>
      </c>
      <c r="O227" s="19">
        <f>IF($A227="","",1)</f>
        <v/>
      </c>
      <c r="P227" s="19">
        <f>IF($A227="","",IF(OR($B227="",COUNTIF(tblVarliklar[VarlikId],$B227)=0),"YETIM","TAMAM"))</f>
        <v/>
      </c>
    </row>
    <row r="228">
      <c r="A228" s="15" t="n"/>
      <c r="B228" s="15" t="n"/>
      <c r="C228" s="62" t="n"/>
      <c r="D228" s="16" t="n"/>
      <c r="E228" s="21" t="n"/>
      <c r="F228" s="16" t="n"/>
      <c r="G228" s="15" t="n"/>
      <c r="H228" s="19">
        <f>IF($A228="","",IFERROR(SUMIF(tblVarliklar[VarlikId],$B228,tblVarliklar[KapasiteKwp_kwp]),gup_varsayilanKapasite))</f>
        <v/>
      </c>
      <c r="I228" s="19">
        <f>IF($A228="","",$E228*$H228)</f>
        <v/>
      </c>
      <c r="J228" s="19">
        <f>IF(OR($A228="",$I228=0),"",$D228/$I228)</f>
        <v/>
      </c>
      <c r="K228" s="19">
        <f>IF(OR($A228="",$I228=0),"",$F228/$I228)</f>
        <v/>
      </c>
      <c r="L228" s="19">
        <f>IF($A228="","",$D228)</f>
        <v/>
      </c>
      <c r="M228" s="19">
        <f>IF($A228="","",MAX(0,MIN(100,gup_kaliteTaban-IF($J228&lt;gup_esikPr,gup_kaliteCeza,0)-IF($F228&gt;gup_esikKayipKwh,gup_kaliteSapma,0)-IF($P228="YETIM",gup_kaliteCeza,0))))</f>
        <v/>
      </c>
      <c r="N228" s="19">
        <f>IF($A228="","",IF(OR($J228&lt;gup_esikPr,$F228&gt;gup_esikKayipKwh,$M228&lt;gup_esikSaglik),"ALARM","UYGUN"))</f>
        <v/>
      </c>
      <c r="O228" s="19">
        <f>IF($A228="","",1)</f>
        <v/>
      </c>
      <c r="P228" s="19">
        <f>IF($A228="","",IF(OR($B228="",COUNTIF(tblVarliklar[VarlikId],$B228)=0),"YETIM","TAMAM"))</f>
        <v/>
      </c>
    </row>
    <row r="229">
      <c r="A229" s="15" t="n"/>
      <c r="B229" s="15" t="n"/>
      <c r="C229" s="62" t="n"/>
      <c r="D229" s="16" t="n"/>
      <c r="E229" s="21" t="n"/>
      <c r="F229" s="16" t="n"/>
      <c r="G229" s="15" t="n"/>
      <c r="H229" s="19">
        <f>IF($A229="","",IFERROR(SUMIF(tblVarliklar[VarlikId],$B229,tblVarliklar[KapasiteKwp_kwp]),gup_varsayilanKapasite))</f>
        <v/>
      </c>
      <c r="I229" s="19">
        <f>IF($A229="","",$E229*$H229)</f>
        <v/>
      </c>
      <c r="J229" s="19">
        <f>IF(OR($A229="",$I229=0),"",$D229/$I229)</f>
        <v/>
      </c>
      <c r="K229" s="19">
        <f>IF(OR($A229="",$I229=0),"",$F229/$I229)</f>
        <v/>
      </c>
      <c r="L229" s="19">
        <f>IF($A229="","",$D229)</f>
        <v/>
      </c>
      <c r="M229" s="19">
        <f>IF($A229="","",MAX(0,MIN(100,gup_kaliteTaban-IF($J229&lt;gup_esikPr,gup_kaliteCeza,0)-IF($F229&gt;gup_esikKayipKwh,gup_kaliteSapma,0)-IF($P229="YETIM",gup_kaliteCeza,0))))</f>
        <v/>
      </c>
      <c r="N229" s="19">
        <f>IF($A229="","",IF(OR($J229&lt;gup_esikPr,$F229&gt;gup_esikKayipKwh,$M229&lt;gup_esikSaglik),"ALARM","UYGUN"))</f>
        <v/>
      </c>
      <c r="O229" s="19">
        <f>IF($A229="","",1)</f>
        <v/>
      </c>
      <c r="P229" s="19">
        <f>IF($A229="","",IF(OR($B229="",COUNTIF(tblVarliklar[VarlikId],$B229)=0),"YETIM","TAMAM"))</f>
        <v/>
      </c>
    </row>
    <row r="230">
      <c r="A230" s="15" t="n"/>
      <c r="B230" s="15" t="n"/>
      <c r="C230" s="62" t="n"/>
      <c r="D230" s="16" t="n"/>
      <c r="E230" s="21" t="n"/>
      <c r="F230" s="16" t="n"/>
      <c r="G230" s="15" t="n"/>
      <c r="H230" s="19">
        <f>IF($A230="","",IFERROR(SUMIF(tblVarliklar[VarlikId],$B230,tblVarliklar[KapasiteKwp_kwp]),gup_varsayilanKapasite))</f>
        <v/>
      </c>
      <c r="I230" s="19">
        <f>IF($A230="","",$E230*$H230)</f>
        <v/>
      </c>
      <c r="J230" s="19">
        <f>IF(OR($A230="",$I230=0),"",$D230/$I230)</f>
        <v/>
      </c>
      <c r="K230" s="19">
        <f>IF(OR($A230="",$I230=0),"",$F230/$I230)</f>
        <v/>
      </c>
      <c r="L230" s="19">
        <f>IF($A230="","",$D230)</f>
        <v/>
      </c>
      <c r="M230" s="19">
        <f>IF($A230="","",MAX(0,MIN(100,gup_kaliteTaban-IF($J230&lt;gup_esikPr,gup_kaliteCeza,0)-IF($F230&gt;gup_esikKayipKwh,gup_kaliteSapma,0)-IF($P230="YETIM",gup_kaliteCeza,0))))</f>
        <v/>
      </c>
      <c r="N230" s="19">
        <f>IF($A230="","",IF(OR($J230&lt;gup_esikPr,$F230&gt;gup_esikKayipKwh,$M230&lt;gup_esikSaglik),"ALARM","UYGUN"))</f>
        <v/>
      </c>
      <c r="O230" s="19">
        <f>IF($A230="","",1)</f>
        <v/>
      </c>
      <c r="P230" s="19">
        <f>IF($A230="","",IF(OR($B230="",COUNTIF(tblVarliklar[VarlikId],$B230)=0),"YETIM","TAMAM"))</f>
        <v/>
      </c>
    </row>
    <row r="231">
      <c r="A231" s="15" t="n"/>
      <c r="B231" s="15" t="n"/>
      <c r="C231" s="62" t="n"/>
      <c r="D231" s="16" t="n"/>
      <c r="E231" s="21" t="n"/>
      <c r="F231" s="16" t="n"/>
      <c r="G231" s="15" t="n"/>
      <c r="H231" s="19">
        <f>IF($A231="","",IFERROR(SUMIF(tblVarliklar[VarlikId],$B231,tblVarliklar[KapasiteKwp_kwp]),gup_varsayilanKapasite))</f>
        <v/>
      </c>
      <c r="I231" s="19">
        <f>IF($A231="","",$E231*$H231)</f>
        <v/>
      </c>
      <c r="J231" s="19">
        <f>IF(OR($A231="",$I231=0),"",$D231/$I231)</f>
        <v/>
      </c>
      <c r="K231" s="19">
        <f>IF(OR($A231="",$I231=0),"",$F231/$I231)</f>
        <v/>
      </c>
      <c r="L231" s="19">
        <f>IF($A231="","",$D231)</f>
        <v/>
      </c>
      <c r="M231" s="19">
        <f>IF($A231="","",MAX(0,MIN(100,gup_kaliteTaban-IF($J231&lt;gup_esikPr,gup_kaliteCeza,0)-IF($F231&gt;gup_esikKayipKwh,gup_kaliteSapma,0)-IF($P231="YETIM",gup_kaliteCeza,0))))</f>
        <v/>
      </c>
      <c r="N231" s="19">
        <f>IF($A231="","",IF(OR($J231&lt;gup_esikPr,$F231&gt;gup_esikKayipKwh,$M231&lt;gup_esikSaglik),"ALARM","UYGUN"))</f>
        <v/>
      </c>
      <c r="O231" s="19">
        <f>IF($A231="","",1)</f>
        <v/>
      </c>
      <c r="P231" s="19">
        <f>IF($A231="","",IF(OR($B231="",COUNTIF(tblVarliklar[VarlikId],$B231)=0),"YETIM","TAMAM"))</f>
        <v/>
      </c>
    </row>
    <row r="232">
      <c r="A232" s="15" t="n"/>
      <c r="B232" s="15" t="n"/>
      <c r="C232" s="62" t="n"/>
      <c r="D232" s="16" t="n"/>
      <c r="E232" s="21" t="n"/>
      <c r="F232" s="16" t="n"/>
      <c r="G232" s="15" t="n"/>
      <c r="H232" s="19">
        <f>IF($A232="","",IFERROR(SUMIF(tblVarliklar[VarlikId],$B232,tblVarliklar[KapasiteKwp_kwp]),gup_varsayilanKapasite))</f>
        <v/>
      </c>
      <c r="I232" s="19">
        <f>IF($A232="","",$E232*$H232)</f>
        <v/>
      </c>
      <c r="J232" s="19">
        <f>IF(OR($A232="",$I232=0),"",$D232/$I232)</f>
        <v/>
      </c>
      <c r="K232" s="19">
        <f>IF(OR($A232="",$I232=0),"",$F232/$I232)</f>
        <v/>
      </c>
      <c r="L232" s="19">
        <f>IF($A232="","",$D232)</f>
        <v/>
      </c>
      <c r="M232" s="19">
        <f>IF($A232="","",MAX(0,MIN(100,gup_kaliteTaban-IF($J232&lt;gup_esikPr,gup_kaliteCeza,0)-IF($F232&gt;gup_esikKayipKwh,gup_kaliteSapma,0)-IF($P232="YETIM",gup_kaliteCeza,0))))</f>
        <v/>
      </c>
      <c r="N232" s="19">
        <f>IF($A232="","",IF(OR($J232&lt;gup_esikPr,$F232&gt;gup_esikKayipKwh,$M232&lt;gup_esikSaglik),"ALARM","UYGUN"))</f>
        <v/>
      </c>
      <c r="O232" s="19">
        <f>IF($A232="","",1)</f>
        <v/>
      </c>
      <c r="P232" s="19">
        <f>IF($A232="","",IF(OR($B232="",COUNTIF(tblVarliklar[VarlikId],$B232)=0),"YETIM","TAMAM"))</f>
        <v/>
      </c>
    </row>
    <row r="233">
      <c r="A233" s="15" t="n"/>
      <c r="B233" s="15" t="n"/>
      <c r="C233" s="62" t="n"/>
      <c r="D233" s="16" t="n"/>
      <c r="E233" s="21" t="n"/>
      <c r="F233" s="16" t="n"/>
      <c r="G233" s="15" t="n"/>
      <c r="H233" s="19">
        <f>IF($A233="","",IFERROR(SUMIF(tblVarliklar[VarlikId],$B233,tblVarliklar[KapasiteKwp_kwp]),gup_varsayilanKapasite))</f>
        <v/>
      </c>
      <c r="I233" s="19">
        <f>IF($A233="","",$E233*$H233)</f>
        <v/>
      </c>
      <c r="J233" s="19">
        <f>IF(OR($A233="",$I233=0),"",$D233/$I233)</f>
        <v/>
      </c>
      <c r="K233" s="19">
        <f>IF(OR($A233="",$I233=0),"",$F233/$I233)</f>
        <v/>
      </c>
      <c r="L233" s="19">
        <f>IF($A233="","",$D233)</f>
        <v/>
      </c>
      <c r="M233" s="19">
        <f>IF($A233="","",MAX(0,MIN(100,gup_kaliteTaban-IF($J233&lt;gup_esikPr,gup_kaliteCeza,0)-IF($F233&gt;gup_esikKayipKwh,gup_kaliteSapma,0)-IF($P233="YETIM",gup_kaliteCeza,0))))</f>
        <v/>
      </c>
      <c r="N233" s="19">
        <f>IF($A233="","",IF(OR($J233&lt;gup_esikPr,$F233&gt;gup_esikKayipKwh,$M233&lt;gup_esikSaglik),"ALARM","UYGUN"))</f>
        <v/>
      </c>
      <c r="O233" s="19">
        <f>IF($A233="","",1)</f>
        <v/>
      </c>
      <c r="P233" s="19">
        <f>IF($A233="","",IF(OR($B233="",COUNTIF(tblVarliklar[VarlikId],$B233)=0),"YETIM","TAMAM"))</f>
        <v/>
      </c>
    </row>
    <row r="234">
      <c r="A234" s="15" t="n"/>
      <c r="B234" s="15" t="n"/>
      <c r="C234" s="62" t="n"/>
      <c r="D234" s="16" t="n"/>
      <c r="E234" s="21" t="n"/>
      <c r="F234" s="16" t="n"/>
      <c r="G234" s="15" t="n"/>
      <c r="H234" s="19">
        <f>IF($A234="","",IFERROR(SUMIF(tblVarliklar[VarlikId],$B234,tblVarliklar[KapasiteKwp_kwp]),gup_varsayilanKapasite))</f>
        <v/>
      </c>
      <c r="I234" s="19">
        <f>IF($A234="","",$E234*$H234)</f>
        <v/>
      </c>
      <c r="J234" s="19">
        <f>IF(OR($A234="",$I234=0),"",$D234/$I234)</f>
        <v/>
      </c>
      <c r="K234" s="19">
        <f>IF(OR($A234="",$I234=0),"",$F234/$I234)</f>
        <v/>
      </c>
      <c r="L234" s="19">
        <f>IF($A234="","",$D234)</f>
        <v/>
      </c>
      <c r="M234" s="19">
        <f>IF($A234="","",MAX(0,MIN(100,gup_kaliteTaban-IF($J234&lt;gup_esikPr,gup_kaliteCeza,0)-IF($F234&gt;gup_esikKayipKwh,gup_kaliteSapma,0)-IF($P234="YETIM",gup_kaliteCeza,0))))</f>
        <v/>
      </c>
      <c r="N234" s="19">
        <f>IF($A234="","",IF(OR($J234&lt;gup_esikPr,$F234&gt;gup_esikKayipKwh,$M234&lt;gup_esikSaglik),"ALARM","UYGUN"))</f>
        <v/>
      </c>
      <c r="O234" s="19">
        <f>IF($A234="","",1)</f>
        <v/>
      </c>
      <c r="P234" s="19">
        <f>IF($A234="","",IF(OR($B234="",COUNTIF(tblVarliklar[VarlikId],$B234)=0),"YETIM","TAMAM"))</f>
        <v/>
      </c>
    </row>
    <row r="235">
      <c r="A235" s="15" t="n"/>
      <c r="B235" s="15" t="n"/>
      <c r="C235" s="62" t="n"/>
      <c r="D235" s="16" t="n"/>
      <c r="E235" s="21" t="n"/>
      <c r="F235" s="16" t="n"/>
      <c r="G235" s="15" t="n"/>
      <c r="H235" s="19">
        <f>IF($A235="","",IFERROR(SUMIF(tblVarliklar[VarlikId],$B235,tblVarliklar[KapasiteKwp_kwp]),gup_varsayilanKapasite))</f>
        <v/>
      </c>
      <c r="I235" s="19">
        <f>IF($A235="","",$E235*$H235)</f>
        <v/>
      </c>
      <c r="J235" s="19">
        <f>IF(OR($A235="",$I235=0),"",$D235/$I235)</f>
        <v/>
      </c>
      <c r="K235" s="19">
        <f>IF(OR($A235="",$I235=0),"",$F235/$I235)</f>
        <v/>
      </c>
      <c r="L235" s="19">
        <f>IF($A235="","",$D235)</f>
        <v/>
      </c>
      <c r="M235" s="19">
        <f>IF($A235="","",MAX(0,MIN(100,gup_kaliteTaban-IF($J235&lt;gup_esikPr,gup_kaliteCeza,0)-IF($F235&gt;gup_esikKayipKwh,gup_kaliteSapma,0)-IF($P235="YETIM",gup_kaliteCeza,0))))</f>
        <v/>
      </c>
      <c r="N235" s="19">
        <f>IF($A235="","",IF(OR($J235&lt;gup_esikPr,$F235&gt;gup_esikKayipKwh,$M235&lt;gup_esikSaglik),"ALARM","UYGUN"))</f>
        <v/>
      </c>
      <c r="O235" s="19">
        <f>IF($A235="","",1)</f>
        <v/>
      </c>
      <c r="P235" s="19">
        <f>IF($A235="","",IF(OR($B235="",COUNTIF(tblVarliklar[VarlikId],$B235)=0),"YETIM","TAMAM"))</f>
        <v/>
      </c>
    </row>
    <row r="236">
      <c r="A236" s="15" t="n"/>
      <c r="B236" s="15" t="n"/>
      <c r="C236" s="62" t="n"/>
      <c r="D236" s="16" t="n"/>
      <c r="E236" s="21" t="n"/>
      <c r="F236" s="16" t="n"/>
      <c r="G236" s="15" t="n"/>
      <c r="H236" s="19">
        <f>IF($A236="","",IFERROR(SUMIF(tblVarliklar[VarlikId],$B236,tblVarliklar[KapasiteKwp_kwp]),gup_varsayilanKapasite))</f>
        <v/>
      </c>
      <c r="I236" s="19">
        <f>IF($A236="","",$E236*$H236)</f>
        <v/>
      </c>
      <c r="J236" s="19">
        <f>IF(OR($A236="",$I236=0),"",$D236/$I236)</f>
        <v/>
      </c>
      <c r="K236" s="19">
        <f>IF(OR($A236="",$I236=0),"",$F236/$I236)</f>
        <v/>
      </c>
      <c r="L236" s="19">
        <f>IF($A236="","",$D236)</f>
        <v/>
      </c>
      <c r="M236" s="19">
        <f>IF($A236="","",MAX(0,MIN(100,gup_kaliteTaban-IF($J236&lt;gup_esikPr,gup_kaliteCeza,0)-IF($F236&gt;gup_esikKayipKwh,gup_kaliteSapma,0)-IF($P236="YETIM",gup_kaliteCeza,0))))</f>
        <v/>
      </c>
      <c r="N236" s="19">
        <f>IF($A236="","",IF(OR($J236&lt;gup_esikPr,$F236&gt;gup_esikKayipKwh,$M236&lt;gup_esikSaglik),"ALARM","UYGUN"))</f>
        <v/>
      </c>
      <c r="O236" s="19">
        <f>IF($A236="","",1)</f>
        <v/>
      </c>
      <c r="P236" s="19">
        <f>IF($A236="","",IF(OR($B236="",COUNTIF(tblVarliklar[VarlikId],$B236)=0),"YETIM","TAMAM"))</f>
        <v/>
      </c>
    </row>
    <row r="237">
      <c r="A237" s="15" t="n"/>
      <c r="B237" s="15" t="n"/>
      <c r="C237" s="62" t="n"/>
      <c r="D237" s="16" t="n"/>
      <c r="E237" s="21" t="n"/>
      <c r="F237" s="16" t="n"/>
      <c r="G237" s="15" t="n"/>
      <c r="H237" s="19">
        <f>IF($A237="","",IFERROR(SUMIF(tblVarliklar[VarlikId],$B237,tblVarliklar[KapasiteKwp_kwp]),gup_varsayilanKapasite))</f>
        <v/>
      </c>
      <c r="I237" s="19">
        <f>IF($A237="","",$E237*$H237)</f>
        <v/>
      </c>
      <c r="J237" s="19">
        <f>IF(OR($A237="",$I237=0),"",$D237/$I237)</f>
        <v/>
      </c>
      <c r="K237" s="19">
        <f>IF(OR($A237="",$I237=0),"",$F237/$I237)</f>
        <v/>
      </c>
      <c r="L237" s="19">
        <f>IF($A237="","",$D237)</f>
        <v/>
      </c>
      <c r="M237" s="19">
        <f>IF($A237="","",MAX(0,MIN(100,gup_kaliteTaban-IF($J237&lt;gup_esikPr,gup_kaliteCeza,0)-IF($F237&gt;gup_esikKayipKwh,gup_kaliteSapma,0)-IF($P237="YETIM",gup_kaliteCeza,0))))</f>
        <v/>
      </c>
      <c r="N237" s="19">
        <f>IF($A237="","",IF(OR($J237&lt;gup_esikPr,$F237&gt;gup_esikKayipKwh,$M237&lt;gup_esikSaglik),"ALARM","UYGUN"))</f>
        <v/>
      </c>
      <c r="O237" s="19">
        <f>IF($A237="","",1)</f>
        <v/>
      </c>
      <c r="P237" s="19">
        <f>IF($A237="","",IF(OR($B237="",COUNTIF(tblVarliklar[VarlikId],$B237)=0),"YETIM","TAMAM"))</f>
        <v/>
      </c>
    </row>
    <row r="238">
      <c r="A238" s="15" t="n"/>
      <c r="B238" s="15" t="n"/>
      <c r="C238" s="62" t="n"/>
      <c r="D238" s="16" t="n"/>
      <c r="E238" s="21" t="n"/>
      <c r="F238" s="16" t="n"/>
      <c r="G238" s="15" t="n"/>
      <c r="H238" s="19">
        <f>IF($A238="","",IFERROR(SUMIF(tblVarliklar[VarlikId],$B238,tblVarliklar[KapasiteKwp_kwp]),gup_varsayilanKapasite))</f>
        <v/>
      </c>
      <c r="I238" s="19">
        <f>IF($A238="","",$E238*$H238)</f>
        <v/>
      </c>
      <c r="J238" s="19">
        <f>IF(OR($A238="",$I238=0),"",$D238/$I238)</f>
        <v/>
      </c>
      <c r="K238" s="19">
        <f>IF(OR($A238="",$I238=0),"",$F238/$I238)</f>
        <v/>
      </c>
      <c r="L238" s="19">
        <f>IF($A238="","",$D238)</f>
        <v/>
      </c>
      <c r="M238" s="19">
        <f>IF($A238="","",MAX(0,MIN(100,gup_kaliteTaban-IF($J238&lt;gup_esikPr,gup_kaliteCeza,0)-IF($F238&gt;gup_esikKayipKwh,gup_kaliteSapma,0)-IF($P238="YETIM",gup_kaliteCeza,0))))</f>
        <v/>
      </c>
      <c r="N238" s="19">
        <f>IF($A238="","",IF(OR($J238&lt;gup_esikPr,$F238&gt;gup_esikKayipKwh,$M238&lt;gup_esikSaglik),"ALARM","UYGUN"))</f>
        <v/>
      </c>
      <c r="O238" s="19">
        <f>IF($A238="","",1)</f>
        <v/>
      </c>
      <c r="P238" s="19">
        <f>IF($A238="","",IF(OR($B238="",COUNTIF(tblVarliklar[VarlikId],$B238)=0),"YETIM","TAMAM"))</f>
        <v/>
      </c>
    </row>
    <row r="239">
      <c r="A239" s="15" t="n"/>
      <c r="B239" s="15" t="n"/>
      <c r="C239" s="62" t="n"/>
      <c r="D239" s="16" t="n"/>
      <c r="E239" s="21" t="n"/>
      <c r="F239" s="16" t="n"/>
      <c r="G239" s="15" t="n"/>
      <c r="H239" s="19">
        <f>IF($A239="","",IFERROR(SUMIF(tblVarliklar[VarlikId],$B239,tblVarliklar[KapasiteKwp_kwp]),gup_varsayilanKapasite))</f>
        <v/>
      </c>
      <c r="I239" s="19">
        <f>IF($A239="","",$E239*$H239)</f>
        <v/>
      </c>
      <c r="J239" s="19">
        <f>IF(OR($A239="",$I239=0),"",$D239/$I239)</f>
        <v/>
      </c>
      <c r="K239" s="19">
        <f>IF(OR($A239="",$I239=0),"",$F239/$I239)</f>
        <v/>
      </c>
      <c r="L239" s="19">
        <f>IF($A239="","",$D239)</f>
        <v/>
      </c>
      <c r="M239" s="19">
        <f>IF($A239="","",MAX(0,MIN(100,gup_kaliteTaban-IF($J239&lt;gup_esikPr,gup_kaliteCeza,0)-IF($F239&gt;gup_esikKayipKwh,gup_kaliteSapma,0)-IF($P239="YETIM",gup_kaliteCeza,0))))</f>
        <v/>
      </c>
      <c r="N239" s="19">
        <f>IF($A239="","",IF(OR($J239&lt;gup_esikPr,$F239&gt;gup_esikKayipKwh,$M239&lt;gup_esikSaglik),"ALARM","UYGUN"))</f>
        <v/>
      </c>
      <c r="O239" s="19">
        <f>IF($A239="","",1)</f>
        <v/>
      </c>
      <c r="P239" s="19">
        <f>IF($A239="","",IF(OR($B239="",COUNTIF(tblVarliklar[VarlikId],$B239)=0),"YETIM","TAMAM"))</f>
        <v/>
      </c>
    </row>
    <row r="240">
      <c r="A240" s="15" t="n"/>
      <c r="B240" s="15" t="n"/>
      <c r="C240" s="62" t="n"/>
      <c r="D240" s="16" t="n"/>
      <c r="E240" s="21" t="n"/>
      <c r="F240" s="16" t="n"/>
      <c r="G240" s="15" t="n"/>
      <c r="H240" s="19">
        <f>IF($A240="","",IFERROR(SUMIF(tblVarliklar[VarlikId],$B240,tblVarliklar[KapasiteKwp_kwp]),gup_varsayilanKapasite))</f>
        <v/>
      </c>
      <c r="I240" s="19">
        <f>IF($A240="","",$E240*$H240)</f>
        <v/>
      </c>
      <c r="J240" s="19">
        <f>IF(OR($A240="",$I240=0),"",$D240/$I240)</f>
        <v/>
      </c>
      <c r="K240" s="19">
        <f>IF(OR($A240="",$I240=0),"",$F240/$I240)</f>
        <v/>
      </c>
      <c r="L240" s="19">
        <f>IF($A240="","",$D240)</f>
        <v/>
      </c>
      <c r="M240" s="19">
        <f>IF($A240="","",MAX(0,MIN(100,gup_kaliteTaban-IF($J240&lt;gup_esikPr,gup_kaliteCeza,0)-IF($F240&gt;gup_esikKayipKwh,gup_kaliteSapma,0)-IF($P240="YETIM",gup_kaliteCeza,0))))</f>
        <v/>
      </c>
      <c r="N240" s="19">
        <f>IF($A240="","",IF(OR($J240&lt;gup_esikPr,$F240&gt;gup_esikKayipKwh,$M240&lt;gup_esikSaglik),"ALARM","UYGUN"))</f>
        <v/>
      </c>
      <c r="O240" s="19">
        <f>IF($A240="","",1)</f>
        <v/>
      </c>
      <c r="P240" s="19">
        <f>IF($A240="","",IF(OR($B240="",COUNTIF(tblVarliklar[VarlikId],$B240)=0),"YETIM","TAMAM"))</f>
        <v/>
      </c>
    </row>
    <row r="241">
      <c r="A241" s="15" t="n"/>
      <c r="B241" s="15" t="n"/>
      <c r="C241" s="62" t="n"/>
      <c r="D241" s="16" t="n"/>
      <c r="E241" s="21" t="n"/>
      <c r="F241" s="16" t="n"/>
      <c r="G241" s="15" t="n"/>
      <c r="H241" s="19">
        <f>IF($A241="","",IFERROR(SUMIF(tblVarliklar[VarlikId],$B241,tblVarliklar[KapasiteKwp_kwp]),gup_varsayilanKapasite))</f>
        <v/>
      </c>
      <c r="I241" s="19">
        <f>IF($A241="","",$E241*$H241)</f>
        <v/>
      </c>
      <c r="J241" s="19">
        <f>IF(OR($A241="",$I241=0),"",$D241/$I241)</f>
        <v/>
      </c>
      <c r="K241" s="19">
        <f>IF(OR($A241="",$I241=0),"",$F241/$I241)</f>
        <v/>
      </c>
      <c r="L241" s="19">
        <f>IF($A241="","",$D241)</f>
        <v/>
      </c>
      <c r="M241" s="19">
        <f>IF($A241="","",MAX(0,MIN(100,gup_kaliteTaban-IF($J241&lt;gup_esikPr,gup_kaliteCeza,0)-IF($F241&gt;gup_esikKayipKwh,gup_kaliteSapma,0)-IF($P241="YETIM",gup_kaliteCeza,0))))</f>
        <v/>
      </c>
      <c r="N241" s="19">
        <f>IF($A241="","",IF(OR($J241&lt;gup_esikPr,$F241&gt;gup_esikKayipKwh,$M241&lt;gup_esikSaglik),"ALARM","UYGUN"))</f>
        <v/>
      </c>
      <c r="O241" s="19">
        <f>IF($A241="","",1)</f>
        <v/>
      </c>
      <c r="P241" s="19">
        <f>IF($A241="","",IF(OR($B241="",COUNTIF(tblVarliklar[VarlikId],$B241)=0),"YETIM","TAMAM"))</f>
        <v/>
      </c>
    </row>
    <row r="242">
      <c r="A242" s="15" t="n"/>
      <c r="B242" s="15" t="n"/>
      <c r="C242" s="62" t="n"/>
      <c r="D242" s="16" t="n"/>
      <c r="E242" s="21" t="n"/>
      <c r="F242" s="16" t="n"/>
      <c r="G242" s="15" t="n"/>
      <c r="H242" s="19">
        <f>IF($A242="","",IFERROR(SUMIF(tblVarliklar[VarlikId],$B242,tblVarliklar[KapasiteKwp_kwp]),gup_varsayilanKapasite))</f>
        <v/>
      </c>
      <c r="I242" s="19">
        <f>IF($A242="","",$E242*$H242)</f>
        <v/>
      </c>
      <c r="J242" s="19">
        <f>IF(OR($A242="",$I242=0),"",$D242/$I242)</f>
        <v/>
      </c>
      <c r="K242" s="19">
        <f>IF(OR($A242="",$I242=0),"",$F242/$I242)</f>
        <v/>
      </c>
      <c r="L242" s="19">
        <f>IF($A242="","",$D242)</f>
        <v/>
      </c>
      <c r="M242" s="19">
        <f>IF($A242="","",MAX(0,MIN(100,gup_kaliteTaban-IF($J242&lt;gup_esikPr,gup_kaliteCeza,0)-IF($F242&gt;gup_esikKayipKwh,gup_kaliteSapma,0)-IF($P242="YETIM",gup_kaliteCeza,0))))</f>
        <v/>
      </c>
      <c r="N242" s="19">
        <f>IF($A242="","",IF(OR($J242&lt;gup_esikPr,$F242&gt;gup_esikKayipKwh,$M242&lt;gup_esikSaglik),"ALARM","UYGUN"))</f>
        <v/>
      </c>
      <c r="O242" s="19">
        <f>IF($A242="","",1)</f>
        <v/>
      </c>
      <c r="P242" s="19">
        <f>IF($A242="","",IF(OR($B242="",COUNTIF(tblVarliklar[VarlikId],$B242)=0),"YETIM","TAMAM"))</f>
        <v/>
      </c>
    </row>
    <row r="243">
      <c r="A243" s="15" t="n"/>
      <c r="B243" s="15" t="n"/>
      <c r="C243" s="62" t="n"/>
      <c r="D243" s="16" t="n"/>
      <c r="E243" s="21" t="n"/>
      <c r="F243" s="16" t="n"/>
      <c r="G243" s="15" t="n"/>
      <c r="H243" s="19">
        <f>IF($A243="","",IFERROR(SUMIF(tblVarliklar[VarlikId],$B243,tblVarliklar[KapasiteKwp_kwp]),gup_varsayilanKapasite))</f>
        <v/>
      </c>
      <c r="I243" s="19">
        <f>IF($A243="","",$E243*$H243)</f>
        <v/>
      </c>
      <c r="J243" s="19">
        <f>IF(OR($A243="",$I243=0),"",$D243/$I243)</f>
        <v/>
      </c>
      <c r="K243" s="19">
        <f>IF(OR($A243="",$I243=0),"",$F243/$I243)</f>
        <v/>
      </c>
      <c r="L243" s="19">
        <f>IF($A243="","",$D243)</f>
        <v/>
      </c>
      <c r="M243" s="19">
        <f>IF($A243="","",MAX(0,MIN(100,gup_kaliteTaban-IF($J243&lt;gup_esikPr,gup_kaliteCeza,0)-IF($F243&gt;gup_esikKayipKwh,gup_kaliteSapma,0)-IF($P243="YETIM",gup_kaliteCeza,0))))</f>
        <v/>
      </c>
      <c r="N243" s="19">
        <f>IF($A243="","",IF(OR($J243&lt;gup_esikPr,$F243&gt;gup_esikKayipKwh,$M243&lt;gup_esikSaglik),"ALARM","UYGUN"))</f>
        <v/>
      </c>
      <c r="O243" s="19">
        <f>IF($A243="","",1)</f>
        <v/>
      </c>
      <c r="P243" s="19">
        <f>IF($A243="","",IF(OR($B243="",COUNTIF(tblVarliklar[VarlikId],$B243)=0),"YETIM","TAMAM"))</f>
        <v/>
      </c>
    </row>
    <row r="244">
      <c r="A244" s="15" t="n"/>
      <c r="B244" s="15" t="n"/>
      <c r="C244" s="62" t="n"/>
      <c r="D244" s="16" t="n"/>
      <c r="E244" s="21" t="n"/>
      <c r="F244" s="16" t="n"/>
      <c r="G244" s="15" t="n"/>
      <c r="H244" s="19">
        <f>IF($A244="","",IFERROR(SUMIF(tblVarliklar[VarlikId],$B244,tblVarliklar[KapasiteKwp_kwp]),gup_varsayilanKapasite))</f>
        <v/>
      </c>
      <c r="I244" s="19">
        <f>IF($A244="","",$E244*$H244)</f>
        <v/>
      </c>
      <c r="J244" s="19">
        <f>IF(OR($A244="",$I244=0),"",$D244/$I244)</f>
        <v/>
      </c>
      <c r="K244" s="19">
        <f>IF(OR($A244="",$I244=0),"",$F244/$I244)</f>
        <v/>
      </c>
      <c r="L244" s="19">
        <f>IF($A244="","",$D244)</f>
        <v/>
      </c>
      <c r="M244" s="19">
        <f>IF($A244="","",MAX(0,MIN(100,gup_kaliteTaban-IF($J244&lt;gup_esikPr,gup_kaliteCeza,0)-IF($F244&gt;gup_esikKayipKwh,gup_kaliteSapma,0)-IF($P244="YETIM",gup_kaliteCeza,0))))</f>
        <v/>
      </c>
      <c r="N244" s="19">
        <f>IF($A244="","",IF(OR($J244&lt;gup_esikPr,$F244&gt;gup_esikKayipKwh,$M244&lt;gup_esikSaglik),"ALARM","UYGUN"))</f>
        <v/>
      </c>
      <c r="O244" s="19">
        <f>IF($A244="","",1)</f>
        <v/>
      </c>
      <c r="P244" s="19">
        <f>IF($A244="","",IF(OR($B244="",COUNTIF(tblVarliklar[VarlikId],$B244)=0),"YETIM","TAMAM"))</f>
        <v/>
      </c>
    </row>
    <row r="245">
      <c r="A245" s="15" t="n"/>
      <c r="B245" s="15" t="n"/>
      <c r="C245" s="62" t="n"/>
      <c r="D245" s="16" t="n"/>
      <c r="E245" s="21" t="n"/>
      <c r="F245" s="16" t="n"/>
      <c r="G245" s="15" t="n"/>
      <c r="H245" s="19">
        <f>IF($A245="","",IFERROR(SUMIF(tblVarliklar[VarlikId],$B245,tblVarliklar[KapasiteKwp_kwp]),gup_varsayilanKapasite))</f>
        <v/>
      </c>
      <c r="I245" s="19">
        <f>IF($A245="","",$E245*$H245)</f>
        <v/>
      </c>
      <c r="J245" s="19">
        <f>IF(OR($A245="",$I245=0),"",$D245/$I245)</f>
        <v/>
      </c>
      <c r="K245" s="19">
        <f>IF(OR($A245="",$I245=0),"",$F245/$I245)</f>
        <v/>
      </c>
      <c r="L245" s="19">
        <f>IF($A245="","",$D245)</f>
        <v/>
      </c>
      <c r="M245" s="19">
        <f>IF($A245="","",MAX(0,MIN(100,gup_kaliteTaban-IF($J245&lt;gup_esikPr,gup_kaliteCeza,0)-IF($F245&gt;gup_esikKayipKwh,gup_kaliteSapma,0)-IF($P245="YETIM",gup_kaliteCeza,0))))</f>
        <v/>
      </c>
      <c r="N245" s="19">
        <f>IF($A245="","",IF(OR($J245&lt;gup_esikPr,$F245&gt;gup_esikKayipKwh,$M245&lt;gup_esikSaglik),"ALARM","UYGUN"))</f>
        <v/>
      </c>
      <c r="O245" s="19">
        <f>IF($A245="","",1)</f>
        <v/>
      </c>
      <c r="P245" s="19">
        <f>IF($A245="","",IF(OR($B245="",COUNTIF(tblVarliklar[VarlikId],$B245)=0),"YETIM","TAMAM"))</f>
        <v/>
      </c>
    </row>
    <row r="246">
      <c r="A246" s="15" t="n"/>
      <c r="B246" s="15" t="n"/>
      <c r="C246" s="62" t="n"/>
      <c r="D246" s="16" t="n"/>
      <c r="E246" s="21" t="n"/>
      <c r="F246" s="16" t="n"/>
      <c r="G246" s="15" t="n"/>
      <c r="H246" s="19">
        <f>IF($A246="","",IFERROR(SUMIF(tblVarliklar[VarlikId],$B246,tblVarliklar[KapasiteKwp_kwp]),gup_varsayilanKapasite))</f>
        <v/>
      </c>
      <c r="I246" s="19">
        <f>IF($A246="","",$E246*$H246)</f>
        <v/>
      </c>
      <c r="J246" s="19">
        <f>IF(OR($A246="",$I246=0),"",$D246/$I246)</f>
        <v/>
      </c>
      <c r="K246" s="19">
        <f>IF(OR($A246="",$I246=0),"",$F246/$I246)</f>
        <v/>
      </c>
      <c r="L246" s="19">
        <f>IF($A246="","",$D246)</f>
        <v/>
      </c>
      <c r="M246" s="19">
        <f>IF($A246="","",MAX(0,MIN(100,gup_kaliteTaban-IF($J246&lt;gup_esikPr,gup_kaliteCeza,0)-IF($F246&gt;gup_esikKayipKwh,gup_kaliteSapma,0)-IF($P246="YETIM",gup_kaliteCeza,0))))</f>
        <v/>
      </c>
      <c r="N246" s="19">
        <f>IF($A246="","",IF(OR($J246&lt;gup_esikPr,$F246&gt;gup_esikKayipKwh,$M246&lt;gup_esikSaglik),"ALARM","UYGUN"))</f>
        <v/>
      </c>
      <c r="O246" s="19">
        <f>IF($A246="","",1)</f>
        <v/>
      </c>
      <c r="P246" s="19">
        <f>IF($A246="","",IF(OR($B246="",COUNTIF(tblVarliklar[VarlikId],$B246)=0),"YETIM","TAMAM"))</f>
        <v/>
      </c>
    </row>
    <row r="247">
      <c r="A247" s="15" t="n"/>
      <c r="B247" s="15" t="n"/>
      <c r="C247" s="62" t="n"/>
      <c r="D247" s="16" t="n"/>
      <c r="E247" s="21" t="n"/>
      <c r="F247" s="16" t="n"/>
      <c r="G247" s="15" t="n"/>
      <c r="H247" s="19">
        <f>IF($A247="","",IFERROR(SUMIF(tblVarliklar[VarlikId],$B247,tblVarliklar[KapasiteKwp_kwp]),gup_varsayilanKapasite))</f>
        <v/>
      </c>
      <c r="I247" s="19">
        <f>IF($A247="","",$E247*$H247)</f>
        <v/>
      </c>
      <c r="J247" s="19">
        <f>IF(OR($A247="",$I247=0),"",$D247/$I247)</f>
        <v/>
      </c>
      <c r="K247" s="19">
        <f>IF(OR($A247="",$I247=0),"",$F247/$I247)</f>
        <v/>
      </c>
      <c r="L247" s="19">
        <f>IF($A247="","",$D247)</f>
        <v/>
      </c>
      <c r="M247" s="19">
        <f>IF($A247="","",MAX(0,MIN(100,gup_kaliteTaban-IF($J247&lt;gup_esikPr,gup_kaliteCeza,0)-IF($F247&gt;gup_esikKayipKwh,gup_kaliteSapma,0)-IF($P247="YETIM",gup_kaliteCeza,0))))</f>
        <v/>
      </c>
      <c r="N247" s="19">
        <f>IF($A247="","",IF(OR($J247&lt;gup_esikPr,$F247&gt;gup_esikKayipKwh,$M247&lt;gup_esikSaglik),"ALARM","UYGUN"))</f>
        <v/>
      </c>
      <c r="O247" s="19">
        <f>IF($A247="","",1)</f>
        <v/>
      </c>
      <c r="P247" s="19">
        <f>IF($A247="","",IF(OR($B247="",COUNTIF(tblVarliklar[VarlikId],$B247)=0),"YETIM","TAMAM"))</f>
        <v/>
      </c>
    </row>
    <row r="248">
      <c r="A248" s="15" t="n"/>
      <c r="B248" s="15" t="n"/>
      <c r="C248" s="62" t="n"/>
      <c r="D248" s="16" t="n"/>
      <c r="E248" s="21" t="n"/>
      <c r="F248" s="16" t="n"/>
      <c r="G248" s="15" t="n"/>
      <c r="H248" s="19">
        <f>IF($A248="","",IFERROR(SUMIF(tblVarliklar[VarlikId],$B248,tblVarliklar[KapasiteKwp_kwp]),gup_varsayilanKapasite))</f>
        <v/>
      </c>
      <c r="I248" s="19">
        <f>IF($A248="","",$E248*$H248)</f>
        <v/>
      </c>
      <c r="J248" s="19">
        <f>IF(OR($A248="",$I248=0),"",$D248/$I248)</f>
        <v/>
      </c>
      <c r="K248" s="19">
        <f>IF(OR($A248="",$I248=0),"",$F248/$I248)</f>
        <v/>
      </c>
      <c r="L248" s="19">
        <f>IF($A248="","",$D248)</f>
        <v/>
      </c>
      <c r="M248" s="19">
        <f>IF($A248="","",MAX(0,MIN(100,gup_kaliteTaban-IF($J248&lt;gup_esikPr,gup_kaliteCeza,0)-IF($F248&gt;gup_esikKayipKwh,gup_kaliteSapma,0)-IF($P248="YETIM",gup_kaliteCeza,0))))</f>
        <v/>
      </c>
      <c r="N248" s="19">
        <f>IF($A248="","",IF(OR($J248&lt;gup_esikPr,$F248&gt;gup_esikKayipKwh,$M248&lt;gup_esikSaglik),"ALARM","UYGUN"))</f>
        <v/>
      </c>
      <c r="O248" s="19">
        <f>IF($A248="","",1)</f>
        <v/>
      </c>
      <c r="P248" s="19">
        <f>IF($A248="","",IF(OR($B248="",COUNTIF(tblVarliklar[VarlikId],$B248)=0),"YETIM","TAMAM"))</f>
        <v/>
      </c>
    </row>
    <row r="249">
      <c r="A249" s="15" t="n"/>
      <c r="B249" s="15" t="n"/>
      <c r="C249" s="62" t="n"/>
      <c r="D249" s="16" t="n"/>
      <c r="E249" s="21" t="n"/>
      <c r="F249" s="16" t="n"/>
      <c r="G249" s="15" t="n"/>
      <c r="H249" s="19">
        <f>IF($A249="","",IFERROR(SUMIF(tblVarliklar[VarlikId],$B249,tblVarliklar[KapasiteKwp_kwp]),gup_varsayilanKapasite))</f>
        <v/>
      </c>
      <c r="I249" s="19">
        <f>IF($A249="","",$E249*$H249)</f>
        <v/>
      </c>
      <c r="J249" s="19">
        <f>IF(OR($A249="",$I249=0),"",$D249/$I249)</f>
        <v/>
      </c>
      <c r="K249" s="19">
        <f>IF(OR($A249="",$I249=0),"",$F249/$I249)</f>
        <v/>
      </c>
      <c r="L249" s="19">
        <f>IF($A249="","",$D249)</f>
        <v/>
      </c>
      <c r="M249" s="19">
        <f>IF($A249="","",MAX(0,MIN(100,gup_kaliteTaban-IF($J249&lt;gup_esikPr,gup_kaliteCeza,0)-IF($F249&gt;gup_esikKayipKwh,gup_kaliteSapma,0)-IF($P249="YETIM",gup_kaliteCeza,0))))</f>
        <v/>
      </c>
      <c r="N249" s="19">
        <f>IF($A249="","",IF(OR($J249&lt;gup_esikPr,$F249&gt;gup_esikKayipKwh,$M249&lt;gup_esikSaglik),"ALARM","UYGUN"))</f>
        <v/>
      </c>
      <c r="O249" s="19">
        <f>IF($A249="","",1)</f>
        <v/>
      </c>
      <c r="P249" s="19">
        <f>IF($A249="","",IF(OR($B249="",COUNTIF(tblVarliklar[VarlikId],$B249)=0),"YETIM","TAMAM"))</f>
        <v/>
      </c>
    </row>
    <row r="250">
      <c r="A250" s="15" t="n"/>
      <c r="B250" s="15" t="n"/>
      <c r="C250" s="62" t="n"/>
      <c r="D250" s="16" t="n"/>
      <c r="E250" s="21" t="n"/>
      <c r="F250" s="16" t="n"/>
      <c r="G250" s="15" t="n"/>
      <c r="H250" s="19">
        <f>IF($A250="","",IFERROR(SUMIF(tblVarliklar[VarlikId],$B250,tblVarliklar[KapasiteKwp_kwp]),gup_varsayilanKapasite))</f>
        <v/>
      </c>
      <c r="I250" s="19">
        <f>IF($A250="","",$E250*$H250)</f>
        <v/>
      </c>
      <c r="J250" s="19">
        <f>IF(OR($A250="",$I250=0),"",$D250/$I250)</f>
        <v/>
      </c>
      <c r="K250" s="19">
        <f>IF(OR($A250="",$I250=0),"",$F250/$I250)</f>
        <v/>
      </c>
      <c r="L250" s="19">
        <f>IF($A250="","",$D250)</f>
        <v/>
      </c>
      <c r="M250" s="19">
        <f>IF($A250="","",MAX(0,MIN(100,gup_kaliteTaban-IF($J250&lt;gup_esikPr,gup_kaliteCeza,0)-IF($F250&gt;gup_esikKayipKwh,gup_kaliteSapma,0)-IF($P250="YETIM",gup_kaliteCeza,0))))</f>
        <v/>
      </c>
      <c r="N250" s="19">
        <f>IF($A250="","",IF(OR($J250&lt;gup_esikPr,$F250&gt;gup_esikKayipKwh,$M250&lt;gup_esikSaglik),"ALARM","UYGUN"))</f>
        <v/>
      </c>
      <c r="O250" s="19">
        <f>IF($A250="","",1)</f>
        <v/>
      </c>
      <c r="P250" s="19">
        <f>IF($A250="","",IF(OR($B250="",COUNTIF(tblVarliklar[VarlikId],$B250)=0),"YETIM","TAMAM"))</f>
        <v/>
      </c>
    </row>
    <row r="251">
      <c r="A251" s="15" t="n"/>
      <c r="B251" s="15" t="n"/>
      <c r="C251" s="62" t="n"/>
      <c r="D251" s="16" t="n"/>
      <c r="E251" s="21" t="n"/>
      <c r="F251" s="16" t="n"/>
      <c r="G251" s="15" t="n"/>
      <c r="H251" s="19">
        <f>IF($A251="","",IFERROR(SUMIF(tblVarliklar[VarlikId],$B251,tblVarliklar[KapasiteKwp_kwp]),gup_varsayilanKapasite))</f>
        <v/>
      </c>
      <c r="I251" s="19">
        <f>IF($A251="","",$E251*$H251)</f>
        <v/>
      </c>
      <c r="J251" s="19">
        <f>IF(OR($A251="",$I251=0),"",$D251/$I251)</f>
        <v/>
      </c>
      <c r="K251" s="19">
        <f>IF(OR($A251="",$I251=0),"",$F251/$I251)</f>
        <v/>
      </c>
      <c r="L251" s="19">
        <f>IF($A251="","",$D251)</f>
        <v/>
      </c>
      <c r="M251" s="19">
        <f>IF($A251="","",MAX(0,MIN(100,gup_kaliteTaban-IF($J251&lt;gup_esikPr,gup_kaliteCeza,0)-IF($F251&gt;gup_esikKayipKwh,gup_kaliteSapma,0)-IF($P251="YETIM",gup_kaliteCeza,0))))</f>
        <v/>
      </c>
      <c r="N251" s="19">
        <f>IF($A251="","",IF(OR($J251&lt;gup_esikPr,$F251&gt;gup_esikKayipKwh,$M251&lt;gup_esikSaglik),"ALARM","UYGUN"))</f>
        <v/>
      </c>
      <c r="O251" s="19">
        <f>IF($A251="","",1)</f>
        <v/>
      </c>
      <c r="P251" s="19">
        <f>IF($A251="","",IF(OR($B251="",COUNTIF(tblVarliklar[VarlikId],$B251)=0),"YETIM","TAMAM"))</f>
        <v/>
      </c>
    </row>
    <row r="252">
      <c r="A252" s="15" t="n"/>
      <c r="B252" s="15" t="n"/>
      <c r="C252" s="62" t="n"/>
      <c r="D252" s="16" t="n"/>
      <c r="E252" s="21" t="n"/>
      <c r="F252" s="16" t="n"/>
      <c r="G252" s="15" t="n"/>
      <c r="H252" s="19">
        <f>IF($A252="","",IFERROR(SUMIF(tblVarliklar[VarlikId],$B252,tblVarliklar[KapasiteKwp_kwp]),gup_varsayilanKapasite))</f>
        <v/>
      </c>
      <c r="I252" s="19">
        <f>IF($A252="","",$E252*$H252)</f>
        <v/>
      </c>
      <c r="J252" s="19">
        <f>IF(OR($A252="",$I252=0),"",$D252/$I252)</f>
        <v/>
      </c>
      <c r="K252" s="19">
        <f>IF(OR($A252="",$I252=0),"",$F252/$I252)</f>
        <v/>
      </c>
      <c r="L252" s="19">
        <f>IF($A252="","",$D252)</f>
        <v/>
      </c>
      <c r="M252" s="19">
        <f>IF($A252="","",MAX(0,MIN(100,gup_kaliteTaban-IF($J252&lt;gup_esikPr,gup_kaliteCeza,0)-IF($F252&gt;gup_esikKayipKwh,gup_kaliteSapma,0)-IF($P252="YETIM",gup_kaliteCeza,0))))</f>
        <v/>
      </c>
      <c r="N252" s="19">
        <f>IF($A252="","",IF(OR($J252&lt;gup_esikPr,$F252&gt;gup_esikKayipKwh,$M252&lt;gup_esikSaglik),"ALARM","UYGUN"))</f>
        <v/>
      </c>
      <c r="O252" s="19">
        <f>IF($A252="","",1)</f>
        <v/>
      </c>
      <c r="P252" s="19">
        <f>IF($A252="","",IF(OR($B252="",COUNTIF(tblVarliklar[VarlikId],$B252)=0),"YETIM","TAMAM"))</f>
        <v/>
      </c>
    </row>
    <row r="253">
      <c r="A253" s="15" t="n"/>
      <c r="B253" s="15" t="n"/>
      <c r="C253" s="62" t="n"/>
      <c r="D253" s="16" t="n"/>
      <c r="E253" s="21" t="n"/>
      <c r="F253" s="16" t="n"/>
      <c r="G253" s="15" t="n"/>
      <c r="H253" s="19">
        <f>IF($A253="","",IFERROR(SUMIF(tblVarliklar[VarlikId],$B253,tblVarliklar[KapasiteKwp_kwp]),gup_varsayilanKapasite))</f>
        <v/>
      </c>
      <c r="I253" s="19">
        <f>IF($A253="","",$E253*$H253)</f>
        <v/>
      </c>
      <c r="J253" s="19">
        <f>IF(OR($A253="",$I253=0),"",$D253/$I253)</f>
        <v/>
      </c>
      <c r="K253" s="19">
        <f>IF(OR($A253="",$I253=0),"",$F253/$I253)</f>
        <v/>
      </c>
      <c r="L253" s="19">
        <f>IF($A253="","",$D253)</f>
        <v/>
      </c>
      <c r="M253" s="19">
        <f>IF($A253="","",MAX(0,MIN(100,gup_kaliteTaban-IF($J253&lt;gup_esikPr,gup_kaliteCeza,0)-IF($F253&gt;gup_esikKayipKwh,gup_kaliteSapma,0)-IF($P253="YETIM",gup_kaliteCeza,0))))</f>
        <v/>
      </c>
      <c r="N253" s="19">
        <f>IF($A253="","",IF(OR($J253&lt;gup_esikPr,$F253&gt;gup_esikKayipKwh,$M253&lt;gup_esikSaglik),"ALARM","UYGUN"))</f>
        <v/>
      </c>
      <c r="O253" s="19">
        <f>IF($A253="","",1)</f>
        <v/>
      </c>
      <c r="P253" s="19">
        <f>IF($A253="","",IF(OR($B253="",COUNTIF(tblVarliklar[VarlikId],$B253)=0),"YETIM","TAMAM"))</f>
        <v/>
      </c>
    </row>
    <row r="254">
      <c r="A254" s="15" t="n"/>
      <c r="B254" s="15" t="n"/>
      <c r="C254" s="62" t="n"/>
      <c r="D254" s="16" t="n"/>
      <c r="E254" s="21" t="n"/>
      <c r="F254" s="16" t="n"/>
      <c r="G254" s="15" t="n"/>
      <c r="H254" s="19">
        <f>IF($A254="","",IFERROR(SUMIF(tblVarliklar[VarlikId],$B254,tblVarliklar[KapasiteKwp_kwp]),gup_varsayilanKapasite))</f>
        <v/>
      </c>
      <c r="I254" s="19">
        <f>IF($A254="","",$E254*$H254)</f>
        <v/>
      </c>
      <c r="J254" s="19">
        <f>IF(OR($A254="",$I254=0),"",$D254/$I254)</f>
        <v/>
      </c>
      <c r="K254" s="19">
        <f>IF(OR($A254="",$I254=0),"",$F254/$I254)</f>
        <v/>
      </c>
      <c r="L254" s="19">
        <f>IF($A254="","",$D254)</f>
        <v/>
      </c>
      <c r="M254" s="19">
        <f>IF($A254="","",MAX(0,MIN(100,gup_kaliteTaban-IF($J254&lt;gup_esikPr,gup_kaliteCeza,0)-IF($F254&gt;gup_esikKayipKwh,gup_kaliteSapma,0)-IF($P254="YETIM",gup_kaliteCeza,0))))</f>
        <v/>
      </c>
      <c r="N254" s="19">
        <f>IF($A254="","",IF(OR($J254&lt;gup_esikPr,$F254&gt;gup_esikKayipKwh,$M254&lt;gup_esikSaglik),"ALARM","UYGUN"))</f>
        <v/>
      </c>
      <c r="O254" s="19">
        <f>IF($A254="","",1)</f>
        <v/>
      </c>
      <c r="P254" s="19">
        <f>IF($A254="","",IF(OR($B254="",COUNTIF(tblVarliklar[VarlikId],$B254)=0),"YETIM","TAMAM"))</f>
        <v/>
      </c>
    </row>
    <row r="255">
      <c r="A255" s="15" t="n"/>
      <c r="B255" s="15" t="n"/>
      <c r="C255" s="62" t="n"/>
      <c r="D255" s="16" t="n"/>
      <c r="E255" s="21" t="n"/>
      <c r="F255" s="16" t="n"/>
      <c r="G255" s="15" t="n"/>
      <c r="H255" s="19">
        <f>IF($A255="","",IFERROR(SUMIF(tblVarliklar[VarlikId],$B255,tblVarliklar[KapasiteKwp_kwp]),gup_varsayilanKapasite))</f>
        <v/>
      </c>
      <c r="I255" s="19">
        <f>IF($A255="","",$E255*$H255)</f>
        <v/>
      </c>
      <c r="J255" s="19">
        <f>IF(OR($A255="",$I255=0),"",$D255/$I255)</f>
        <v/>
      </c>
      <c r="K255" s="19">
        <f>IF(OR($A255="",$I255=0),"",$F255/$I255)</f>
        <v/>
      </c>
      <c r="L255" s="19">
        <f>IF($A255="","",$D255)</f>
        <v/>
      </c>
      <c r="M255" s="19">
        <f>IF($A255="","",MAX(0,MIN(100,gup_kaliteTaban-IF($J255&lt;gup_esikPr,gup_kaliteCeza,0)-IF($F255&gt;gup_esikKayipKwh,gup_kaliteSapma,0)-IF($P255="YETIM",gup_kaliteCeza,0))))</f>
        <v/>
      </c>
      <c r="N255" s="19">
        <f>IF($A255="","",IF(OR($J255&lt;gup_esikPr,$F255&gt;gup_esikKayipKwh,$M255&lt;gup_esikSaglik),"ALARM","UYGUN"))</f>
        <v/>
      </c>
      <c r="O255" s="19">
        <f>IF($A255="","",1)</f>
        <v/>
      </c>
      <c r="P255" s="19">
        <f>IF($A255="","",IF(OR($B255="",COUNTIF(tblVarliklar[VarlikId],$B255)=0),"YETIM","TAMAM"))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V1"/>
    <mergeCell ref="A3:P3"/>
  </mergeCells>
  <conditionalFormatting sqref="N6:N255">
    <cfRule type="cellIs" priority="1" operator="equal" dxfId="1">
      <formula>"ALARM"</formula>
    </cfRule>
  </conditionalFormatting>
  <conditionalFormatting sqref="P6:P255">
    <cfRule type="cellIs" priority="2" operator="equal" dxfId="0">
      <formula>"YETIM"</formula>
    </cfRule>
  </conditionalFormatting>
  <conditionalFormatting sqref="J6:J255">
    <cfRule type="cellIs" priority="3" operator="lessThan" dxfId="0">
      <formula>gup_esikPr</formula>
    </cfRule>
  </conditionalFormatting>
  <conditionalFormatting sqref="M6:M255">
    <cfRule type="cellIs" priority="4" operator="lessThan" dxfId="2">
      <formula>gup_esikSaglik</formula>
    </cfRule>
  </conditionalFormatting>
  <dataValidations count="7">
    <dataValidation sqref="A6:A255" showDropDown="0" showInputMessage="1" showErrorMessage="1" allowBlank="1" errorTitle="Kimlik" error="En az 1 karakter" promptTitle="Günlük Kimlik" prompt="GUP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GES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Üretim [kWh]" error="0 veya üzeri" promptTitle="Üretim [kWh]" prompt="Üretim [kWh] ≥ 0" type="decimal" errorStyle="stop" operator="greaterThanOrEqual">
      <formula1>0</formula1>
    </dataValidation>
    <dataValidation sqref="E6:E255" showDropDown="0" showInputMessage="1" showErrorMessage="1" allowBlank="1" errorTitle="Işınım [kWh/m2]" error="0 veya üzeri" promptTitle="Işınım [kWh/m2]" prompt="Işınım [kWh/m2] ≥ 0" type="decimal" errorStyle="stop" operator="greaterThanOrEqual">
      <formula1>0</formula1>
    </dataValidation>
    <dataValidation sqref="F6:F255" showDropDown="0" showInputMessage="1" showErrorMessage="1" allowBlank="1" errorTitle="Kayıp [kWh]" error="0 veya üzeri" promptTitle="Kayıp [kWh]" prompt="Kayıp [kWh]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Kayıp Türü" prompt="Listeden seçin" type="list" errorStyle="stop">
      <formula1>ListeKayipTuru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B3D2E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8" customWidth="1" min="6" max="6"/>
  </cols>
  <sheetData>
    <row r="1" ht="26" customHeight="1">
      <c r="A1" s="1" t="inlineStr">
        <is>
          <t>DONEM ANALIZ — GES Üretim &amp; Performans Takibi</t>
        </is>
      </c>
    </row>
    <row r="3" ht="20" customHeight="1">
      <c r="A3" s="10" t="inlineStr">
        <is>
          <t>12 aylık sezonsallık — üretim ve PR zinciri (S03)</t>
        </is>
      </c>
    </row>
    <row r="5">
      <c r="A5" s="22" t="inlineStr">
        <is>
          <t>Ay</t>
        </is>
      </c>
      <c r="B5" s="22" t="inlineStr">
        <is>
          <t>Ay_Anahtari</t>
        </is>
      </c>
      <c r="C5" s="22" t="inlineStr">
        <is>
          <t>Uretim kWh</t>
        </is>
      </c>
      <c r="D5" s="22" t="inlineStr">
        <is>
          <t>Kayip kWh</t>
        </is>
      </c>
      <c r="E5" s="22" t="inlineStr">
        <is>
          <t>PR Ort</t>
        </is>
      </c>
      <c r="F5" s="22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3" t="n">
        <v>82000</v>
      </c>
      <c r="D6" s="23" t="n">
        <v>18000</v>
      </c>
      <c r="E6" s="24" t="n">
        <v>0.68</v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3" t="n">
        <v>95000</v>
      </c>
      <c r="D7" s="23" t="n">
        <v>20000</v>
      </c>
      <c r="E7" s="24" t="n">
        <v>0.7</v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3" t="n">
        <v>128000</v>
      </c>
      <c r="D8" s="23" t="n">
        <v>22000</v>
      </c>
      <c r="E8" s="24" t="n">
        <v>0.74</v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3" t="n">
        <v>155000</v>
      </c>
      <c r="D9" s="23" t="n">
        <v>24000</v>
      </c>
      <c r="E9" s="24" t="n">
        <v>0.76</v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3" t="n">
        <v>178000</v>
      </c>
      <c r="D10" s="23" t="n">
        <v>26000</v>
      </c>
      <c r="E10" s="24" t="n">
        <v>0.78</v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3" t="n">
        <v>195000</v>
      </c>
      <c r="D11" s="23" t="n">
        <v>28000</v>
      </c>
      <c r="E11" s="24" t="n">
        <v>0.8</v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3" t="n">
        <v>210000</v>
      </c>
      <c r="D12" s="23" t="n">
        <v>30000</v>
      </c>
      <c r="E12" s="24" t="n">
        <v>0.8100000000000001</v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3" t="n">
        <v>205000</v>
      </c>
      <c r="D13" s="23" t="n">
        <v>29000</v>
      </c>
      <c r="E13" s="24" t="n">
        <v>0.8</v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3" t="n">
        <v>168000</v>
      </c>
      <c r="D14" s="23" t="n">
        <v>25000</v>
      </c>
      <c r="E14" s="24" t="n">
        <v>0.77</v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3" t="n">
        <v>132000</v>
      </c>
      <c r="D15" s="23" t="n">
        <v>21000</v>
      </c>
      <c r="E15" s="24" t="n">
        <v>0.74</v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3" t="n">
        <v>98000</v>
      </c>
      <c r="D16" s="23" t="n">
        <v>19000</v>
      </c>
      <c r="E16" s="24" t="n">
        <v>0.7</v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3" t="n">
        <v>78000</v>
      </c>
      <c r="D17" s="23" t="n">
        <v>17000</v>
      </c>
      <c r="E17" s="24" t="n">
        <v>0.67</v>
      </c>
      <c r="F17" s="7" t="inlineStr">
        <is>
          <t>12_AY_SEZONSAL</t>
        </is>
      </c>
    </row>
    <row r="20">
      <c r="A20" s="25" t="inlineStr">
        <is>
          <t>Sezonsal Trend Özeti</t>
        </is>
      </c>
      <c r="B20" s="8">
        <f>gup_sezonsalTrend</f>
        <v/>
      </c>
    </row>
    <row r="22">
      <c r="A22" s="13" t="inlineStr">
        <is>
          <t>12 Ay Toplam Üretim</t>
        </is>
      </c>
      <c r="B22" s="23">
        <f>SUM(C6:C17)</f>
        <v/>
      </c>
    </row>
    <row r="23">
      <c r="A23" s="13" t="inlineStr">
        <is>
          <t>12 Ay Toplam Kayıp</t>
        </is>
      </c>
      <c r="B23" s="23">
        <f>SUM(D6:D17)</f>
        <v/>
      </c>
    </row>
    <row r="24">
      <c r="A24" s="13" t="inlineStr">
        <is>
          <t>12 Ay Ort PR</t>
        </is>
      </c>
      <c r="B24" s="24">
        <f>AVERAGE(E6:E17)</f>
        <v/>
      </c>
    </row>
    <row r="25">
      <c r="A25" s="13" t="inlineStr">
        <is>
          <t>Canlı dönem üretim</t>
        </is>
      </c>
      <c r="B25" s="23">
        <f>gup_toplamUretim</f>
        <v/>
      </c>
    </row>
    <row r="26">
      <c r="A26" s="13" t="inlineStr">
        <is>
          <t>Canlı dönem PR</t>
        </is>
      </c>
      <c r="B26" s="24">
        <f>gup_prOrani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L3"/>
    <mergeCell ref="A1:P1"/>
    <mergeCell ref="B20:F20"/>
  </mergeCells>
  <conditionalFormatting sqref="C6">
    <cfRule type="cellIs" priority="1" operator="greaterThan" dxfId="3">
      <formula>0</formula>
    </cfRule>
  </conditionalFormatting>
  <conditionalFormatting sqref="E6">
    <cfRule type="cellIs" priority="2" operator="lessThan" dxfId="0">
      <formula>gup_esikPr</formula>
    </cfRule>
  </conditionalFormatting>
  <conditionalFormatting sqref="C7">
    <cfRule type="cellIs" priority="3" operator="greaterThan" dxfId="3">
      <formula>0</formula>
    </cfRule>
  </conditionalFormatting>
  <conditionalFormatting sqref="E7">
    <cfRule type="cellIs" priority="4" operator="lessThan" dxfId="0">
      <formula>gup_esikPr</formula>
    </cfRule>
  </conditionalFormatting>
  <conditionalFormatting sqref="C8">
    <cfRule type="cellIs" priority="5" operator="greaterThan" dxfId="3">
      <formula>0</formula>
    </cfRule>
  </conditionalFormatting>
  <conditionalFormatting sqref="E8">
    <cfRule type="cellIs" priority="6" operator="lessThan" dxfId="0">
      <formula>gup_esikPr</formula>
    </cfRule>
  </conditionalFormatting>
  <conditionalFormatting sqref="C9">
    <cfRule type="cellIs" priority="7" operator="greaterThan" dxfId="3">
      <formula>0</formula>
    </cfRule>
  </conditionalFormatting>
  <conditionalFormatting sqref="E9">
    <cfRule type="cellIs" priority="8" operator="lessThan" dxfId="0">
      <formula>gup_esikPr</formula>
    </cfRule>
  </conditionalFormatting>
  <conditionalFormatting sqref="C10">
    <cfRule type="cellIs" priority="9" operator="greaterThan" dxfId="3">
      <formula>0</formula>
    </cfRule>
  </conditionalFormatting>
  <conditionalFormatting sqref="E10">
    <cfRule type="cellIs" priority="10" operator="lessThan" dxfId="0">
      <formula>gup_esikPr</formula>
    </cfRule>
  </conditionalFormatting>
  <conditionalFormatting sqref="C11">
    <cfRule type="cellIs" priority="11" operator="greaterThan" dxfId="3">
      <formula>0</formula>
    </cfRule>
  </conditionalFormatting>
  <conditionalFormatting sqref="E11">
    <cfRule type="cellIs" priority="12" operator="lessThan" dxfId="0">
      <formula>gup_esikPr</formula>
    </cfRule>
  </conditionalFormatting>
  <conditionalFormatting sqref="C12">
    <cfRule type="cellIs" priority="13" operator="greaterThan" dxfId="3">
      <formula>0</formula>
    </cfRule>
  </conditionalFormatting>
  <conditionalFormatting sqref="E12">
    <cfRule type="cellIs" priority="14" operator="lessThan" dxfId="0">
      <formula>gup_esikPr</formula>
    </cfRule>
  </conditionalFormatting>
  <conditionalFormatting sqref="C13">
    <cfRule type="cellIs" priority="15" operator="greaterThan" dxfId="3">
      <formula>0</formula>
    </cfRule>
  </conditionalFormatting>
  <conditionalFormatting sqref="E13">
    <cfRule type="cellIs" priority="16" operator="lessThan" dxfId="0">
      <formula>gup_esikPr</formula>
    </cfRule>
  </conditionalFormatting>
  <conditionalFormatting sqref="C14">
    <cfRule type="cellIs" priority="17" operator="greaterThan" dxfId="3">
      <formula>0</formula>
    </cfRule>
  </conditionalFormatting>
  <conditionalFormatting sqref="E14">
    <cfRule type="cellIs" priority="18" operator="lessThan" dxfId="0">
      <formula>gup_esikPr</formula>
    </cfRule>
  </conditionalFormatting>
  <conditionalFormatting sqref="C15">
    <cfRule type="cellIs" priority="19" operator="greaterThan" dxfId="3">
      <formula>0</formula>
    </cfRule>
  </conditionalFormatting>
  <conditionalFormatting sqref="E15">
    <cfRule type="cellIs" priority="20" operator="lessThan" dxfId="0">
      <formula>gup_esikPr</formula>
    </cfRule>
  </conditionalFormatting>
  <conditionalFormatting sqref="C16">
    <cfRule type="cellIs" priority="21" operator="greaterThan" dxfId="3">
      <formula>0</formula>
    </cfRule>
  </conditionalFormatting>
  <conditionalFormatting sqref="E16">
    <cfRule type="cellIs" priority="22" operator="lessThan" dxfId="0">
      <formula>gup_esikPr</formula>
    </cfRule>
  </conditionalFormatting>
  <conditionalFormatting sqref="C17">
    <cfRule type="cellIs" priority="23" operator="greaterThan" dxfId="3">
      <formula>0</formula>
    </cfRule>
  </conditionalFormatting>
  <conditionalFormatting sqref="E17">
    <cfRule type="cellIs" priority="24" operator="lessThan" dxfId="0">
      <formula>gup_esikPr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0B3D2E"/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</cols>
  <sheetData>
    <row r="1" ht="26" customHeight="1">
      <c r="A1" s="1" t="inlineStr">
        <is>
          <t>HESAP — GES Üretim &amp; Performans Takibi</t>
        </is>
      </c>
    </row>
    <row r="3" ht="20" customHeight="1">
      <c r="A3" s="10" t="inlineStr">
        <is>
          <t>Hesap motoru — ≥40 adım; sabitler AYARLAR'dan</t>
        </is>
      </c>
    </row>
    <row r="5">
      <c r="A5" s="22" t="inlineStr">
        <is>
          <t>Adım</t>
        </is>
      </c>
      <c r="B5" s="22" t="inlineStr">
        <is>
          <t>Açıklama</t>
        </is>
      </c>
      <c r="C5" s="22" t="inlineStr">
        <is>
          <t>Değer</t>
        </is>
      </c>
    </row>
    <row r="6">
      <c r="A6" s="7" t="inlineStr">
        <is>
          <t>H01</t>
        </is>
      </c>
      <c r="B6" s="7" t="inlineStr">
        <is>
          <t>Toplam günlük kayıt</t>
        </is>
      </c>
      <c r="C6" s="23">
        <f>COUNTA(tblGunluk[SatirId])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3">
        <f>SUM(tblGunluk[FormulKayitDolu])</f>
        <v/>
      </c>
    </row>
    <row r="8">
      <c r="A8" s="7" t="inlineStr">
        <is>
          <t>H03</t>
        </is>
      </c>
      <c r="B8" s="7" t="inlineStr">
        <is>
          <t>Toplam üretim kWh</t>
        </is>
      </c>
      <c r="C8" s="26">
        <f>SUM(tblGunluk[UretimKwh_kwh])</f>
        <v/>
      </c>
    </row>
    <row r="9">
      <c r="A9" s="7" t="inlineStr">
        <is>
          <t>H04</t>
        </is>
      </c>
      <c r="B9" s="7" t="inlineStr">
        <is>
          <t>Toplam ışınım</t>
        </is>
      </c>
      <c r="C9" s="26">
        <f>SUM(tblGunluk[IsinimKwhm2_kwhm2])</f>
        <v/>
      </c>
    </row>
    <row r="10">
      <c r="A10" s="7" t="inlineStr">
        <is>
          <t>H05</t>
        </is>
      </c>
      <c r="B10" s="7" t="inlineStr">
        <is>
          <t>Toplam kayıp kWh</t>
        </is>
      </c>
      <c r="C10" s="26">
        <f>SUM(tblGunluk[KayipKwh_kwh])</f>
        <v/>
      </c>
    </row>
    <row r="11">
      <c r="A11" s="7" t="inlineStr">
        <is>
          <t>H06</t>
        </is>
      </c>
      <c r="B11" s="7" t="inlineStr">
        <is>
          <t>Toplam teorik kWh</t>
        </is>
      </c>
      <c r="C11" s="26">
        <f>SUM(tblGunluk[FormulTeorik_kwh])</f>
        <v/>
      </c>
    </row>
    <row r="12">
      <c r="A12" s="7" t="inlineStr">
        <is>
          <t>H07</t>
        </is>
      </c>
      <c r="B12" s="7" t="inlineStr">
        <is>
          <t>PR oranı</t>
        </is>
      </c>
      <c r="C12" s="24">
        <f>IFERROR(C8/MAX(C11,1),0)</f>
        <v/>
      </c>
    </row>
    <row r="13">
      <c r="A13" s="7" t="inlineStr">
        <is>
          <t>H08</t>
        </is>
      </c>
      <c r="B13" s="7" t="inlineStr">
        <is>
          <t>Kayıp payı</t>
        </is>
      </c>
      <c r="C13" s="24">
        <f>IFERROR(C10/MAX(C11,1),0)</f>
        <v/>
      </c>
    </row>
    <row r="14">
      <c r="A14" s="7" t="inlineStr">
        <is>
          <t>H09</t>
        </is>
      </c>
      <c r="B14" s="7" t="inlineStr">
        <is>
          <t>Net üretim</t>
        </is>
      </c>
      <c r="C14" s="26">
        <f>SUM(tblGunluk[FormulNet_kwh])</f>
        <v/>
      </c>
    </row>
    <row r="15">
      <c r="A15" s="7" t="inlineStr">
        <is>
          <t>H10</t>
        </is>
      </c>
      <c r="B15" s="7" t="inlineStr">
        <is>
          <t>Aktif santral adet</t>
        </is>
      </c>
      <c r="C15" s="23">
        <f>COUNTIF(tblVarliklar[Aktif],"EVET")</f>
        <v/>
      </c>
    </row>
    <row r="16">
      <c r="A16" s="7" t="inlineStr">
        <is>
          <t>H11</t>
        </is>
      </c>
      <c r="B16" s="7" t="inlineStr">
        <is>
          <t>Toplam santral kart</t>
        </is>
      </c>
      <c r="C16" s="23">
        <f>COUNTA(tblVarliklar[VarlikId])</f>
        <v/>
      </c>
    </row>
    <row r="17">
      <c r="A17" s="7" t="inlineStr">
        <is>
          <t>H12</t>
        </is>
      </c>
      <c r="B17" s="7" t="inlineStr">
        <is>
          <t>Alarm adet</t>
        </is>
      </c>
      <c r="C17" s="23">
        <f>COUNTIF(tblGunluk[AlarmBayrak],"ALARM")</f>
        <v/>
      </c>
    </row>
    <row r="18">
      <c r="A18" s="7" t="inlineStr">
        <is>
          <t>H13</t>
        </is>
      </c>
      <c r="B18" s="7" t="inlineStr">
        <is>
          <t>Yetim kayıt</t>
        </is>
      </c>
      <c r="C18" s="23">
        <f>COUNTIF(tblGunluk[FormulYetim],"YETIM")</f>
        <v/>
      </c>
    </row>
    <row r="19">
      <c r="A19" s="7" t="inlineStr">
        <is>
          <t>H14</t>
        </is>
      </c>
      <c r="B19" s="7" t="inlineStr">
        <is>
          <t>Ortalama sağlık skor</t>
        </is>
      </c>
      <c r="C19" s="23">
        <f>IFERROR(AVERAGEIF(tblGunluk[SaglikSkor_puan],"&gt;0"),0)</f>
        <v/>
      </c>
    </row>
    <row r="20">
      <c r="A20" s="7" t="inlineStr">
        <is>
          <t>H15</t>
        </is>
      </c>
      <c r="B20" s="7" t="inlineStr">
        <is>
          <t>Min sağlık skor</t>
        </is>
      </c>
      <c r="C20" s="23">
        <f>IFERROR(MIN(tblGunluk[SaglikSkor_puan]),0)</f>
        <v/>
      </c>
    </row>
    <row r="21">
      <c r="A21" s="7" t="inlineStr">
        <is>
          <t>H16</t>
        </is>
      </c>
      <c r="B21" s="7" t="inlineStr">
        <is>
          <t>PR eşik altı adet</t>
        </is>
      </c>
      <c r="C21" s="24">
        <f>COUNTIFS(tblGunluk[FormulPr_oran],"&lt;"&amp;gup_esikPr,tblGunluk[FormulKayitDolu],"&gt;0")</f>
        <v/>
      </c>
    </row>
    <row r="22">
      <c r="A22" s="7" t="inlineStr">
        <is>
          <t>H17</t>
        </is>
      </c>
      <c r="B22" s="7" t="inlineStr">
        <is>
          <t>Kayıp eşik aşımı</t>
        </is>
      </c>
      <c r="C22" s="26">
        <f>COUNTIFS(tblGunluk[KayipKwh_kwh],"&gt;"&amp;gup_esikKayipKwh,tblGunluk[FormulKayitDolu],"&gt;0")</f>
        <v/>
      </c>
    </row>
    <row r="23">
      <c r="A23" s="7" t="inlineStr">
        <is>
          <t>H18</t>
        </is>
      </c>
      <c r="B23" s="7" t="inlineStr">
        <is>
          <t>Düşük sağlık adet</t>
        </is>
      </c>
      <c r="C23" s="23">
        <f>COUNTIFS(tblGunluk[SaglikSkor_puan],"&lt;"&amp;gup_esikSaglik,tblGunluk[FormulKayitDolu],"&gt;0")</f>
        <v/>
      </c>
    </row>
    <row r="24">
      <c r="A24" s="7" t="inlineStr">
        <is>
          <t>H19</t>
        </is>
      </c>
      <c r="B24" s="7" t="inlineStr">
        <is>
          <t>Günlük PR ort</t>
        </is>
      </c>
      <c r="C24" s="24">
        <f>IFERROR(AVERAGEIF(tblGunluk[FormulPr_oran],"&gt;0"),0)</f>
        <v/>
      </c>
    </row>
    <row r="25">
      <c r="A25" s="7" t="inlineStr">
        <is>
          <t>H20</t>
        </is>
      </c>
      <c r="B25" s="7" t="inlineStr">
        <is>
          <t>Aylık üretim proxy</t>
        </is>
      </c>
      <c r="C25" s="23">
        <f>C8*gup_aylikCarpan</f>
        <v/>
      </c>
    </row>
    <row r="26">
      <c r="A26" s="7" t="inlineStr">
        <is>
          <t>H21</t>
        </is>
      </c>
      <c r="B26" s="7" t="inlineStr">
        <is>
          <t>PR sapma</t>
        </is>
      </c>
      <c r="C26" s="24">
        <f>IFERROR(ABS(C12-gup_esikPr),0)</f>
        <v/>
      </c>
    </row>
    <row r="27">
      <c r="A27" s="7" t="inlineStr">
        <is>
          <t>H22</t>
        </is>
      </c>
      <c r="B27" s="7" t="inlineStr">
        <is>
          <t>Kirlenme kayıp pay</t>
        </is>
      </c>
      <c r="C27" s="24">
        <f>IFERROR(COUNTIF(tblGunluk[KayipTuru],"KIRLENME")/MAX(C7,1),0)</f>
        <v/>
      </c>
    </row>
    <row r="28">
      <c r="A28" s="7" t="inlineStr">
        <is>
          <t>H23</t>
        </is>
      </c>
      <c r="B28" s="7" t="inlineStr">
        <is>
          <t>Gölge kayıp pay</t>
        </is>
      </c>
      <c r="C28" s="24">
        <f>IFERROR(COUNTIF(tblGunluk[KayipTuru],"GOLGE")/MAX(C7,1),0)</f>
        <v/>
      </c>
    </row>
    <row r="29">
      <c r="A29" s="7" t="inlineStr">
        <is>
          <t>H24</t>
        </is>
      </c>
      <c r="B29" s="7" t="inlineStr">
        <is>
          <t>İnverter kayıp pay</t>
        </is>
      </c>
      <c r="C29" s="24">
        <f>IFERROR(COUNTIF(tblGunluk[KayipTuru],"INVERTER")/MAX(C7,1),0)</f>
        <v/>
      </c>
    </row>
    <row r="30">
      <c r="A30" s="7" t="inlineStr">
        <is>
          <t>H25</t>
        </is>
      </c>
      <c r="B30" s="7" t="inlineStr">
        <is>
          <t>Arıza kayıp pay</t>
        </is>
      </c>
      <c r="C30" s="24">
        <f>IFERROR(COUNTIF(tblGunluk[KayipTuru],"ARIZA")/MAX(C7,1),0)</f>
        <v/>
      </c>
    </row>
    <row r="31">
      <c r="A31" s="7" t="inlineStr">
        <is>
          <t>H26</t>
        </is>
      </c>
      <c r="B31" s="7" t="inlineStr">
        <is>
          <t>Temkinli senaryo</t>
        </is>
      </c>
      <c r="C31" s="26">
        <f>C8*gup_senaryoTemkinli</f>
        <v/>
      </c>
    </row>
    <row r="32">
      <c r="A32" s="7" t="inlineStr">
        <is>
          <t>H27</t>
        </is>
      </c>
      <c r="B32" s="7" t="inlineStr">
        <is>
          <t>Baz senaryo</t>
        </is>
      </c>
      <c r="C32" s="26">
        <f>C8*gup_senaryoBaz</f>
        <v/>
      </c>
    </row>
    <row r="33">
      <c r="A33" s="7" t="inlineStr">
        <is>
          <t>H28</t>
        </is>
      </c>
      <c r="B33" s="7" t="inlineStr">
        <is>
          <t>İyimser senaryo</t>
        </is>
      </c>
      <c r="C33" s="26">
        <f>C8*gup_senaryoIyimser</f>
        <v/>
      </c>
    </row>
    <row r="34">
      <c r="A34" s="7" t="inlineStr">
        <is>
          <t>H29</t>
        </is>
      </c>
      <c r="B34" s="7" t="inlineStr">
        <is>
          <t>Senaryo farkı</t>
        </is>
      </c>
      <c r="C34" s="26">
        <f>C33-C31</f>
        <v/>
      </c>
    </row>
    <row r="35">
      <c r="A35" s="7" t="inlineStr">
        <is>
          <t>H30</t>
        </is>
      </c>
      <c r="B35" s="7" t="inlineStr">
        <is>
          <t>Tornado ışınım etki</t>
        </is>
      </c>
      <c r="C35" s="26">
        <f>C9*gup_tornadoOran*gup_varsayilanKapasite</f>
        <v/>
      </c>
    </row>
    <row r="36">
      <c r="A36" s="7" t="inlineStr">
        <is>
          <t>H31</t>
        </is>
      </c>
      <c r="B36" s="7" t="inlineStr">
        <is>
          <t>Tornado kayıp etki</t>
        </is>
      </c>
      <c r="C36" s="26">
        <f>C10*gup_tornadoOran</f>
        <v/>
      </c>
    </row>
    <row r="37">
      <c r="A37" s="7" t="inlineStr">
        <is>
          <t>H32</t>
        </is>
      </c>
      <c r="B37" s="7" t="inlineStr">
        <is>
          <t>Tornado PR etki</t>
        </is>
      </c>
      <c r="C37" s="24">
        <f>C8*gup_tornadoOran</f>
        <v/>
      </c>
    </row>
    <row r="38">
      <c r="A38" s="7" t="inlineStr">
        <is>
          <t>H33</t>
        </is>
      </c>
      <c r="B38" s="7" t="inlineStr">
        <is>
          <t>Tornado zirve</t>
        </is>
      </c>
      <c r="C38" s="26">
        <f>MAX(C35,C36,C37)</f>
        <v/>
      </c>
    </row>
    <row r="39">
      <c r="A39" s="7" t="inlineStr">
        <is>
          <t>H34</t>
        </is>
      </c>
      <c r="B39" s="7" t="inlineStr">
        <is>
          <t>HHI proxy</t>
        </is>
      </c>
      <c r="C39" s="24">
        <f>IFERROR(C27^2+C28^2+C29^2+C30^2,0)</f>
        <v/>
      </c>
    </row>
    <row r="40">
      <c r="A40" s="7" t="inlineStr">
        <is>
          <t>H35</t>
        </is>
      </c>
      <c r="B40" s="7" t="inlineStr">
        <is>
          <t>Kalite skor</t>
        </is>
      </c>
      <c r="C40" s="23">
        <f>MAX(0,gup_kaliteTaban-C21*gup_kaliteCeza-C22*gup_kaliteSapma-C23*gup_kaliteSapma)</f>
        <v/>
      </c>
    </row>
    <row r="41">
      <c r="A41" s="7" t="inlineStr">
        <is>
          <t>H36</t>
        </is>
      </c>
      <c r="B41" s="7" t="inlineStr">
        <is>
          <t>Tahmin aralık</t>
        </is>
      </c>
      <c r="C41" s="26">
        <f>C32*gup_tahminCarpan</f>
        <v/>
      </c>
    </row>
    <row r="42">
      <c r="A42" s="7" t="inlineStr">
        <is>
          <t>H37</t>
        </is>
      </c>
      <c r="B42" s="7" t="inlineStr">
        <is>
          <t>P90 üretim</t>
        </is>
      </c>
      <c r="C42" s="26">
        <f>IFERROR(PERCENTILE(tblGunluk[UretimKwh_kwh],gup_percentileOran),C8*gup_yuzdelikOran)</f>
        <v/>
      </c>
    </row>
    <row r="43">
      <c r="A43" s="7" t="inlineStr">
        <is>
          <t>H38</t>
        </is>
      </c>
      <c r="B43" s="7" t="inlineStr">
        <is>
          <t>Senaryo motor metin</t>
        </is>
      </c>
      <c r="C43" s="7">
        <f>_xlfn.TEXTJOIN("|",TRUE,"T",TEXT(C31,"0"),"B",TEXT(C32,"0"),"I",TEXT(C33,"0"))</f>
        <v/>
      </c>
    </row>
    <row r="44">
      <c r="A44" s="7" t="inlineStr">
        <is>
          <t>H39</t>
        </is>
      </c>
      <c r="B44" s="7" t="inlineStr">
        <is>
          <t>Sezonsal 12 ay üretim</t>
        </is>
      </c>
      <c r="C44" s="26">
        <f>DONEM_ANALIZ!B22</f>
        <v/>
      </c>
    </row>
    <row r="45">
      <c r="A45" s="7" t="inlineStr">
        <is>
          <t>H40</t>
        </is>
      </c>
      <c r="B45" s="7" t="inlineStr">
        <is>
          <t>Sezonsal 12 ay PR</t>
        </is>
      </c>
      <c r="C45" s="23">
        <f>DONEM_ANALIZ!B24</f>
        <v/>
      </c>
    </row>
    <row r="46">
      <c r="A46" s="7" t="inlineStr">
        <is>
          <t>H41</t>
        </is>
      </c>
      <c r="B46" s="7" t="inlineStr">
        <is>
          <t>Kritik sinyal</t>
        </is>
      </c>
      <c r="C46" s="23">
        <f>IF(OR(C21&gt;0,C23&gt;0,C19&lt;gup_esikSaglik),1,0)</f>
        <v/>
      </c>
    </row>
    <row r="47">
      <c r="A47" s="7" t="inlineStr">
        <is>
          <t>H42</t>
        </is>
      </c>
      <c r="B47" s="7" t="inlineStr">
        <is>
          <t>Karar kodu ham</t>
        </is>
      </c>
      <c r="C47" s="23">
        <f>IF(C7=0,0,IF(C46=1,3,IF(OR(C21&gt;0,C12&lt;gup_esikPr),2,1)))</f>
        <v/>
      </c>
    </row>
    <row r="48">
      <c r="A48" s="7" t="inlineStr">
        <is>
          <t>H43</t>
        </is>
      </c>
      <c r="B48" s="7" t="inlineStr">
        <is>
          <t>PR çıpa</t>
        </is>
      </c>
      <c r="C48" s="24">
        <f>C12</f>
        <v/>
      </c>
    </row>
    <row r="49">
      <c r="A49" s="7" t="inlineStr">
        <is>
          <t>H44</t>
        </is>
      </c>
      <c r="B49" s="7" t="inlineStr">
        <is>
          <t>Alarm listesi özet adet</t>
        </is>
      </c>
      <c r="C49" s="7">
        <f>C17</f>
        <v/>
      </c>
    </row>
    <row r="50">
      <c r="A50" s="7" t="inlineStr">
        <is>
          <t>H45</t>
        </is>
      </c>
      <c r="B50" s="7" t="inlineStr">
        <is>
          <t>Varlık sağlık ort</t>
        </is>
      </c>
      <c r="C50" s="23">
        <f>IFERROR(AVERAGEIF(tblVarliklar[SaglikSkor],"&gt;0"),0)</f>
        <v/>
      </c>
    </row>
    <row r="51">
      <c r="A51" s="7" t="inlineStr">
        <is>
          <t>H46</t>
        </is>
      </c>
      <c r="B51" s="7" t="inlineStr">
        <is>
          <t>Tahmin FORECAST</t>
        </is>
      </c>
      <c r="C51" s="26">
        <f>IFERROR(FORECAST(C7+1,tblGunluk[UretimKwh_kwh],tblGunluk[FormulKayitDolu]),C41)</f>
        <v/>
      </c>
    </row>
    <row r="52">
      <c r="A52" s="7" t="inlineStr">
        <is>
          <t>H47</t>
        </is>
      </c>
      <c r="B52" s="7" t="inlineStr">
        <is>
          <t>Kayıp kırılım özet</t>
        </is>
      </c>
      <c r="C52" s="26">
        <f>_xlfn.TEXTJOIN("|",TRUE,"K",TEXT(C27,"0%"),"G",TEXT(C28,"0%"),"I",TEXT(C29,"0%"),"A",TEXT(C30,"0%"))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B3D2E"/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26" customHeight="1">
      <c r="A1" s="1" t="inlineStr">
        <is>
          <t>ALARMLAR — GES Üretim &amp; Performans Takibi</t>
        </is>
      </c>
    </row>
    <row r="3" ht="20" customHeight="1">
      <c r="A3" s="10" t="inlineStr">
        <is>
          <t>Alarm listesi — varlık + eşik + süre (S05)</t>
        </is>
      </c>
    </row>
    <row r="5">
      <c r="A5" s="22" t="inlineStr">
        <is>
          <t>Varlık</t>
        </is>
      </c>
      <c r="B5" s="22" t="inlineStr">
        <is>
          <t>Alarm</t>
        </is>
      </c>
      <c r="C5" s="22" t="inlineStr">
        <is>
          <t>Eşik</t>
        </is>
      </c>
      <c r="D5" s="22" t="inlineStr">
        <is>
          <t>Süre / Tarih</t>
        </is>
      </c>
      <c r="E5" s="22" t="inlineStr">
        <is>
          <t>PR Ort</t>
        </is>
      </c>
      <c r="F5" s="22" t="inlineStr">
        <is>
          <t>Sağlık Skor</t>
        </is>
      </c>
    </row>
    <row r="6">
      <c r="A6" s="7" t="inlineStr">
        <is>
          <t>GES-00001</t>
        </is>
      </c>
      <c r="B6" s="7">
        <f>IF(OR(COUNTIFS(tblGunluk[VarlikId],A6,tblGunluk[AlarmBayrak],"ALARM")&gt;0,IFERROR(SUMIF(tblVarliklar[VarlikId],A6,tblVarliklar[SaglikSkor]),100)&lt;gup_esikSaglik),"ALARM","YOK")</f>
        <v/>
      </c>
      <c r="C6" s="24">
        <f>IFERROR(ABS(E6-gup_esikPr),0)</f>
        <v/>
      </c>
      <c r="D6" s="63">
        <f>raporTarihi</f>
        <v/>
      </c>
      <c r="E6" s="24">
        <f>IFERROR(SUMIF(tblVarliklar[VarlikId],A6,tblVarliklar[OrtPr]),0)</f>
        <v/>
      </c>
      <c r="F6" s="23">
        <f>IFERROR(SUMIF(tblVarliklar[VarlikId],A6,tblVarliklar[SaglikSkor]),0)</f>
        <v/>
      </c>
    </row>
    <row r="7">
      <c r="A7" s="7" t="inlineStr">
        <is>
          <t>GES-00002</t>
        </is>
      </c>
      <c r="B7" s="7">
        <f>IF(OR(COUNTIFS(tblGunluk[VarlikId],A7,tblGunluk[AlarmBayrak],"ALARM")&gt;0,IFERROR(SUMIF(tblVarliklar[VarlikId],A7,tblVarliklar[SaglikSkor]),100)&lt;gup_esikSaglik),"ALARM","YOK")</f>
        <v/>
      </c>
      <c r="C7" s="24">
        <f>IFERROR(ABS(E7-gup_esikPr),0)</f>
        <v/>
      </c>
      <c r="D7" s="63">
        <f>raporTarihi</f>
        <v/>
      </c>
      <c r="E7" s="24">
        <f>IFERROR(SUMIF(tblVarliklar[VarlikId],A7,tblVarliklar[OrtPr]),0)</f>
        <v/>
      </c>
      <c r="F7" s="23">
        <f>IFERROR(SUMIF(tblVarliklar[VarlikId],A7,tblVarliklar[SaglikSkor]),0)</f>
        <v/>
      </c>
    </row>
    <row r="8">
      <c r="A8" s="7" t="inlineStr">
        <is>
          <t>GES-00003</t>
        </is>
      </c>
      <c r="B8" s="7">
        <f>IF(OR(COUNTIFS(tblGunluk[VarlikId],A8,tblGunluk[AlarmBayrak],"ALARM")&gt;0,IFERROR(SUMIF(tblVarliklar[VarlikId],A8,tblVarliklar[SaglikSkor]),100)&lt;gup_esikSaglik),"ALARM","YOK")</f>
        <v/>
      </c>
      <c r="C8" s="24">
        <f>IFERROR(ABS(E8-gup_esikPr),0)</f>
        <v/>
      </c>
      <c r="D8" s="63">
        <f>raporTarihi</f>
        <v/>
      </c>
      <c r="E8" s="24">
        <f>IFERROR(SUMIF(tblVarliklar[VarlikId],A8,tblVarliklar[OrtPr]),0)</f>
        <v/>
      </c>
      <c r="F8" s="23">
        <f>IFERROR(SUMIF(tblVarliklar[VarlikId],A8,tblVarliklar[SaglikSkor]),0)</f>
        <v/>
      </c>
    </row>
    <row r="9">
      <c r="A9" s="7" t="inlineStr">
        <is>
          <t>GES-00004</t>
        </is>
      </c>
      <c r="B9" s="7">
        <f>IF(OR(COUNTIFS(tblGunluk[VarlikId],A9,tblGunluk[AlarmBayrak],"ALARM")&gt;0,IFERROR(SUMIF(tblVarliklar[VarlikId],A9,tblVarliklar[SaglikSkor]),100)&lt;gup_esikSaglik),"ALARM","YOK")</f>
        <v/>
      </c>
      <c r="C9" s="24">
        <f>IFERROR(ABS(E9-gup_esikPr),0)</f>
        <v/>
      </c>
      <c r="D9" s="63">
        <f>raporTarihi</f>
        <v/>
      </c>
      <c r="E9" s="24">
        <f>IFERROR(SUMIF(tblVarliklar[VarlikId],A9,tblVarliklar[OrtPr]),0)</f>
        <v/>
      </c>
      <c r="F9" s="23">
        <f>IFERROR(SUMIF(tblVarliklar[VarlikId],A9,tblVarliklar[SaglikSkor]),0)</f>
        <v/>
      </c>
    </row>
    <row r="10">
      <c r="A10" s="7" t="inlineStr">
        <is>
          <t>GES-00005</t>
        </is>
      </c>
      <c r="B10" s="7">
        <f>IF(OR(COUNTIFS(tblGunluk[VarlikId],A10,tblGunluk[AlarmBayrak],"ALARM")&gt;0,IFERROR(SUMIF(tblVarliklar[VarlikId],A10,tblVarliklar[SaglikSkor]),100)&lt;gup_esikSaglik),"ALARM","YOK")</f>
        <v/>
      </c>
      <c r="C10" s="24">
        <f>IFERROR(ABS(E10-gup_esikPr),0)</f>
        <v/>
      </c>
      <c r="D10" s="63">
        <f>raporTarihi</f>
        <v/>
      </c>
      <c r="E10" s="24">
        <f>IFERROR(SUMIF(tblVarliklar[VarlikId],A10,tblVarliklar[OrtPr]),0)</f>
        <v/>
      </c>
      <c r="F10" s="23">
        <f>IFERROR(SUMIF(tblVarliklar[VarlikId],A10,tblVarliklar[SaglikSkor]),0)</f>
        <v/>
      </c>
    </row>
    <row r="11">
      <c r="A11" s="7" t="inlineStr">
        <is>
          <t>GES-00006</t>
        </is>
      </c>
      <c r="B11" s="7">
        <f>IF(OR(COUNTIFS(tblGunluk[VarlikId],A11,tblGunluk[AlarmBayrak],"ALARM")&gt;0,IFERROR(SUMIF(tblVarliklar[VarlikId],A11,tblVarliklar[SaglikSkor]),100)&lt;gup_esikSaglik),"ALARM","YOK")</f>
        <v/>
      </c>
      <c r="C11" s="24">
        <f>IFERROR(ABS(E11-gup_esikPr),0)</f>
        <v/>
      </c>
      <c r="D11" s="63">
        <f>raporTarihi</f>
        <v/>
      </c>
      <c r="E11" s="24">
        <f>IFERROR(SUMIF(tblVarliklar[VarlikId],A11,tblVarliklar[OrtPr]),0)</f>
        <v/>
      </c>
      <c r="F11" s="23">
        <f>IFERROR(SUMIF(tblVarliklar[VarlikId],A11,tblVarliklar[SaglikSkor]),0)</f>
        <v/>
      </c>
    </row>
    <row r="12">
      <c r="A12" s="7" t="inlineStr">
        <is>
          <t>GES-00007</t>
        </is>
      </c>
      <c r="B12" s="7">
        <f>IF(OR(COUNTIFS(tblGunluk[VarlikId],A12,tblGunluk[AlarmBayrak],"ALARM")&gt;0,IFERROR(SUMIF(tblVarliklar[VarlikId],A12,tblVarliklar[SaglikSkor]),100)&lt;gup_esikSaglik),"ALARM","YOK")</f>
        <v/>
      </c>
      <c r="C12" s="24">
        <f>IFERROR(ABS(E12-gup_esikPr),0)</f>
        <v/>
      </c>
      <c r="D12" s="63">
        <f>raporTarihi</f>
        <v/>
      </c>
      <c r="E12" s="24">
        <f>IFERROR(SUMIF(tblVarliklar[VarlikId],A12,tblVarliklar[OrtPr]),0)</f>
        <v/>
      </c>
      <c r="F12" s="23">
        <f>IFERROR(SUMIF(tblVarliklar[VarlikId],A12,tblVarliklar[SaglikSkor]),0)</f>
        <v/>
      </c>
    </row>
    <row r="13">
      <c r="A13" s="7" t="inlineStr">
        <is>
          <t>GES-00008</t>
        </is>
      </c>
      <c r="B13" s="7">
        <f>IF(OR(COUNTIFS(tblGunluk[VarlikId],A13,tblGunluk[AlarmBayrak],"ALARM")&gt;0,IFERROR(SUMIF(tblVarliklar[VarlikId],A13,tblVarliklar[SaglikSkor]),100)&lt;gup_esikSaglik),"ALARM","YOK")</f>
        <v/>
      </c>
      <c r="C13" s="24">
        <f>IFERROR(ABS(E13-gup_esikPr),0)</f>
        <v/>
      </c>
      <c r="D13" s="63">
        <f>raporTarihi</f>
        <v/>
      </c>
      <c r="E13" s="24">
        <f>IFERROR(SUMIF(tblVarliklar[VarlikId],A13,tblVarliklar[OrtPr]),0)</f>
        <v/>
      </c>
      <c r="F13" s="23">
        <f>IFERROR(SUMIF(tblVarliklar[VarlikId],A13,tblVarliklar[SaglikSkor]),0)</f>
        <v/>
      </c>
    </row>
    <row r="16">
      <c r="A16" s="13" t="inlineStr">
        <is>
          <t>Alarm Özeti</t>
        </is>
      </c>
      <c r="B16" s="8">
        <f>gup_alarmListesi</f>
        <v/>
      </c>
    </row>
    <row r="18">
      <c r="A18" s="13" t="inlineStr">
        <is>
          <t>Toplam Alarm Satır</t>
        </is>
      </c>
      <c r="B18" s="23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6:F16"/>
    <mergeCell ref="A3:L3"/>
    <mergeCell ref="A1:N1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lessThan" dxfId="0">
      <formula>gup_esikPr</formula>
    </cfRule>
  </conditionalFormatting>
  <conditionalFormatting sqref="F6">
    <cfRule type="cellIs" priority="4" operator="lessThan" dxfId="2">
      <formula>gup_esikSaglik</formula>
    </cfRule>
  </conditionalFormatting>
  <conditionalFormatting sqref="E7">
    <cfRule type="cellIs" priority="5" operator="lessThan" dxfId="0">
      <formula>gup_esikPr</formula>
    </cfRule>
  </conditionalFormatting>
  <conditionalFormatting sqref="F7">
    <cfRule type="cellIs" priority="6" operator="lessThan" dxfId="2">
      <formula>gup_esikSaglik</formula>
    </cfRule>
  </conditionalFormatting>
  <conditionalFormatting sqref="E8">
    <cfRule type="cellIs" priority="7" operator="lessThan" dxfId="0">
      <formula>gup_esikPr</formula>
    </cfRule>
  </conditionalFormatting>
  <conditionalFormatting sqref="F8">
    <cfRule type="cellIs" priority="8" operator="lessThan" dxfId="2">
      <formula>gup_esikSaglik</formula>
    </cfRule>
  </conditionalFormatting>
  <conditionalFormatting sqref="E9">
    <cfRule type="cellIs" priority="9" operator="lessThan" dxfId="0">
      <formula>gup_esikPr</formula>
    </cfRule>
  </conditionalFormatting>
  <conditionalFormatting sqref="F9">
    <cfRule type="cellIs" priority="10" operator="lessThan" dxfId="2">
      <formula>gup_esikSaglik</formula>
    </cfRule>
  </conditionalFormatting>
  <conditionalFormatting sqref="E10">
    <cfRule type="cellIs" priority="11" operator="lessThan" dxfId="0">
      <formula>gup_esikPr</formula>
    </cfRule>
  </conditionalFormatting>
  <conditionalFormatting sqref="F10">
    <cfRule type="cellIs" priority="12" operator="lessThan" dxfId="2">
      <formula>gup_esikSaglik</formula>
    </cfRule>
  </conditionalFormatting>
  <conditionalFormatting sqref="E11">
    <cfRule type="cellIs" priority="13" operator="lessThan" dxfId="0">
      <formula>gup_esikPr</formula>
    </cfRule>
  </conditionalFormatting>
  <conditionalFormatting sqref="F11">
    <cfRule type="cellIs" priority="14" operator="lessThan" dxfId="2">
      <formula>gup_esikSaglik</formula>
    </cfRule>
  </conditionalFormatting>
  <conditionalFormatting sqref="E12">
    <cfRule type="cellIs" priority="15" operator="lessThan" dxfId="0">
      <formula>gup_esikPr</formula>
    </cfRule>
  </conditionalFormatting>
  <conditionalFormatting sqref="F12">
    <cfRule type="cellIs" priority="16" operator="lessThan" dxfId="2">
      <formula>gup_esikSaglik</formula>
    </cfRule>
  </conditionalFormatting>
  <conditionalFormatting sqref="E13">
    <cfRule type="cellIs" priority="17" operator="lessThan" dxfId="0">
      <formula>gup_esikPr</formula>
    </cfRule>
  </conditionalFormatting>
  <conditionalFormatting sqref="F13">
    <cfRule type="cellIs" priority="18" operator="lessThan" dxfId="2">
      <formula>gup_esikSaglik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18" customWidth="1" min="3" max="3"/>
  </cols>
  <sheetData>
    <row r="1" ht="26" customHeight="1">
      <c r="A1" s="1" t="inlineStr">
        <is>
          <t>RAPOR — GES Üretim &amp; Performans Takibi</t>
        </is>
      </c>
    </row>
    <row r="3" ht="20" customHeight="1">
      <c r="A3" s="10" t="inlineStr">
        <is>
          <t>Dönemsel yönetim raporu — yazdırılabilir kanıt</t>
        </is>
      </c>
    </row>
    <row r="5">
      <c r="A5" s="13" t="inlineStr">
        <is>
          <t>Ürün</t>
        </is>
      </c>
      <c r="B5" s="7" t="inlineStr">
        <is>
          <t>GES Üretim &amp; Performans Takibi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63">
        <f>raporTarihi</f>
        <v/>
      </c>
    </row>
    <row r="8">
      <c r="A8" s="13" t="inlineStr">
        <is>
          <t>Firma</t>
        </is>
      </c>
      <c r="B8" s="7">
        <f>gup_firmaUnvan</f>
        <v/>
      </c>
    </row>
    <row r="10">
      <c r="A10" s="33" t="inlineStr">
        <is>
          <t>KARAR</t>
        </is>
      </c>
      <c r="B10" s="34">
        <f>gup_kararKapi</f>
        <v/>
      </c>
    </row>
    <row r="11">
      <c r="A11" s="7" t="inlineStr">
        <is>
          <t>PR Oranı</t>
        </is>
      </c>
      <c r="B11" s="24">
        <f>gup_prOrani</f>
        <v/>
      </c>
    </row>
    <row r="12">
      <c r="A12" s="7" t="inlineStr">
        <is>
          <t>Toplam Üretim kWh</t>
        </is>
      </c>
      <c r="B12" s="26">
        <f>gup_toplamUretim</f>
        <v/>
      </c>
    </row>
    <row r="13">
      <c r="A13" s="7" t="inlineStr">
        <is>
          <t>Toplam Kayıp kWh</t>
        </is>
      </c>
      <c r="B13" s="26">
        <f>gup_toplamKayip</f>
        <v/>
      </c>
    </row>
    <row r="14">
      <c r="A14" s="7" t="inlineStr">
        <is>
          <t>Sağlık Skor</t>
        </is>
      </c>
      <c r="B14" s="23">
        <f>gup_saglikSkor</f>
        <v/>
      </c>
    </row>
    <row r="15">
      <c r="A15" s="7" t="inlineStr">
        <is>
          <t>Alarm Adet</t>
        </is>
      </c>
      <c r="B15" s="23">
        <f>gup_alarmAdet</f>
        <v/>
      </c>
    </row>
    <row r="17">
      <c r="A17" s="22" t="inlineStr">
        <is>
          <t>Kalem</t>
        </is>
      </c>
      <c r="B17" s="22" t="inlineStr">
        <is>
          <t>Değer</t>
        </is>
      </c>
    </row>
    <row r="18">
      <c r="A18" s="7" t="inlineStr">
        <is>
          <t>Teorik üretim</t>
        </is>
      </c>
      <c r="B18" s="26">
        <f>gup_teorikUretim</f>
        <v/>
      </c>
    </row>
    <row r="19">
      <c r="A19" s="7" t="inlineStr">
        <is>
          <t>Kayıp payı</t>
        </is>
      </c>
      <c r="B19" s="24">
        <f>gup_kayipPay</f>
        <v/>
      </c>
    </row>
    <row r="20">
      <c r="A20" s="7" t="inlineStr">
        <is>
          <t>Günlük PR ort</t>
        </is>
      </c>
      <c r="B20" s="24">
        <f>gup_gunlukPrOrt</f>
        <v/>
      </c>
    </row>
    <row r="21">
      <c r="A21" s="7" t="inlineStr">
        <is>
          <t>Kalite skor</t>
        </is>
      </c>
      <c r="B21" s="23">
        <f>gup_kaliteSkor</f>
        <v/>
      </c>
    </row>
    <row r="24">
      <c r="A24" s="25" t="inlineStr">
        <is>
          <t>Varsayımlar</t>
        </is>
      </c>
    </row>
    <row r="25">
      <c r="A25" s="8" t="inlineStr">
        <is>
          <t>PR = üretim / (ışınım × kapasite). Eşikler AYARLAR'dan gelir. Karar destek çıktısıdır; mali veya mühendislik tavsiyesi değildir. IEC 61724 referanslı performans oranı yaklaşımıdır.</t>
        </is>
      </c>
    </row>
    <row r="26"/>
    <row r="28">
      <c r="A28" s="7" t="inlineStr">
        <is>
          <t>İmza — GES İşletme Müdürü</t>
        </is>
      </c>
      <c r="C28" s="7" t="inlineStr">
        <is>
          <t>________________</t>
        </is>
      </c>
    </row>
    <row r="29">
      <c r="A29" s="7" t="inlineStr">
        <is>
          <t>İmza — CFO / Varlık Yöneticisi</t>
        </is>
      </c>
      <c r="C29" s="7" t="inlineStr">
        <is>
          <t>________________</t>
        </is>
      </c>
    </row>
    <row r="31">
      <c r="A31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5:F26"/>
    <mergeCell ref="A1:L1"/>
    <mergeCell ref="A3:J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&amp;LGES Üretim &amp; Performans Takibi | Rapor | 1.0.0&amp;CExcelArşiv&amp;RSayfa &amp;P / &amp;N</oddFooter>
    <evenHeader/>
    <evenFooter>&amp;LGES Üretim &amp; Performans Takibi | Rapor | 1.0.0&amp;CExcelArşiv&amp;RSayfa &amp;P / &amp;N</evenFooter>
    <firstHeader/>
    <firstFooter/>
  </headerFooter>
</worksheet>
</file>

<file path=xl/worksheets/sheet17.xml><?xml version="1.0" encoding="utf-8"?>
<worksheet xmlns="http://schemas.openxmlformats.org/spreadsheetml/2006/main">
  <sheetPr>
    <tabColor rgb="000B3D2E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 ht="26" customHeight="1">
      <c r="A1" s="1" t="inlineStr">
        <is>
          <t>KONTROLLER — GES Üretim &amp; Performans Takibi</t>
        </is>
      </c>
    </row>
    <row r="3" ht="20" customHeight="1">
      <c r="A3" s="10" t="inlineStr">
        <is>
          <t>Canlı sağlık kontrolleri — formülle</t>
        </is>
      </c>
    </row>
    <row r="5">
      <c r="A5" s="22" t="inlineStr">
        <is>
          <t>Kontrol</t>
        </is>
      </c>
      <c r="B5" s="22" t="inlineStr">
        <is>
          <t>Sonuç</t>
        </is>
      </c>
      <c r="C5" s="22" t="inlineStr">
        <is>
          <t>Değer</t>
        </is>
      </c>
    </row>
    <row r="6">
      <c r="A6" s="7" t="inlineStr">
        <is>
          <t>Dolu kayıt &gt; 0</t>
        </is>
      </c>
      <c r="B6" s="7">
        <f>IF(gup_doluKayit&gt;0,"GEÇTİ","KALDI")</f>
        <v/>
      </c>
      <c r="C6" s="7">
        <f>gup_doluKayit</f>
        <v/>
      </c>
    </row>
    <row r="7">
      <c r="A7" s="7" t="inlineStr">
        <is>
          <t>Yetim kayıt = 0</t>
        </is>
      </c>
      <c r="B7" s="7">
        <f>IF(gup_yetimAdet=0,"GEÇTİ","UYARI")</f>
        <v/>
      </c>
      <c r="C7" s="7">
        <f>gup_yetimAdet</f>
        <v/>
      </c>
    </row>
    <row r="8">
      <c r="A8" s="7" t="inlineStr">
        <is>
          <t>PR hesaplı</t>
        </is>
      </c>
      <c r="B8" s="7">
        <f>IF(gup_prOrani&gt;=0,"GEÇTİ","KALDI")</f>
        <v/>
      </c>
      <c r="C8" s="7">
        <f>gup_prOrani</f>
        <v/>
      </c>
    </row>
    <row r="9">
      <c r="A9" s="7" t="inlineStr">
        <is>
          <t>Sağlık skor formül</t>
        </is>
      </c>
      <c r="B9" s="7">
        <f>IF(gup_saglikSkor&gt;=0,"GEÇTİ","KALDI")</f>
        <v/>
      </c>
      <c r="C9" s="7">
        <f>gup_saglikSkor</f>
        <v/>
      </c>
    </row>
    <row r="10">
      <c r="A10" s="7" t="inlineStr">
        <is>
          <t>Alarm listesi</t>
        </is>
      </c>
      <c r="B10" s="7">
        <f>IF(gup_alarmAdet&gt;=0,"GEÇTİ","KALDI")</f>
        <v/>
      </c>
      <c r="C10" s="7">
        <f>gup_alarmAdet</f>
        <v/>
      </c>
    </row>
    <row r="11">
      <c r="A11" s="7" t="inlineStr">
        <is>
          <t>Karar dolu</t>
        </is>
      </c>
      <c r="B11" s="7">
        <f>IF(gup_kararKapi&lt;&gt;"","GEÇTİ","KALDI")</f>
        <v/>
      </c>
      <c r="C11" s="7">
        <f>gup_kararKapi</f>
        <v/>
      </c>
    </row>
    <row r="12">
      <c r="A12" s="7" t="inlineStr">
        <is>
          <t>12 ay sezonsal</t>
        </is>
      </c>
      <c r="B12" s="7">
        <f>IF(DONEM_ANALIZ!B22&gt;=0,"GEÇTİ","KALDI")</f>
        <v/>
      </c>
      <c r="C12" s="7">
        <f>DONEM_ANALIZ!B22</f>
        <v/>
      </c>
    </row>
    <row r="13">
      <c r="A13" s="7" t="inlineStr">
        <is>
          <t>Kalite skor</t>
        </is>
      </c>
      <c r="B13" s="7">
        <f>IF(gup_kaliteSkor&gt;=0,"GEÇTİ","KALDI")</f>
        <v/>
      </c>
      <c r="C13" s="7">
        <f>gup_kaliteSkor</f>
        <v/>
      </c>
    </row>
    <row r="14">
      <c r="A14" s="7" t="inlineStr">
        <is>
          <t>Tornado</t>
        </is>
      </c>
      <c r="B14" s="7">
        <f>IF(gup_tornadoZirve&gt;=0,"GEÇTİ","KALDI")</f>
        <v/>
      </c>
      <c r="C14" s="7">
        <f>gup_tornadoZirve</f>
        <v/>
      </c>
    </row>
    <row r="15">
      <c r="A15" s="7" t="inlineStr">
        <is>
          <t>P90</t>
        </is>
      </c>
      <c r="B15" s="7">
        <f>IF(gup_yuzdelikP90&gt;=0,"GEÇTİ","KALDI")</f>
        <v/>
      </c>
      <c r="C15" s="7">
        <f>gup_yuzdelikP90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B3D2E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ORNEK VERI — GES Üretim &amp; Performans Takibi</t>
        </is>
      </c>
    </row>
    <row r="3" ht="20" customHeight="1">
      <c r="A3" s="10" t="inlineStr">
        <is>
          <t>Örnek günlük satırlar — kopyalanabilir referans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UretimKwh_kwh</t>
        </is>
      </c>
      <c r="E5" s="14" t="inlineStr">
        <is>
          <t>IsinimKwhm2_kwhm2</t>
        </is>
      </c>
      <c r="F5" s="14" t="inlineStr">
        <is>
          <t>KayipKwh_kwh</t>
        </is>
      </c>
      <c r="G5" s="14" t="inlineStr">
        <is>
          <t>KayipTuru</t>
        </is>
      </c>
    </row>
    <row r="6">
      <c r="A6" s="7" t="inlineStr">
        <is>
          <t>GUP-00001</t>
        </is>
      </c>
      <c r="B6" s="7" t="inlineStr">
        <is>
          <t>GES-00001</t>
        </is>
      </c>
      <c r="C6" s="63" t="n">
        <v>46242</v>
      </c>
      <c r="D6" s="26" t="n">
        <v>341.9</v>
      </c>
      <c r="E6" s="35" t="n">
        <v>3.85</v>
      </c>
      <c r="F6" s="26" t="n">
        <v>120.1</v>
      </c>
      <c r="G6" s="7" t="inlineStr">
        <is>
          <t>GOLGE</t>
        </is>
      </c>
    </row>
    <row r="7">
      <c r="A7" s="7" t="inlineStr">
        <is>
          <t>GUP-00002</t>
        </is>
      </c>
      <c r="B7" s="7" t="inlineStr">
        <is>
          <t>GES-00002</t>
        </is>
      </c>
      <c r="C7" s="63" t="n">
        <v>46239</v>
      </c>
      <c r="D7" s="26" t="n">
        <v>2907</v>
      </c>
      <c r="E7" s="35" t="n">
        <v>4.5</v>
      </c>
      <c r="F7" s="26" t="n">
        <v>918</v>
      </c>
      <c r="G7" s="7" t="inlineStr">
        <is>
          <t>INVERTER</t>
        </is>
      </c>
    </row>
    <row r="8">
      <c r="A8" s="7" t="inlineStr">
        <is>
          <t>GUP-00003</t>
        </is>
      </c>
      <c r="B8" s="7" t="inlineStr">
        <is>
          <t>GES-00003</t>
        </is>
      </c>
      <c r="C8" s="63" t="n">
        <v>46236</v>
      </c>
      <c r="D8" s="26" t="n">
        <v>337.1</v>
      </c>
      <c r="E8" s="35" t="n">
        <v>4.55</v>
      </c>
      <c r="F8" s="26" t="n">
        <v>95.09999999999999</v>
      </c>
      <c r="G8" s="7" t="inlineStr">
        <is>
          <t>ARIZA</t>
        </is>
      </c>
    </row>
    <row r="9">
      <c r="A9" s="7" t="inlineStr">
        <is>
          <t>GUP-00004</t>
        </is>
      </c>
      <c r="B9" s="7" t="inlineStr">
        <is>
          <t>GES-00004</t>
        </is>
      </c>
      <c r="C9" s="63" t="n">
        <v>46233</v>
      </c>
      <c r="D9" s="26" t="n">
        <v>4992</v>
      </c>
      <c r="E9" s="35" t="n">
        <v>5.2</v>
      </c>
      <c r="F9" s="26" t="n">
        <v>1248</v>
      </c>
      <c r="G9" s="7" t="inlineStr">
        <is>
          <t>ISINIM</t>
        </is>
      </c>
    </row>
    <row r="10">
      <c r="A10" s="7" t="inlineStr">
        <is>
          <t>GUP-00005</t>
        </is>
      </c>
      <c r="B10" s="7" t="inlineStr">
        <is>
          <t>GES-00005</t>
        </is>
      </c>
      <c r="C10" s="63" t="n">
        <v>46230</v>
      </c>
      <c r="D10" s="26" t="n">
        <v>269.6</v>
      </c>
      <c r="E10" s="35" t="n">
        <v>5.85</v>
      </c>
      <c r="F10" s="26" t="n">
        <v>104.8</v>
      </c>
      <c r="G10" s="7" t="inlineStr">
        <is>
          <t>DIGER</t>
        </is>
      </c>
    </row>
    <row r="11">
      <c r="A11" s="7" t="inlineStr">
        <is>
          <t>GUP-00006</t>
        </is>
      </c>
      <c r="B11" s="7" t="inlineStr">
        <is>
          <t>GES-00006</t>
        </is>
      </c>
      <c r="C11" s="63" t="n">
        <v>46227</v>
      </c>
      <c r="D11" s="26" t="n">
        <v>2270.3</v>
      </c>
      <c r="E11" s="35" t="n">
        <v>5.9</v>
      </c>
      <c r="F11" s="26" t="n">
        <v>797.7</v>
      </c>
      <c r="G11" s="7" t="inlineStr">
        <is>
          <t>KIRLENME</t>
        </is>
      </c>
    </row>
    <row r="12">
      <c r="A12" s="7" t="inlineStr">
        <is>
          <t>GUP-00007</t>
        </is>
      </c>
      <c r="B12" s="7" t="inlineStr">
        <is>
          <t>GES-00007</t>
        </is>
      </c>
      <c r="C12" s="63" t="n">
        <v>46224</v>
      </c>
      <c r="D12" s="26" t="n">
        <v>284.2</v>
      </c>
      <c r="E12" s="35" t="n">
        <v>3.4</v>
      </c>
      <c r="F12" s="26" t="n">
        <v>89.8</v>
      </c>
      <c r="G12" s="7" t="inlineStr">
        <is>
          <t>GOLGE</t>
        </is>
      </c>
    </row>
    <row r="13">
      <c r="A13" s="7" t="inlineStr">
        <is>
          <t>GUP-00008</t>
        </is>
      </c>
      <c r="B13" s="7" t="inlineStr">
        <is>
          <t>GES-00008</t>
        </is>
      </c>
      <c r="C13" s="63" t="n">
        <v>46221</v>
      </c>
      <c r="D13" s="26" t="n">
        <v>1200.4</v>
      </c>
      <c r="E13" s="35" t="n">
        <v>4.05</v>
      </c>
      <c r="F13" s="26" t="n">
        <v>338.6</v>
      </c>
      <c r="G13" s="7" t="inlineStr">
        <is>
          <t>INVERTER</t>
        </is>
      </c>
    </row>
    <row r="14">
      <c r="A14" s="7" t="inlineStr">
        <is>
          <t>GUP-00009</t>
        </is>
      </c>
      <c r="B14" s="7" t="inlineStr">
        <is>
          <t>GES-00001</t>
        </is>
      </c>
      <c r="C14" s="63" t="n">
        <v>46218</v>
      </c>
      <c r="D14" s="26" t="n">
        <v>393.6</v>
      </c>
      <c r="E14" s="35" t="n">
        <v>4.1</v>
      </c>
      <c r="F14" s="26" t="n">
        <v>98.40000000000001</v>
      </c>
      <c r="G14" s="7" t="inlineStr">
        <is>
          <t>ARIZA</t>
        </is>
      </c>
    </row>
    <row r="15">
      <c r="A15" s="7" t="inlineStr">
        <is>
          <t>GUP-00010</t>
        </is>
      </c>
      <c r="B15" s="7" t="inlineStr">
        <is>
          <t>GES-00002</t>
        </is>
      </c>
      <c r="C15" s="63" t="n">
        <v>46215</v>
      </c>
      <c r="D15" s="26" t="n">
        <v>2907</v>
      </c>
      <c r="E15" s="35" t="n">
        <v>4.75</v>
      </c>
      <c r="F15" s="26" t="n">
        <v>1130.5</v>
      </c>
      <c r="G15" s="7" t="inlineStr">
        <is>
          <t>ISINIM</t>
        </is>
      </c>
    </row>
    <row r="16">
      <c r="A16" s="7" t="inlineStr">
        <is>
          <t>GUP-00011</t>
        </is>
      </c>
      <c r="B16" s="7" t="inlineStr">
        <is>
          <t>GES-00003</t>
        </is>
      </c>
      <c r="C16" s="63" t="n">
        <v>46212</v>
      </c>
      <c r="D16" s="26" t="n">
        <v>379.6</v>
      </c>
      <c r="E16" s="35" t="n">
        <v>5.4</v>
      </c>
      <c r="F16" s="26" t="n">
        <v>133.4</v>
      </c>
      <c r="G16" s="7" t="inlineStr">
        <is>
          <t>DIGER</t>
        </is>
      </c>
    </row>
    <row r="17">
      <c r="A17" s="7" t="inlineStr">
        <is>
          <t>GUP-00012</t>
        </is>
      </c>
      <c r="B17" s="7" t="inlineStr">
        <is>
          <t>GES-00004</t>
        </is>
      </c>
      <c r="C17" s="63" t="n">
        <v>46209</v>
      </c>
      <c r="D17" s="26" t="n">
        <v>3597</v>
      </c>
      <c r="E17" s="35" t="n">
        <v>5.45</v>
      </c>
      <c r="F17" s="26" t="n">
        <v>2943</v>
      </c>
      <c r="G17" s="7" t="inlineStr">
        <is>
          <t>KIRLENME</t>
        </is>
      </c>
    </row>
    <row r="18">
      <c r="A18" s="7" t="inlineStr">
        <is>
          <t>GUP-00013</t>
        </is>
      </c>
      <c r="B18" s="7" t="inlineStr">
        <is>
          <t>GES-00005</t>
        </is>
      </c>
      <c r="C18" s="63" t="n">
        <v>46206</v>
      </c>
      <c r="D18" s="26" t="n">
        <v>304.5</v>
      </c>
      <c r="E18" s="35" t="n">
        <v>6.1</v>
      </c>
      <c r="F18" s="26" t="n">
        <v>85.90000000000001</v>
      </c>
      <c r="G18" s="7" t="inlineStr">
        <is>
          <t>GOLGE</t>
        </is>
      </c>
    </row>
    <row r="19">
      <c r="A19" s="7" t="inlineStr">
        <is>
          <t>GUP-00014</t>
        </is>
      </c>
      <c r="B19" s="7" t="inlineStr">
        <is>
          <t>GES-00006</t>
        </is>
      </c>
      <c r="C19" s="63" t="n">
        <v>46203</v>
      </c>
      <c r="D19" s="26" t="n">
        <v>1497.6</v>
      </c>
      <c r="E19" s="35" t="n">
        <v>3.6</v>
      </c>
      <c r="F19" s="26" t="n">
        <v>374.4</v>
      </c>
      <c r="G19" s="7" t="inlineStr">
        <is>
          <t>INVERTER</t>
        </is>
      </c>
    </row>
    <row r="20">
      <c r="A20" s="7" t="inlineStr">
        <is>
          <t>GUP-00015</t>
        </is>
      </c>
      <c r="B20" s="7" t="inlineStr">
        <is>
          <t>GES-00007</t>
        </is>
      </c>
      <c r="C20" s="63" t="n">
        <v>46200</v>
      </c>
      <c r="D20" s="26" t="n">
        <v>289.1</v>
      </c>
      <c r="E20" s="35" t="n">
        <v>3.65</v>
      </c>
      <c r="F20" s="26" t="n">
        <v>112.4</v>
      </c>
      <c r="G20" s="7" t="inlineStr">
        <is>
          <t>ARIZA</t>
        </is>
      </c>
    </row>
    <row r="21">
      <c r="A21" s="7" t="inlineStr">
        <is>
          <t>GUP-00016</t>
        </is>
      </c>
      <c r="B21" s="7" t="inlineStr">
        <is>
          <t>GES-00008</t>
        </is>
      </c>
      <c r="C21" s="63" t="n">
        <v>46197</v>
      </c>
      <c r="D21" s="26" t="n">
        <v>1209.2</v>
      </c>
      <c r="E21" s="35" t="n">
        <v>4.3</v>
      </c>
      <c r="F21" s="26" t="n">
        <v>424.8</v>
      </c>
      <c r="G21" s="7" t="inlineStr">
        <is>
          <t>ISINIM</t>
        </is>
      </c>
    </row>
    <row r="22">
      <c r="A22" s="7" t="inlineStr">
        <is>
          <t>GUP-00017</t>
        </is>
      </c>
      <c r="B22" s="7" t="inlineStr">
        <is>
          <t>GES-00001</t>
        </is>
      </c>
      <c r="C22" s="63" t="n">
        <v>46194</v>
      </c>
      <c r="D22" s="26" t="n">
        <v>451.4</v>
      </c>
      <c r="E22" s="35" t="n">
        <v>4.95</v>
      </c>
      <c r="F22" s="26" t="n">
        <v>142.6</v>
      </c>
      <c r="G22" s="7" t="inlineStr">
        <is>
          <t>DIGER</t>
        </is>
      </c>
    </row>
    <row r="23">
      <c r="A23" s="7" t="inlineStr">
        <is>
          <t>GUP-00018</t>
        </is>
      </c>
      <c r="B23" s="7" t="inlineStr">
        <is>
          <t>GES-00002</t>
        </is>
      </c>
      <c r="C23" s="63" t="n">
        <v>46191</v>
      </c>
      <c r="D23" s="26" t="n">
        <v>3315</v>
      </c>
      <c r="E23" s="35" t="n">
        <v>5</v>
      </c>
      <c r="F23" s="26" t="n">
        <v>935</v>
      </c>
      <c r="G23" s="7" t="inlineStr">
        <is>
          <t>KIRLENME</t>
        </is>
      </c>
    </row>
    <row r="24">
      <c r="A24" s="7" t="inlineStr">
        <is>
          <t>GUP-00019</t>
        </is>
      </c>
      <c r="B24" s="7" t="inlineStr">
        <is>
          <t>GES-00003</t>
        </is>
      </c>
      <c r="C24" s="63" t="n">
        <v>46188</v>
      </c>
      <c r="D24" s="26" t="n">
        <v>429.4</v>
      </c>
      <c r="E24" s="35" t="n">
        <v>5.65</v>
      </c>
      <c r="F24" s="26" t="n">
        <v>107.4</v>
      </c>
      <c r="G24" s="7" t="inlineStr">
        <is>
          <t>GOLGE</t>
        </is>
      </c>
    </row>
    <row r="25">
      <c r="A25" s="7" t="inlineStr">
        <is>
          <t>GUP-00020</t>
        </is>
      </c>
      <c r="B25" s="7" t="inlineStr">
        <is>
          <t>GES-00004</t>
        </is>
      </c>
      <c r="C25" s="63" t="n">
        <v>46185</v>
      </c>
      <c r="D25" s="26" t="n">
        <v>5443.2</v>
      </c>
      <c r="E25" s="35" t="n">
        <v>6.3</v>
      </c>
      <c r="F25" s="26" t="n">
        <v>2116.8</v>
      </c>
      <c r="G25" s="7" t="inlineStr">
        <is>
          <t>INVERTER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B3D2E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3" max="3"/>
    <col width="14" customWidth="1" min="5" max="5"/>
  </cols>
  <sheetData>
    <row r="1" ht="26" customHeight="1">
      <c r="A1" s="1" t="inlineStr">
        <is>
          <t>LISTELER — GES Üretim &amp; Performans Takibi</t>
        </is>
      </c>
    </row>
    <row r="3">
      <c r="A3" s="25" t="inlineStr">
        <is>
          <t>Evet / Hayır</t>
        </is>
      </c>
      <c r="C3" s="13" t="inlineStr">
        <is>
          <t>Kayıp Türü</t>
        </is>
      </c>
      <c r="E3" s="13" t="inlineStr">
        <is>
          <t>Santral Tipi</t>
        </is>
      </c>
    </row>
    <row r="6">
      <c r="A6" s="22" t="inlineStr">
        <is>
          <t>Secim</t>
        </is>
      </c>
      <c r="C6" s="22" t="inlineStr">
        <is>
          <t>Tur</t>
        </is>
      </c>
      <c r="E6" s="22" t="inlineStr">
        <is>
          <t>Tip</t>
        </is>
      </c>
    </row>
    <row r="7">
      <c r="A7" s="15" t="inlineStr">
        <is>
          <t>EVET</t>
        </is>
      </c>
      <c r="C7" s="15" t="inlineStr">
        <is>
          <t>KIRLENME</t>
        </is>
      </c>
      <c r="E7" s="15" t="inlineStr">
        <is>
          <t>Cati</t>
        </is>
      </c>
    </row>
    <row r="8">
      <c r="A8" s="15" t="inlineStr">
        <is>
          <t>HAYIR</t>
        </is>
      </c>
      <c r="C8" s="15" t="inlineStr">
        <is>
          <t>GOLGE</t>
        </is>
      </c>
      <c r="E8" s="15" t="inlineStr">
        <is>
          <t>Saha</t>
        </is>
      </c>
    </row>
    <row r="9">
      <c r="C9" s="15" t="inlineStr">
        <is>
          <t>INVERTER</t>
        </is>
      </c>
    </row>
    <row r="10">
      <c r="C10" s="15" t="inlineStr">
        <is>
          <t>ARIZA</t>
        </is>
      </c>
    </row>
    <row r="11">
      <c r="C11" s="15" t="inlineStr">
        <is>
          <t>ISINIM</t>
        </is>
      </c>
    </row>
    <row r="12">
      <c r="C12" s="15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0B3D2E"/>
    <outlinePr summaryBelow="1" summaryRight="1"/>
    <pageSetUpPr/>
  </sheetPr>
  <dimension ref="A1:N6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GES Üretim &amp; Performans Takibi</t>
        </is>
      </c>
    </row>
    <row r="3" ht="20" customHeight="1">
      <c r="A3" s="10" t="inlineStr">
        <is>
          <t>Tek kaynak parametreler + alarm eşikleri (S05)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62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gup_varsayilanKapasite</t>
        </is>
      </c>
      <c r="B7" s="16" t="n">
        <v>100</v>
      </c>
      <c r="C7" s="7" t="inlineStr">
        <is>
          <t>kWp</t>
        </is>
      </c>
      <c r="D7" s="7" t="inlineStr">
        <is>
          <t>Santral tasarım / STC</t>
        </is>
      </c>
      <c r="E7" s="7" t="inlineStr">
        <is>
          <t>01.01.2026</t>
        </is>
      </c>
      <c r="F7" s="8" t="inlineStr">
        <is>
          <t>Varsayılan kapasite kWp</t>
        </is>
      </c>
    </row>
    <row r="8">
      <c r="A8" s="7" t="inlineStr">
        <is>
          <t>gup_esikPr</t>
        </is>
      </c>
      <c r="B8" s="18" t="n">
        <v>0.72</v>
      </c>
      <c r="C8" s="7" t="inlineStr">
        <is>
          <t>oran</t>
        </is>
      </c>
      <c r="D8" s="7" t="inlineStr">
        <is>
          <t>Alarm eşiği — PR</t>
        </is>
      </c>
      <c r="E8" s="7" t="inlineStr">
        <is>
          <t>01.01.2026</t>
        </is>
      </c>
      <c r="F8" s="8" t="inlineStr">
        <is>
          <t>PR alt alarm eşiği</t>
        </is>
      </c>
    </row>
    <row r="9">
      <c r="A9" s="7" t="inlineStr">
        <is>
          <t>gup_esikKayipKwh</t>
        </is>
      </c>
      <c r="B9" s="16" t="n">
        <v>800</v>
      </c>
      <c r="C9" s="7" t="inlineStr">
        <is>
          <t>kWh</t>
        </is>
      </c>
      <c r="D9" s="7" t="inlineStr">
        <is>
          <t>Alarm eşiği — kayıp</t>
        </is>
      </c>
      <c r="E9" s="7" t="inlineStr">
        <is>
          <t>01.01.2026</t>
        </is>
      </c>
      <c r="F9" s="8" t="inlineStr">
        <is>
          <t>Günlük kayıp alarm eşiği</t>
        </is>
      </c>
    </row>
    <row r="10">
      <c r="A10" s="7" t="inlineStr">
        <is>
          <t>gup_esikSaglik</t>
        </is>
      </c>
      <c r="B10" s="17" t="n">
        <v>60</v>
      </c>
      <c r="C10" s="7" t="inlineStr">
        <is>
          <t>puan</t>
        </is>
      </c>
      <c r="D10" s="7" t="inlineStr">
        <is>
          <t>Alarm eşiği — sağlık skor</t>
        </is>
      </c>
      <c r="E10" s="7" t="inlineStr">
        <is>
          <t>01.01.2026</t>
        </is>
      </c>
      <c r="F10" s="8" t="inlineStr">
        <is>
          <t>Sağlık skor alt eşiği</t>
        </is>
      </c>
    </row>
    <row r="11">
      <c r="A11" s="7" t="inlineStr">
        <is>
          <t>gup_aylikCarpan</t>
        </is>
      </c>
      <c r="B11" s="18" t="n">
        <v>1</v>
      </c>
      <c r="C11" s="7" t="inlineStr">
        <is>
          <t>oran</t>
        </is>
      </c>
      <c r="D11" s="7" t="inlineStr">
        <is>
          <t>Aylık proxy</t>
        </is>
      </c>
      <c r="E11" s="7" t="inlineStr">
        <is>
          <t>01.01.2026</t>
        </is>
      </c>
      <c r="F11" s="8" t="inlineStr">
        <is>
          <t>Aylık üretim çarpan</t>
        </is>
      </c>
    </row>
    <row r="12">
      <c r="A12" s="7" t="inlineStr">
        <is>
          <t>gup_senaryoTemkinli</t>
        </is>
      </c>
      <c r="B12" s="18" t="n">
        <v>0.9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Temkinli çarpan</t>
        </is>
      </c>
    </row>
    <row r="13">
      <c r="A13" s="7" t="inlineStr">
        <is>
          <t>gup_senaryoBaz</t>
        </is>
      </c>
      <c r="B13" s="18" t="n">
        <v>1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Baz çarpan</t>
        </is>
      </c>
    </row>
    <row r="14">
      <c r="A14" s="7" t="inlineStr">
        <is>
          <t>gup_senaryoIyimser</t>
        </is>
      </c>
      <c r="B14" s="18" t="n">
        <v>1.1</v>
      </c>
      <c r="C14" s="7" t="inlineStr">
        <is>
          <t>oran</t>
        </is>
      </c>
      <c r="D14" s="7" t="inlineStr">
        <is>
          <t>Senaryo motoru</t>
        </is>
      </c>
      <c r="E14" s="7" t="inlineStr">
        <is>
          <t>01.01.2026</t>
        </is>
      </c>
      <c r="F14" s="8" t="inlineStr">
        <is>
          <t>İyimser çarpan</t>
        </is>
      </c>
    </row>
    <row r="15">
      <c r="A15" s="7" t="inlineStr">
        <is>
          <t>gup_tornadoOran</t>
        </is>
      </c>
      <c r="B15" s="18" t="n">
        <v>0.08</v>
      </c>
      <c r="C15" s="7" t="inlineStr">
        <is>
          <t>oran</t>
        </is>
      </c>
      <c r="D15" s="7" t="inlineStr">
        <is>
          <t>Duyarlılık</t>
        </is>
      </c>
      <c r="E15" s="7" t="inlineStr">
        <is>
          <t>01.01.2026</t>
        </is>
      </c>
      <c r="F15" s="8" t="inlineStr">
        <is>
          <t>Tornado etki oranı</t>
        </is>
      </c>
    </row>
    <row r="16">
      <c r="A16" s="7" t="inlineStr">
        <is>
          <t>gup_yuzdelikOran</t>
        </is>
      </c>
      <c r="B16" s="18" t="n">
        <v>1.15</v>
      </c>
      <c r="C16" s="7" t="inlineStr">
        <is>
          <t>oran</t>
        </is>
      </c>
      <c r="D16" s="7" t="inlineStr">
        <is>
          <t>İstatistik kuralı</t>
        </is>
      </c>
      <c r="E16" s="7" t="inlineStr">
        <is>
          <t>01.01.2026</t>
        </is>
      </c>
      <c r="F16" s="8" t="inlineStr">
        <is>
          <t>P90 çarpan proxy</t>
        </is>
      </c>
    </row>
    <row r="17">
      <c r="A17" s="7" t="inlineStr">
        <is>
          <t>gup_percentileOran</t>
        </is>
      </c>
      <c r="B17" s="18" t="n">
        <v>0.9</v>
      </c>
      <c r="C17" s="7" t="inlineStr">
        <is>
          <t>oran</t>
        </is>
      </c>
      <c r="D17" s="7" t="inlineStr">
        <is>
          <t>PERCENTILE oranı</t>
        </is>
      </c>
      <c r="E17" s="7" t="inlineStr">
        <is>
          <t>01.01.2026</t>
        </is>
      </c>
      <c r="F17" s="8" t="inlineStr">
        <is>
          <t>Yüzdelik dilim</t>
        </is>
      </c>
    </row>
    <row r="18">
      <c r="A18" s="7" t="inlineStr">
        <is>
          <t>gup_tahminCarpan</t>
        </is>
      </c>
      <c r="B18" s="18" t="n">
        <v>1.05</v>
      </c>
      <c r="C18" s="7" t="inlineStr">
        <is>
          <t>oran</t>
        </is>
      </c>
      <c r="D18" s="7" t="inlineStr">
        <is>
          <t>Tahmin modeli</t>
        </is>
      </c>
      <c r="E18" s="7" t="inlineStr">
        <is>
          <t>01.01.2026</t>
        </is>
      </c>
      <c r="F18" s="8" t="inlineStr">
        <is>
          <t>Tahmin aralık çarpan</t>
        </is>
      </c>
    </row>
    <row r="19">
      <c r="A19" s="7" t="inlineStr">
        <is>
          <t>gup_olcekHedef</t>
        </is>
      </c>
      <c r="B19" s="17" t="n">
        <v>20000</v>
      </c>
      <c r="C19" s="7" t="inlineStr">
        <is>
          <t>satir</t>
        </is>
      </c>
      <c r="D19" s="7" t="inlineStr">
        <is>
          <t>Manda A5 Ö1</t>
        </is>
      </c>
      <c r="E19" s="7" t="inlineStr">
        <is>
          <t>01.01.2026</t>
        </is>
      </c>
      <c r="F19" s="8" t="inlineStr">
        <is>
          <t>Ölçek sözleşmesi</t>
        </is>
      </c>
    </row>
    <row r="20">
      <c r="A20" s="7" t="inlineStr">
        <is>
          <t>gup_kaliteTaban</t>
        </is>
      </c>
      <c r="B20" s="17" t="n">
        <v>100</v>
      </c>
      <c r="C20" s="7" t="inlineStr">
        <is>
          <t>puan</t>
        </is>
      </c>
      <c r="D20" s="7" t="inlineStr">
        <is>
          <t>Kalite / sağlık modeli</t>
        </is>
      </c>
      <c r="E20" s="7" t="inlineStr">
        <is>
          <t>01.01.2026</t>
        </is>
      </c>
      <c r="F20" s="8" t="inlineStr">
        <is>
          <t>Taban puan</t>
        </is>
      </c>
    </row>
    <row r="21">
      <c r="A21" s="7" t="inlineStr">
        <is>
          <t>gup_kaliteCeza</t>
        </is>
      </c>
      <c r="B21" s="17" t="n">
        <v>12</v>
      </c>
      <c r="C21" s="7" t="inlineStr">
        <is>
          <t>puan</t>
        </is>
      </c>
      <c r="D21" s="7" t="inlineStr">
        <is>
          <t>Kalite / sağlık modeli</t>
        </is>
      </c>
      <c r="E21" s="7" t="inlineStr">
        <is>
          <t>01.01.2026</t>
        </is>
      </c>
      <c r="F21" s="8" t="inlineStr">
        <is>
          <t>Eşik aşım cezası</t>
        </is>
      </c>
    </row>
    <row r="22">
      <c r="A22" s="7" t="inlineStr">
        <is>
          <t>gup_kaliteSapma</t>
        </is>
      </c>
      <c r="B22" s="17" t="n">
        <v>3</v>
      </c>
      <c r="C22" s="7" t="inlineStr">
        <is>
          <t>puan</t>
        </is>
      </c>
      <c r="D22" s="7" t="inlineStr">
        <is>
          <t>Kalite / sağlık modeli</t>
        </is>
      </c>
      <c r="E22" s="7" t="inlineStr">
        <is>
          <t>01.01.2026</t>
        </is>
      </c>
      <c r="F22" s="8" t="inlineStr">
        <is>
          <t>Sapma / alarm cezası</t>
        </is>
      </c>
    </row>
    <row r="23">
      <c r="A23" s="7" t="inlineStr">
        <is>
          <t>gup_dosyaSurumu</t>
        </is>
      </c>
      <c r="B23" s="15" t="inlineStr">
        <is>
          <t>1.0.0</t>
        </is>
      </c>
      <c r="C23" s="7" t="inlineStr">
        <is>
          <t>metin</t>
        </is>
      </c>
      <c r="D23" s="7" t="inlineStr">
        <is>
          <t>Sürüm yönetimi</t>
        </is>
      </c>
      <c r="E23" s="7" t="inlineStr">
        <is>
          <t>01.01.2026</t>
        </is>
      </c>
      <c r="F23" s="8" t="inlineStr">
        <is>
          <t>Ürün sürümü</t>
        </is>
      </c>
    </row>
    <row r="24">
      <c r="A24" s="7" t="inlineStr">
        <is>
          <t>gup_firmaUnvan</t>
        </is>
      </c>
      <c r="B24" s="15" t="inlineStr">
        <is>
          <t>Örnek GES Enerji A.Ş.</t>
        </is>
      </c>
      <c r="C24" s="7" t="inlineStr">
        <is>
          <t>metin</t>
        </is>
      </c>
      <c r="D24" s="7" t="inlineStr">
        <is>
          <t>Kullanıcı girişi</t>
        </is>
      </c>
      <c r="E24" s="7" t="inlineStr">
        <is>
          <t>01.01.2026</t>
        </is>
      </c>
      <c r="F24" s="8" t="inlineStr">
        <is>
          <t>Firma unvanı</t>
        </is>
      </c>
    </row>
    <row r="25">
      <c r="A25" s="7" t="inlineStr">
        <is>
          <t>gup_alarmEsikMetin</t>
        </is>
      </c>
      <c r="B25" s="15" t="inlineStr">
        <is>
          <t>PR / kayıp / sağlık eşikleri</t>
        </is>
      </c>
      <c r="C25" s="7" t="inlineStr">
        <is>
          <t>metin</t>
        </is>
      </c>
      <c r="D25" s="7" t="inlineStr">
        <is>
          <t>S05 alarm</t>
        </is>
      </c>
      <c r="E25" s="7" t="inlineStr">
        <is>
          <t>01.01.2026</t>
        </is>
      </c>
      <c r="F25" s="8" t="inlineStr">
        <is>
          <t>Alarm eşiği tanımı</t>
        </is>
      </c>
    </row>
    <row r="26">
      <c r="A26" s="7" t="inlineStr">
        <is>
          <t>gup_tarifeTlKwh</t>
        </is>
      </c>
      <c r="B26" s="64" t="n">
        <v>2.45</v>
      </c>
      <c r="C26" s="7" t="inlineStr">
        <is>
          <t>TL/kWh</t>
        </is>
      </c>
      <c r="D26" s="7" t="inlineStr">
        <is>
          <t>İç tarife / PPA</t>
        </is>
      </c>
      <c r="E26" s="7" t="inlineStr">
        <is>
          <t>01.01.2026</t>
        </is>
      </c>
      <c r="F26" s="8" t="inlineStr">
        <is>
          <t>Üretim değeri TL/kWh (iç)</t>
        </is>
      </c>
    </row>
    <row r="27">
      <c r="A27" s="7" t="inlineStr">
        <is>
          <t>gup_prReferans</t>
        </is>
      </c>
      <c r="B27" s="18" t="n">
        <v>0.78</v>
      </c>
      <c r="C27" s="7" t="inlineStr">
        <is>
          <t>oran</t>
        </is>
      </c>
      <c r="D27" s="7" t="inlineStr">
        <is>
          <t>IEC 61724 hedef</t>
        </is>
      </c>
      <c r="E27" s="7" t="inlineStr">
        <is>
          <t>01.01.2026</t>
        </is>
      </c>
      <c r="F27" s="8" t="inlineStr">
        <is>
          <t>Referans PR hedefi</t>
        </is>
      </c>
    </row>
    <row r="28">
      <c r="A28" s="7" t="inlineStr">
        <is>
          <t>gup_isinimMin</t>
        </is>
      </c>
      <c r="B28" s="18" t="n">
        <v>1.5</v>
      </c>
      <c r="C28" s="7" t="inlineStr">
        <is>
          <t>kWh/m2</t>
        </is>
      </c>
      <c r="D28" s="7" t="inlineStr">
        <is>
          <t>Ölçüm kalitesi</t>
        </is>
      </c>
      <c r="E28" s="7" t="inlineStr">
        <is>
          <t>01.01.2026</t>
        </is>
      </c>
      <c r="F28" s="8" t="inlineStr">
        <is>
          <t>Minimum günlük ışınım</t>
        </is>
      </c>
    </row>
    <row r="30">
      <c r="H30" s="25" t="inlineStr">
        <is>
          <t>Motor Çıktıları</t>
        </is>
      </c>
    </row>
    <row r="31">
      <c r="H31" s="22" t="inlineStr">
        <is>
          <t>anahtar</t>
        </is>
      </c>
      <c r="I31" s="22" t="inlineStr">
        <is>
          <t>deger</t>
        </is>
      </c>
    </row>
    <row r="32">
      <c r="H32" s="7" t="inlineStr">
        <is>
          <t>gup_doluKayit</t>
        </is>
      </c>
      <c r="I32" s="8">
        <f>HESAP!C7</f>
        <v/>
      </c>
    </row>
    <row r="33">
      <c r="H33" s="7" t="inlineStr">
        <is>
          <t>gup_toplamUretim</t>
        </is>
      </c>
      <c r="I33" s="8">
        <f>HESAP!C8</f>
        <v/>
      </c>
    </row>
    <row r="34">
      <c r="H34" s="7" t="inlineStr">
        <is>
          <t>gup_toplamKayip</t>
        </is>
      </c>
      <c r="I34" s="8">
        <f>HESAP!C10</f>
        <v/>
      </c>
    </row>
    <row r="35">
      <c r="H35" s="7" t="inlineStr">
        <is>
          <t>gup_prOrani</t>
        </is>
      </c>
      <c r="I35" s="8">
        <f>HESAP!C12</f>
        <v/>
      </c>
    </row>
    <row r="36">
      <c r="H36" s="7" t="inlineStr">
        <is>
          <t>gup_teorikUretim</t>
        </is>
      </c>
      <c r="I36" s="8">
        <f>HESAP!C11</f>
        <v/>
      </c>
    </row>
    <row r="37">
      <c r="H37" s="7" t="inlineStr">
        <is>
          <t>gup_kayipPay</t>
        </is>
      </c>
      <c r="I37" s="8">
        <f>HESAP!C13</f>
        <v/>
      </c>
    </row>
    <row r="38">
      <c r="H38" s="7" t="inlineStr">
        <is>
          <t>gup_gunlukPrOrt</t>
        </is>
      </c>
      <c r="I38" s="8">
        <f>HESAP!C24</f>
        <v/>
      </c>
    </row>
    <row r="39">
      <c r="H39" s="7" t="inlineStr">
        <is>
          <t>gup_aylikUretimTrend</t>
        </is>
      </c>
      <c r="I39" s="8">
        <f>HESAP!C25</f>
        <v/>
      </c>
    </row>
    <row r="40">
      <c r="H40" s="7" t="inlineStr">
        <is>
          <t>gup_saglikSkor</t>
        </is>
      </c>
      <c r="I40" s="8">
        <f>HESAP!C19</f>
        <v/>
      </c>
    </row>
    <row r="41">
      <c r="H41" s="7" t="inlineStr">
        <is>
          <t>gup_alarmAdet</t>
        </is>
      </c>
      <c r="I41" s="8">
        <f>HESAP!C17</f>
        <v/>
      </c>
    </row>
    <row r="42">
      <c r="H42" s="7" t="inlineStr">
        <is>
          <t>gup_yetimAdet</t>
        </is>
      </c>
      <c r="I42" s="8">
        <f>HESAP!C18</f>
        <v/>
      </c>
    </row>
    <row r="43">
      <c r="H43" s="7" t="inlineStr">
        <is>
          <t>gup_prSapma</t>
        </is>
      </c>
      <c r="I43" s="8">
        <f>HESAP!C26</f>
        <v/>
      </c>
    </row>
    <row r="44">
      <c r="H44" s="7" t="inlineStr">
        <is>
          <t>gup_tornadoZirve</t>
        </is>
      </c>
      <c r="I44" s="8">
        <f>HESAP!C38</f>
        <v/>
      </c>
    </row>
    <row r="45">
      <c r="H45" s="7" t="inlineStr">
        <is>
          <t>gup_senaryoKarsilastirma</t>
        </is>
      </c>
      <c r="I45" s="8">
        <f>HESAP!C34</f>
        <v/>
      </c>
    </row>
    <row r="46">
      <c r="H46" s="7" t="inlineStr">
        <is>
          <t>gup_hhi</t>
        </is>
      </c>
      <c r="I46" s="8">
        <f>HESAP!C39</f>
        <v/>
      </c>
    </row>
    <row r="47">
      <c r="H47" s="7" t="inlineStr">
        <is>
          <t>gup_kaliteSkor</t>
        </is>
      </c>
      <c r="I47" s="8">
        <f>HESAP!C40</f>
        <v/>
      </c>
    </row>
    <row r="48">
      <c r="H48" s="7" t="inlineStr">
        <is>
          <t>gup_senaryoMotor</t>
        </is>
      </c>
      <c r="I48" s="8">
        <f>HESAP!C43</f>
        <v/>
      </c>
    </row>
    <row r="49">
      <c r="H49" s="7" t="inlineStr">
        <is>
          <t>gup_tahminAralik</t>
        </is>
      </c>
      <c r="I49" s="8">
        <f>HESAP!C41</f>
        <v/>
      </c>
    </row>
    <row r="50">
      <c r="H50" s="7" t="inlineStr">
        <is>
          <t>gup_yuzdelikP90</t>
        </is>
      </c>
      <c r="I50" s="8">
        <f>HESAP!C42</f>
        <v/>
      </c>
    </row>
    <row r="51">
      <c r="H51" s="7" t="inlineStr">
        <is>
          <t>gup_kayipKirilim</t>
        </is>
      </c>
      <c r="I51" s="8">
        <f>HESAP!C52</f>
        <v/>
      </c>
    </row>
    <row r="52">
      <c r="H52" s="7" t="inlineStr">
        <is>
          <t>gup_sezonsalTrend</t>
        </is>
      </c>
      <c r="I52" s="8">
        <f>_xlfn.TEXTJOIN(" | ",TRUE,"12_AY",TEXT(HESAP!C44,"0"),"kWh",TEXT(HESAP!C45,"0.0%"),"PR sezonsal")</f>
        <v/>
      </c>
    </row>
    <row r="53">
      <c r="H53" s="7" t="inlineStr">
        <is>
          <t>gup_alarmListesi</t>
        </is>
      </c>
      <c r="I53" s="8">
        <f>_xlfn.TEXTJOIN(" | ",TRUE,"Alarm",HESAP!C17,"Yetim",HESAP!C18,"PrAlt",HESAP!C21,"KayipAsim",HESAP!C22)</f>
        <v/>
      </c>
    </row>
    <row r="54">
      <c r="H54" s="7" t="inlineStr">
        <is>
          <t>gup_kararKapi</t>
        </is>
      </c>
      <c r="I54" s="8">
        <f>IF(HESAP!C7=0,"VERİ YOK",IF(OR(HESAP!C8&lt;0,HESAP!C10&lt;0),"KRİTİK",IF(HESAP!C46=1,"KRİTİK",IF(OR(HESAP!C21&gt;0,HESAP!C12&lt;gup_esikPr),"DİKKAT","UYGUN"))))</f>
        <v/>
      </c>
    </row>
    <row r="55">
      <c r="H55" s="7" t="inlineStr">
        <is>
          <t>gup_kararGerekce</t>
        </is>
      </c>
      <c r="I55" s="8">
        <f>_xlfn.TEXTJOIN(" ",TRUE,"Karar",gup_kararKapi,"| PR",TEXT(gup_prOrani,"0.0%"),"| sağlık",TEXT(gup_saglikSkor,"0"),"| alarm",gup_alarmAdet)</f>
        <v/>
      </c>
    </row>
    <row r="56">
      <c r="H56" s="7" t="inlineStr">
        <is>
          <t>gup_sonrakiKimlik</t>
        </is>
      </c>
      <c r="I56" s="8">
        <f>"GES-"&amp;TEXT(COUNTA(tblVarliklar[VarlikId])+1,"00000")</f>
        <v/>
      </c>
    </row>
    <row r="58">
      <c r="H58" s="25" t="inlineStr">
        <is>
          <t>Yorumlar</t>
        </is>
      </c>
    </row>
    <row r="59">
      <c r="H59" s="7" t="inlineStr">
        <is>
          <t>gup_yorumGunluk</t>
        </is>
      </c>
      <c r="I59" s="8">
        <f>_xlfn.TEXTJOIN(" ",TRUE,"Günlük PR ort",TEXT(gup_gunlukPrOrt,"0.0%"))</f>
        <v/>
      </c>
    </row>
    <row r="60">
      <c r="H60" s="7" t="inlineStr">
        <is>
          <t>gup_yorumAylik</t>
        </is>
      </c>
      <c r="I60" s="8">
        <f>_xlfn.TEXTJOIN(" ",TRUE,"Aylık üretim proxy",TEXT(gup_aylikUretimTrend,"0"),"kWh")</f>
        <v/>
      </c>
    </row>
    <row r="61">
      <c r="H61" s="7" t="inlineStr">
        <is>
          <t>gup_yorumSapma</t>
        </is>
      </c>
      <c r="I61" s="8">
        <f>_xlfn.TEXTJOIN(" ",TRUE,"PR sapma",TEXT(gup_prSapma,"0.0%"))</f>
        <v/>
      </c>
    </row>
    <row r="62">
      <c r="H62" s="7" t="inlineStr">
        <is>
          <t>gup_yorumTornado</t>
        </is>
      </c>
      <c r="I62" s="8">
        <f>_xlfn.TEXTJOIN(" ",TRUE,"Tornado zirve",TEXT(gup_tornadoZirve,"0"),"kWh")</f>
        <v/>
      </c>
    </row>
    <row r="63">
      <c r="H63" s="7" t="inlineStr">
        <is>
          <t>gup_yorumSenaryo</t>
        </is>
      </c>
      <c r="I63" s="8">
        <f>_xlfn.TEXTJOIN(" ",TRUE,"Senaryo farkı",TEXT(gup_senaryoKarsilastirma,"0"))</f>
        <v/>
      </c>
    </row>
    <row r="64">
      <c r="H64" s="7" t="inlineStr">
        <is>
          <t>gup_yorumHhi</t>
        </is>
      </c>
      <c r="I64" s="8">
        <f>_xlfn.TEXTJOIN(" ",TRUE,"Yoğunlaşma HHI",TEXT(gup_hhi,"0.0%"))</f>
        <v/>
      </c>
    </row>
    <row r="65">
      <c r="H65" s="7" t="inlineStr">
        <is>
          <t>gup_yorumKalite</t>
        </is>
      </c>
      <c r="I65" s="8">
        <f>_xlfn.TEXTJOIN(" ",TRUE,"Kalite skoru",gup_kaliteSkor)</f>
        <v/>
      </c>
    </row>
    <row r="66">
      <c r="H66" s="7" t="inlineStr">
        <is>
          <t>gup_yorumSenMotor</t>
        </is>
      </c>
      <c r="I66" s="8">
        <f>_xlfn.TEXTJOIN(" ",TRUE,"Senaryo motoru",gup_senaryoMotor)</f>
        <v/>
      </c>
    </row>
    <row r="67">
      <c r="H67" s="7" t="inlineStr">
        <is>
          <t>gup_yorumTahmin</t>
        </is>
      </c>
      <c r="I67" s="8">
        <f>_xlfn.TEXTJOIN(" ",TRUE,"Tahmin aralık",TEXT(gup_tahminAralik,"0"),"kWh")</f>
        <v/>
      </c>
    </row>
    <row r="68">
      <c r="H68" s="7" t="inlineStr">
        <is>
          <t>gup_yorumP90</t>
        </is>
      </c>
      <c r="I68" s="8">
        <f>_xlfn.TEXTJOIN(" ",TRUE,"P90 üretim",TEXT(gup_yuzdelikP90,"0"),"kWh")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69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B3D2E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KILAVUZ — GES Üretim &amp; Performans Takibi</t>
        </is>
      </c>
    </row>
    <row r="3">
      <c r="A3" s="27" t="inlineStr">
        <is>
          <t>Kullanım Kılavuzu</t>
        </is>
      </c>
    </row>
    <row r="5">
      <c r="A5" s="8" t="inlineStr">
        <is>
          <t>1. VARLIKLAR sayfasına GES santral kartı ekleyin; sonraki kimliği kullanın.</t>
        </is>
      </c>
    </row>
    <row r="6">
      <c r="A6" s="8" t="inlineStr">
        <is>
          <t>2. GUNLUK_GIRIS: varlık, tarih, üretim kWh, ışınım kWh/m2, kayıp kWh, kayıp türü (≤6 alan).</t>
        </is>
      </c>
    </row>
    <row r="7">
      <c r="A7" s="8" t="inlineStr">
        <is>
          <t>3. PR = üretim / (ışınım × kapasite_kWp) formülüyle hesaplanır.</t>
        </is>
      </c>
    </row>
    <row r="8">
      <c r="A8" s="8" t="inlineStr">
        <is>
          <t>4. DONEM_ANALIZ 12 aylık sezonsal üretim-PR zincirini gösterir.</t>
        </is>
      </c>
    </row>
    <row r="9">
      <c r="A9" s="8" t="inlineStr">
        <is>
          <t>5. ALARMLAR sayfasında varlık + eşik + tarih listesi; eşikler AYARLAR'dadır.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Kod GUP-PRO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2026-08-11T17:34:45Z</dcterms:created>
  <dcterms:modified xmlns:dcterms="http://purl.org/dc/terms/" xmlns:xsi="http://www.w3.org/2001/XMLSchema-instance" xsi:type="dcterms:W3CDTF">2026-09-25T15:13:36Z</dcterms:modified>
</cp:coreProperties>
</file>