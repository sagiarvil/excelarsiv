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5.xml" ContentType="application/vnd.openxmlformats-officedocument.drawing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5.xml" ContentType="application/vnd.openxmlformats-officedocument.spreadsheetml.comments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VARSAYIMLAR" sheetId="13" state="visible" r:id="rId13"/>
    <sheet xmlns:r="http://schemas.openxmlformats.org/officeDocument/2006/relationships" name="KURALLAR" sheetId="14" state="visible" r:id="rId14"/>
    <sheet xmlns:r="http://schemas.openxmlformats.org/officeDocument/2006/relationships" name="MOTOR" sheetId="15" state="visible" r:id="rId15"/>
    <sheet xmlns:r="http://schemas.openxmlformats.org/officeDocument/2006/relationships" name="FINANSMAN" sheetId="16" state="visible" r:id="rId16"/>
    <sheet xmlns:r="http://schemas.openxmlformats.org/officeDocument/2006/relationships" name="SENARYO" sheetId="17" state="visible" r:id="rId17"/>
    <sheet xmlns:r="http://schemas.openxmlformats.org/officeDocument/2006/relationships" name="KARAR" sheetId="18" state="visible" r:id="rId18"/>
    <sheet xmlns:r="http://schemas.openxmlformats.org/officeDocument/2006/relationships" name="VAKALAR" sheetId="19" state="visible" r:id="rId19"/>
    <sheet xmlns:r="http://schemas.openxmlformats.org/officeDocument/2006/relationships" name="KANIT_RAPORU" sheetId="20" state="visible" r:id="rId20"/>
    <sheet xmlns:r="http://schemas.openxmlformats.org/officeDocument/2006/relationships" name="KONTROLLER" sheetId="21" state="visible" r:id="rId21"/>
    <sheet xmlns:r="http://schemas.openxmlformats.org/officeDocument/2006/relationships" name="ORNEK_VER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hesapYili">GIRDI!$B$8</definedName>
    <definedName name="raporTarihi">AYARLAR!$B$7</definedName>
    <definedName name="gyf_yillikGelir">MOTOR!$G$59</definedName>
    <definedName name="gyf_capexToplam">MOTOR!$G$60</definedName>
    <definedName name="gyf_opexYillik">MOTOR!$G$61</definedName>
    <definedName name="gyf_npv">MOTOR!$G$62</definedName>
    <definedName name="gyf_irr">MOTOR!$G$63</definedName>
    <definedName name="gyf_tuketimEslesme">MOTOR!$G$64</definedName>
    <definedName name="gyf_kararMetni">MOTOR!$G$40</definedName>
    <definedName name="gyf_kararGerekce">MOTOR!$G$41</definedName>
    <definedName name="gyf_kanitRaporu">MOTOR!$G$58</definedName>
    <definedName name="gyf_finansmanKarsilastirma">FINANSMAN!$B$11</definedName>
    <definedName name="gyf_senaryoKarsilastirma">SENARYO!$B$10</definedName>
    <definedName name="gyf_yorumSenaryo">SENARYO!$B$11</definedName>
    <definedName name="gyf_duyarlilikSira">SENARYO!$B$21</definedName>
    <definedName name="gyf_yorumDuyarlilik">SENARYO!$B$22</definedName>
    <definedName name="gyf_tahminAralik">SENARYO!$B$32</definedName>
    <definedName name="gyf_yorumTahmin">SENARYO!$B$33</definedName>
    <definedName name="gyf_vakaDurum">VAKALAR!$B$12</definedName>
    <definedName name="gyf_tolerans">AYARLAR!$B$8</definedName>
    <definedName name="gyf_azamiEsik">AYARLAR!$B$9</definedName>
    <definedName name="gyf_senaryoIyi">AYARLAR!$B$10</definedName>
    <definedName name="gyf_senaryoKotu">AYARLAR!$B$11</definedName>
    <definedName name="gyf_tarifeKotu">AYARLAR!$B$12</definedName>
    <definedName name="gyf_capexIyi">AYARLAR!$B$13</definedName>
    <definedName name="gyf_capexKotu">AYARLAR!$B$14</definedName>
    <definedName name="gyf_opexKotu">AYARLAR!$B$15</definedName>
    <definedName name="gyf_tahminAlt">AYARLAR!$B$16</definedName>
    <definedName name="gyf_tahminUst">AYARLAR!$B$17</definedName>
    <definedName name="gyf_tornadoTarife">AYARLAR!$B$18</definedName>
    <definedName name="gyf_tornadoUretim">AYARLAR!$B$19</definedName>
    <definedName name="gyf_tornadoCapex">AYARLAR!$B$20</definedName>
    <definedName name="gyf_tornadoOpex">AYARLAR!$B$21</definedName>
    <definedName name="gyf_tornadoWacc">AYARLAR!$B$22</definedName>
    <definedName name="gyf_yuzdelikOran">AYARLAR!$B$23</definedName>
    <definedName name="gyf_parmakIzi">AYARLAR!$B$24</definedName>
    <definedName name="gyf_girisBeklenen">AYARLAR!$B$26</definedName>
    <definedName name="gyf_riskDusuk">AYARLAR!$B$27</definedName>
    <definedName name="gyf_riskOrta">AYARLAR!$B$28</definedName>
    <definedName name="gyf_riskYuksek">AYARLAR!$B$29</definedName>
    <definedName name="gyf_yilTaban">AYARLAR!$B$30</definedName>
    <definedName name="gyf_yuvarMax">AYARLAR!$B$31</definedName>
    <definedName name="gyf_bazCarpan">AYARLAR!$B$32</definedName>
    <definedName name="gyf_sifirCarpan">AYARLAR!$B$33</definedName>
    <definedName name="gyf_siraBir">AYARLAR!$B$34</definedName>
    <definedName name="gyf_siraIki">AYARLAR!$B$35</definedName>
    <definedName name="gyf_siraUc">AYARLAR!$B$36</definedName>
    <definedName name="gyf_dikkatCarpan">AYARLAR!$B$37</definedName>
    <definedName name="gyf_npvDikkat">AYARLAR!$B$38</definedName>
    <definedName name="gyf_geriOdemeSonsuz">AYARLAR!$B$39</definedName>
    <definedName name="gyf_modulT1">PANO!$C$11</definedName>
    <definedName name="gyf_modulT1Yorum">PANO!$D$11</definedName>
    <definedName name="gyf_modulT2">PANO!$C$12</definedName>
    <definedName name="gyf_modulT2Yorum">PANO!$D$12</definedName>
    <definedName name="gyf_modulO1">PANO!$C$13</definedName>
    <definedName name="gyf_modulO1Yorum">PANO!$D$13</definedName>
    <definedName name="gyf_modulO8">PANO!$C$16</definedName>
    <definedName name="gyf_modulO8Yorum">PANO!$D$16</definedName>
    <definedName name="gyf_modulI2">PANO!$C$18</definedName>
    <definedName name="gyf_modulI2Yorum">PANO!$D$18</definedName>
    <definedName name="ListeYillar">LISTELER!$A$6:$A$8</definedName>
    <definedName name="ListeProjeTipi">LISTELER!$C$6:$C$7</definedName>
    <definedName name="ListeEvetHayir">LISTELER!$E$6:$E$7</definedName>
    <definedName name="gyf_capexOpex">FINANSMAN!$B$12</definedName>
    <definedName name="_xlnm.Print_Area" localSheetId="17">'KARAR'!$A$1:$F$28</definedName>
    <definedName name="_xlnm.Print_Area" localSheetId="19">'KANIT_RAPORU'!$A$1:$F$40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[Red](0.0%);-"/>
    <numFmt numFmtId="165" formatCode="₺ #,##0;[Red](₺ #,##0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12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color rgb="00006100"/>
      <sz val="10"/>
    </font>
    <font>
      <name val="Segoe UI"/>
      <color rgb="00000000"/>
      <sz val="10"/>
    </font>
    <font>
      <name val="Segoe UI"/>
      <b val="1"/>
      <color rgb="00B08948"/>
      <sz val="10"/>
    </font>
    <font>
      <name val="Segoe UI"/>
      <b val="1"/>
      <color rgb="00333333"/>
      <sz val="10"/>
    </font>
    <font>
      <name val="Segoe UI"/>
      <b val="1"/>
      <color rgb="00595959"/>
      <sz val="10"/>
    </font>
    <font>
      <name val="Segoe UI"/>
      <b val="1"/>
      <color rgb="000F2742"/>
      <sz val="14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6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0" fillId="4" borderId="0" applyAlignment="1" applyProtection="1" pivotButton="0" quotePrefix="0" xfId="0">
      <alignment horizontal="left" vertical="center"/>
      <protection locked="0" hidden="0"/>
    </xf>
    <xf numFmtId="164" fontId="10" fillId="4" borderId="0" applyAlignment="1" applyProtection="1" pivotButton="0" quotePrefix="0" xfId="0">
      <alignment horizontal="left" vertical="center"/>
      <protection locked="0" hidden="0"/>
    </xf>
    <xf numFmtId="2" fontId="10" fillId="4" borderId="0" applyAlignment="1" applyProtection="1" pivotButton="0" quotePrefix="0" xfId="0">
      <alignment horizontal="left" vertical="center"/>
      <protection locked="0" hidden="0"/>
    </xf>
    <xf numFmtId="165" fontId="10" fillId="4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2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4" borderId="0" applyAlignment="1" applyProtection="1" pivotButton="0" quotePrefix="0" xfId="0">
      <alignment horizontal="left" vertical="center"/>
      <protection locked="0" hidden="0"/>
    </xf>
    <xf numFmtId="2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2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33" fillId="7" borderId="0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167" fontId="35" fillId="0" borderId="0" pivotButton="0" quotePrefix="0" xfId="0"/>
    <xf numFmtId="168" fontId="34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7" borderId="0" applyAlignment="1" pivotButton="0" quotePrefix="0" xfId="0">
      <alignment horizontal="center" vertical="center"/>
    </xf>
    <xf numFmtId="0" fontId="33" fillId="7" borderId="0" applyAlignment="1" pivotButton="0" quotePrefix="0" xfId="0">
      <alignment horizontal="center"/>
    </xf>
    <xf numFmtId="0" fontId="35" fillId="0" borderId="0" pivotButton="0" quotePrefix="0" xfId="0"/>
    <xf numFmtId="0" fontId="39" fillId="9" borderId="2" pivotButton="0" quotePrefix="0" xfId="0"/>
    <xf numFmtId="0" fontId="40" fillId="0" borderId="0" pivotButton="0" quotePrefix="0" xfId="0"/>
    <xf numFmtId="0" fontId="41" fillId="0" borderId="0" pivotButton="0" quotePrefix="0" xfId="0"/>
    <xf numFmtId="0" fontId="34" fillId="0" borderId="0" applyAlignment="1" pivotButton="0" quotePrefix="0" xfId="0">
      <alignment wrapText="1"/>
    </xf>
    <xf numFmtId="0" fontId="42" fillId="0" borderId="0" pivotButton="0" quotePrefix="0" xfId="0"/>
    <xf numFmtId="0" fontId="43" fillId="0" borderId="2" applyAlignment="1" pivotButton="0" quotePrefix="0" xfId="0">
      <alignment horizontal="center" vertical="center"/>
    </xf>
    <xf numFmtId="0" fontId="33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4" fillId="11" borderId="2" applyAlignment="1" pivotButton="0" quotePrefix="0" xfId="0">
      <alignment horizontal="center"/>
    </xf>
    <xf numFmtId="0" fontId="30" fillId="0" borderId="4" pivotButton="0" quotePrefix="0" xfId="0"/>
    <xf numFmtId="0" fontId="46" fillId="12" borderId="2" applyAlignment="1" pivotButton="0" quotePrefix="0" xfId="0">
      <alignment horizontal="center"/>
    </xf>
    <xf numFmtId="0" fontId="45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7" fillId="0" borderId="4" pivotButton="0" quotePrefix="0" xfId="0"/>
    <xf numFmtId="0" fontId="48" fillId="0" borderId="5" pivotButton="0" quotePrefix="0" xfId="0"/>
    <xf numFmtId="0" fontId="45" fillId="0" borderId="3" pivotButton="0" quotePrefix="0" xfId="0"/>
    <xf numFmtId="0" fontId="40" fillId="0" borderId="4" pivotButton="0" quotePrefix="0" xfId="0"/>
    <xf numFmtId="0" fontId="45" fillId="0" borderId="5" pivotButton="0" quotePrefix="0" xfId="0"/>
    <xf numFmtId="0" fontId="49" fillId="14" borderId="0" applyAlignment="1" pivotButton="0" quotePrefix="0" xfId="0">
      <alignment horizontal="center"/>
    </xf>
    <xf numFmtId="0" fontId="50" fillId="0" borderId="0" pivotButton="0" quotePrefix="0" xfId="0"/>
    <xf numFmtId="0" fontId="49" fillId="15" borderId="0" applyAlignment="1" pivotButton="0" quotePrefix="0" xfId="0">
      <alignment horizontal="center" vertical="center"/>
    </xf>
    <xf numFmtId="0" fontId="50" fillId="0" borderId="2" pivotButton="0" quotePrefix="0" xfId="0"/>
    <xf numFmtId="0" fontId="51" fillId="0" borderId="2" pivotButton="0" quotePrefix="0" xfId="0"/>
    <xf numFmtId="0" fontId="52" fillId="0" borderId="2" pivotButton="0" quotePrefix="0" xfId="0"/>
    <xf numFmtId="0" fontId="53" fillId="16" borderId="2" applyAlignment="1" pivotButton="0" quotePrefix="0" xfId="0">
      <alignment horizontal="center"/>
    </xf>
    <xf numFmtId="0" fontId="49" fillId="7" borderId="0" pivotButton="0" quotePrefix="0" xfId="0"/>
    <xf numFmtId="0" fontId="54" fillId="7" borderId="0" pivotButton="0" quotePrefix="0" xfId="0"/>
    <xf numFmtId="0" fontId="55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3" fillId="0" borderId="0" pivotButton="0" quotePrefix="0" xfId="0"/>
    <xf numFmtId="0" fontId="58" fillId="17" borderId="0" pivotButton="0" quotePrefix="0" xfId="0"/>
    <xf numFmtId="0" fontId="0" fillId="17" borderId="0" pivotButton="0" quotePrefix="0" xfId="0"/>
    <xf numFmtId="0" fontId="45" fillId="0" borderId="0" pivotButton="0" quotePrefix="0" xfId="0"/>
    <xf numFmtId="0" fontId="33" fillId="17" borderId="0" pivotButton="0" quotePrefix="0" xfId="0"/>
    <xf numFmtId="0" fontId="59" fillId="17" borderId="0" applyAlignment="1" pivotButton="0" quotePrefix="0" xfId="0">
      <alignment wrapText="1"/>
    </xf>
    <xf numFmtId="0" fontId="56" fillId="0" borderId="0" pivotButton="0" quotePrefix="0" xfId="0"/>
    <xf numFmtId="0" fontId="57" fillId="0" borderId="0" pivotButton="0" quotePrefix="0" xfId="0"/>
    <xf numFmtId="0" fontId="45" fillId="13" borderId="6" applyAlignment="1" pivotButton="0" quotePrefix="0" xfId="0">
      <alignment horizontal="center" vertical="center"/>
    </xf>
    <xf numFmtId="0" fontId="60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4" fillId="11" borderId="0" applyAlignment="1" pivotButton="0" quotePrefix="0" xfId="0">
      <alignment horizontal="center" vertical="center"/>
    </xf>
    <xf numFmtId="0" fontId="45" fillId="13" borderId="0" applyAlignment="1" pivotButton="0" quotePrefix="0" xfId="0">
      <alignment horizontal="center" vertical="center"/>
    </xf>
    <xf numFmtId="0" fontId="61" fillId="7" borderId="0" applyAlignment="1" pivotButton="0" quotePrefix="0" xfId="0">
      <alignment horizontal="center" vertical="center"/>
    </xf>
    <xf numFmtId="0" fontId="62" fillId="19" borderId="2" applyAlignment="1" pivotButton="0" quotePrefix="0" xfId="0">
      <alignment horizontal="center"/>
    </xf>
    <xf numFmtId="0" fontId="63" fillId="19" borderId="2" applyAlignment="1" pivotButton="0" quotePrefix="0" xfId="0">
      <alignment horizontal="center"/>
    </xf>
    <xf numFmtId="0" fontId="62" fillId="19" borderId="2" pivotButton="0" quotePrefix="0" xfId="0"/>
    <xf numFmtId="169" fontId="63" fillId="19" borderId="2" applyAlignment="1" pivotButton="0" quotePrefix="0" xfId="0">
      <alignment horizontal="right"/>
    </xf>
    <xf numFmtId="9" fontId="62" fillId="19" borderId="2" applyAlignment="1" pivotButton="0" quotePrefix="0" xfId="0">
      <alignment horizontal="center"/>
    </xf>
    <xf numFmtId="169" fontId="62" fillId="19" borderId="2" applyAlignment="1" pivotButton="0" quotePrefix="0" xfId="0">
      <alignment horizontal="right"/>
    </xf>
    <xf numFmtId="0" fontId="45" fillId="19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3" fillId="18" borderId="2" applyAlignment="1" pivotButton="0" quotePrefix="0" xfId="0">
      <alignment horizontal="center"/>
    </xf>
    <xf numFmtId="0" fontId="62" fillId="18" borderId="2" pivotButton="0" quotePrefix="0" xfId="0"/>
    <xf numFmtId="169" fontId="63" fillId="18" borderId="2" applyAlignment="1" pivotButton="0" quotePrefix="0" xfId="0">
      <alignment horizontal="right"/>
    </xf>
    <xf numFmtId="9" fontId="62" fillId="18" borderId="2" applyAlignment="1" pivotButton="0" quotePrefix="0" xfId="0">
      <alignment horizontal="center"/>
    </xf>
    <xf numFmtId="169" fontId="62" fillId="18" borderId="2" applyAlignment="1" pivotButton="0" quotePrefix="0" xfId="0">
      <alignment horizontal="right"/>
    </xf>
    <xf numFmtId="0" fontId="50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46" fillId="18" borderId="2" applyAlignment="1" pivotButton="0" quotePrefix="0" xfId="0">
      <alignment horizontal="center"/>
    </xf>
    <xf numFmtId="0" fontId="33" fillId="7" borderId="0" applyAlignment="1" pivotButton="0" quotePrefix="0" xfId="0">
      <alignment vertical="center" indent="1"/>
    </xf>
    <xf numFmtId="169" fontId="64" fillId="7" borderId="0" applyAlignment="1" pivotButton="0" quotePrefix="0" xfId="0">
      <alignment horizontal="right" vertical="center"/>
    </xf>
    <xf numFmtId="0" fontId="65" fillId="0" borderId="7" pivotButton="0" quotePrefix="0" xfId="0"/>
    <xf numFmtId="0" fontId="66" fillId="0" borderId="7" pivotButton="0" quotePrefix="0" xfId="0"/>
    <xf numFmtId="0" fontId="67" fillId="0" borderId="7" pivotButton="0" quotePrefix="0" xfId="0"/>
    <xf numFmtId="0" fontId="68" fillId="20" borderId="2" applyAlignment="1" pivotButton="0" quotePrefix="0" xfId="0">
      <alignment horizontal="center" vertical="center"/>
    </xf>
    <xf numFmtId="0" fontId="72" fillId="11" borderId="2" applyAlignment="1" pivotButton="0" quotePrefix="0" xfId="0">
      <alignment horizontal="center" vertical="center"/>
    </xf>
    <xf numFmtId="0" fontId="69" fillId="0" borderId="2" pivotButton="0" quotePrefix="0" xfId="0"/>
    <xf numFmtId="0" fontId="68" fillId="0" borderId="2" applyAlignment="1" pivotButton="0" quotePrefix="0" xfId="0">
      <alignment horizontal="right"/>
    </xf>
    <xf numFmtId="0" fontId="72" fillId="0" borderId="2" applyAlignment="1" pivotButton="0" quotePrefix="0" xfId="0">
      <alignment horizontal="right"/>
    </xf>
    <xf numFmtId="0" fontId="43" fillId="0" borderId="2" applyAlignment="1" pivotButton="0" quotePrefix="0" xfId="0">
      <alignment horizontal="right"/>
    </xf>
    <xf numFmtId="0" fontId="70" fillId="0" borderId="2" applyAlignment="1" pivotButton="0" quotePrefix="0" xfId="0">
      <alignment horizontal="right"/>
    </xf>
    <xf numFmtId="0" fontId="71" fillId="12" borderId="8" applyAlignment="1" pivotButton="0" quotePrefix="0" xfId="0">
      <alignment horizontal="center" vertical="center"/>
    </xf>
    <xf numFmtId="0" fontId="73" fillId="11" borderId="9" applyAlignment="1" pivotButton="0" quotePrefix="0" xfId="0">
      <alignment horizontal="center" vertical="center"/>
    </xf>
    <xf numFmtId="0" fontId="69" fillId="0" borderId="0" pivotButton="0" quotePrefix="0" xfId="0"/>
    <xf numFmtId="0" fontId="74" fillId="21" borderId="0" applyAlignment="1" pivotButton="0" quotePrefix="0" xfId="0">
      <alignment horizontal="left" vertical="center" wrapText="1"/>
    </xf>
    <xf numFmtId="0" fontId="75" fillId="22" borderId="0" applyAlignment="1" pivotButton="0" quotePrefix="0" xfId="0">
      <alignment vertical="center" wrapText="1"/>
    </xf>
    <xf numFmtId="0" fontId="76" fillId="23" borderId="0" applyAlignment="1" pivotButton="0" quotePrefix="0" xfId="0">
      <alignment vertical="top" wrapText="1"/>
    </xf>
    <xf numFmtId="0" fontId="77" fillId="0" borderId="0" applyAlignment="1" pivotButton="0" quotePrefix="0" xfId="0">
      <alignment vertical="top" wrapText="1"/>
    </xf>
    <xf numFmtId="0" fontId="78" fillId="21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horizontal="left" vertical="center" wrapText="1"/>
    </xf>
    <xf numFmtId="0" fontId="75" fillId="24" borderId="0" applyAlignment="1" pivotButton="0" quotePrefix="0" xfId="0">
      <alignment vertical="center" wrapText="1"/>
    </xf>
    <xf numFmtId="0" fontId="79" fillId="25" borderId="0" applyAlignment="1" pivotButton="0" quotePrefix="0" xfId="0">
      <alignment vertical="top" wrapText="1"/>
    </xf>
    <xf numFmtId="0" fontId="74" fillId="26" borderId="0" applyAlignment="1" pivotButton="0" quotePrefix="0" xfId="0">
      <alignment horizontal="left" vertical="center" wrapText="1"/>
    </xf>
    <xf numFmtId="0" fontId="75" fillId="26" borderId="0" applyAlignment="1" pivotButton="0" quotePrefix="0" xfId="0">
      <alignment vertical="center" wrapText="1"/>
    </xf>
    <xf numFmtId="0" fontId="80" fillId="27" borderId="0" applyAlignment="1" pivotButton="0" quotePrefix="0" xfId="0">
      <alignment vertical="top" wrapText="1"/>
    </xf>
    <xf numFmtId="0" fontId="81" fillId="25" borderId="0" applyAlignment="1" pivotButton="0" quotePrefix="0" xfId="0">
      <alignment vertical="top" wrapText="1"/>
    </xf>
    <xf numFmtId="0" fontId="82" fillId="0" borderId="0" applyAlignment="1" pivotButton="0" quotePrefix="0" xfId="0">
      <alignment vertical="top" wrapText="1"/>
    </xf>
    <xf numFmtId="0" fontId="74" fillId="28" borderId="0" applyAlignment="1" pivotButton="0" quotePrefix="0" xfId="0">
      <alignment horizontal="left" vertical="center"/>
    </xf>
    <xf numFmtId="0" fontId="75" fillId="28" borderId="0" applyAlignment="1" pivotButton="0" quotePrefix="0" xfId="0">
      <alignment vertical="center" wrapText="1"/>
    </xf>
    <xf numFmtId="0" fontId="83" fillId="29" borderId="0" applyAlignment="1" pivotButton="0" quotePrefix="0" xfId="0">
      <alignment vertical="top" wrapText="1"/>
    </xf>
    <xf numFmtId="0" fontId="84" fillId="30" borderId="0" applyAlignment="1" pivotButton="0" quotePrefix="0" xfId="0">
      <alignment vertical="top" wrapText="1"/>
    </xf>
    <xf numFmtId="0" fontId="74" fillId="31" borderId="0" applyAlignment="1" pivotButton="0" quotePrefix="0" xfId="0">
      <alignment horizontal="left" vertical="center"/>
    </xf>
    <xf numFmtId="0" fontId="75" fillId="31" borderId="0" applyAlignment="1" pivotButton="0" quotePrefix="0" xfId="0">
      <alignment vertical="center" wrapText="1"/>
    </xf>
    <xf numFmtId="0" fontId="85" fillId="30" borderId="0" applyAlignment="1" pivotButton="0" quotePrefix="0" xfId="0">
      <alignment vertical="top" wrapText="1"/>
    </xf>
    <xf numFmtId="0" fontId="74" fillId="32" borderId="0" applyAlignment="1" pivotButton="0" quotePrefix="0" xfId="0">
      <alignment horizontal="left" vertical="center"/>
    </xf>
    <xf numFmtId="0" fontId="75" fillId="32" borderId="0" applyAlignment="1" pivotButton="0" quotePrefix="0" xfId="0">
      <alignment vertical="center" wrapText="1"/>
    </xf>
    <xf numFmtId="0" fontId="86" fillId="33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  <xf numFmtId="169" fontId="26" fillId="0" borderId="3" pivotButton="0" quotePrefix="0" xfId="0"/>
    <xf numFmtId="169" fontId="47" fillId="0" borderId="4" pivotButton="0" quotePrefix="0" xfId="0"/>
    <xf numFmtId="169" fontId="50" fillId="0" borderId="2" pivotButton="0" quotePrefix="0" xfId="0"/>
    <xf numFmtId="169" fontId="51" fillId="0" borderId="2" pivotButton="0" quotePrefix="0" xfId="0"/>
    <xf numFmtId="169" fontId="54" fillId="7" borderId="0" pivotButton="0" quotePrefix="0" xfId="0"/>
    <xf numFmtId="169" fontId="55" fillId="7" borderId="0" pivotButton="0" quotePrefix="0" xfId="0"/>
    <xf numFmtId="169" fontId="73" fillId="9" borderId="2" applyAlignment="1" pivotButton="0" quotePrefix="0" xfId="0">
      <alignment horizontal="right"/>
    </xf>
    <xf numFmtId="169" fontId="43" fillId="0" borderId="2" applyAlignment="1" pivotButton="0" quotePrefix="0" xfId="0">
      <alignment horizontal="right"/>
    </xf>
    <xf numFmtId="169" fontId="70" fillId="0" borderId="2" applyAlignment="1" pivotButton="0" quotePrefix="0" xfId="0">
      <alignment horizontal="right"/>
    </xf>
    <xf numFmtId="170" fontId="70" fillId="0" borderId="2" applyAlignment="1" pivotButton="0" quotePrefix="0" xfId="0">
      <alignment horizontal="right"/>
    </xf>
    <xf numFmtId="0" fontId="88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9" fillId="2" borderId="0" applyAlignment="1" pivotButton="0" quotePrefix="0" xfId="0">
      <alignment horizontal="left" vertical="center"/>
    </xf>
    <xf numFmtId="0" fontId="89" fillId="0" borderId="0" applyAlignment="1" pivotButton="0" quotePrefix="0" xfId="0">
      <alignment horizontal="left" vertical="center"/>
    </xf>
    <xf numFmtId="0" fontId="43" fillId="18" borderId="2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90" fillId="18" borderId="2" applyAlignment="1" pivotButton="0" quotePrefix="0" xfId="0">
      <alignment horizontal="center" vertical="center"/>
    </xf>
    <xf numFmtId="0" fontId="61" fillId="1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91" fillId="18" borderId="35" applyAlignment="1" pivotButton="0" quotePrefix="0" xfId="0">
      <alignment vertical="center" indent="1"/>
    </xf>
    <xf numFmtId="0" fontId="0" fillId="18" borderId="36" pivotButton="0" quotePrefix="0" xfId="0"/>
    <xf numFmtId="0" fontId="92" fillId="11" borderId="2" applyAlignment="1" pivotButton="0" quotePrefix="0" xfId="0">
      <alignment horizontal="center" vertical="center"/>
    </xf>
    <xf numFmtId="0" fontId="91" fillId="18" borderId="44" applyAlignment="1" pivotButton="0" quotePrefix="0" xfId="0">
      <alignment vertical="center" indent="1"/>
    </xf>
    <xf numFmtId="0" fontId="94" fillId="12" borderId="2" applyAlignment="1" pivotButton="0" quotePrefix="0" xfId="0">
      <alignment horizontal="center" vertical="center"/>
    </xf>
    <xf numFmtId="0" fontId="91" fillId="18" borderId="47" applyAlignment="1" pivotButton="0" quotePrefix="0" xfId="0">
      <alignment vertical="center" indent="1"/>
    </xf>
    <xf numFmtId="0" fontId="96" fillId="35" borderId="2" applyAlignment="1" pivotButton="0" quotePrefix="0" xfId="0">
      <alignment horizontal="center" vertical="center"/>
    </xf>
    <xf numFmtId="0" fontId="91" fillId="18" borderId="50" applyAlignment="1" pivotButton="0" quotePrefix="0" xfId="0">
      <alignment vertical="center" indent="1"/>
    </xf>
    <xf numFmtId="0" fontId="97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9" fontId="93" fillId="18" borderId="38" applyAlignment="1" pivotButton="0" quotePrefix="0" xfId="0">
      <alignment vertical="center" indent="1"/>
    </xf>
    <xf numFmtId="169" fontId="95" fillId="18" borderId="45" applyAlignment="1" pivotButton="0" quotePrefix="0" xfId="0">
      <alignment vertical="center" indent="1"/>
    </xf>
    <xf numFmtId="169" fontId="93" fillId="18" borderId="48" applyAlignment="1" pivotButton="0" quotePrefix="0" xfId="0">
      <alignment vertical="center" indent="1"/>
    </xf>
    <xf numFmtId="0" fontId="93" fillId="18" borderId="51" applyAlignment="1" pivotButton="0" quotePrefix="0" xfId="0">
      <alignment vertical="center" indent="1"/>
    </xf>
    <xf numFmtId="0" fontId="40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40" fillId="18" borderId="46" applyAlignment="1" pivotButton="0" quotePrefix="0" xfId="0">
      <alignment vertical="center" indent="1"/>
    </xf>
    <xf numFmtId="0" fontId="40" fillId="18" borderId="49" applyAlignment="1" pivotButton="0" quotePrefix="0" xfId="0">
      <alignment vertical="center" indent="1"/>
    </xf>
    <xf numFmtId="0" fontId="40" fillId="18" borderId="52" applyAlignment="1" pivotButton="0" quotePrefix="0" xfId="0">
      <alignment vertical="center" indent="1"/>
    </xf>
    <xf numFmtId="0" fontId="98" fillId="0" borderId="0" pivotButton="0" quotePrefix="0" xfId="0"/>
    <xf numFmtId="0" fontId="99" fillId="35" borderId="2" applyAlignment="1" pivotButton="0" quotePrefix="0" xfId="0">
      <alignment horizontal="center" vertical="center"/>
    </xf>
    <xf numFmtId="0" fontId="100" fillId="19" borderId="2" applyAlignment="1" pivotButton="0" quotePrefix="0" xfId="0">
      <alignment horizontal="center" vertical="center"/>
    </xf>
    <xf numFmtId="0" fontId="61" fillId="7" borderId="53" applyAlignment="1" pivotButton="0" quotePrefix="0" xfId="0">
      <alignment horizontal="left" vertical="center" indent="1"/>
    </xf>
    <xf numFmtId="0" fontId="61" fillId="7" borderId="53" applyAlignment="1" pivotButton="0" quotePrefix="0" xfId="0">
      <alignment horizontal="center" vertical="center"/>
    </xf>
    <xf numFmtId="0" fontId="101" fillId="18" borderId="2" applyAlignment="1" pivotButton="0" quotePrefix="0" xfId="0">
      <alignment horizontal="center" vertical="center"/>
    </xf>
    <xf numFmtId="0" fontId="43" fillId="18" borderId="2" applyAlignment="1" pivotButton="0" quotePrefix="0" xfId="0">
      <alignment vertical="center" indent="1"/>
    </xf>
    <xf numFmtId="169" fontId="43" fillId="18" borderId="2" applyAlignment="1" pivotButton="0" quotePrefix="0" xfId="0">
      <alignment horizontal="right" vertical="center"/>
    </xf>
    <xf numFmtId="169" fontId="68" fillId="18" borderId="2" applyAlignment="1" pivotButton="0" quotePrefix="0" xfId="0">
      <alignment horizontal="right" vertical="center"/>
    </xf>
    <xf numFmtId="0" fontId="102" fillId="18" borderId="2" applyAlignment="1" pivotButton="0" quotePrefix="0" xfId="0">
      <alignment horizontal="center" vertical="center"/>
    </xf>
    <xf numFmtId="0" fontId="103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101" fillId="19" borderId="2" applyAlignment="1" pivotButton="0" quotePrefix="0" xfId="0">
      <alignment horizontal="center" vertical="center"/>
    </xf>
    <xf numFmtId="0" fontId="43" fillId="19" borderId="2" applyAlignment="1" pivotButton="0" quotePrefix="0" xfId="0">
      <alignment vertical="center" indent="1"/>
    </xf>
    <xf numFmtId="169" fontId="43" fillId="19" borderId="2" applyAlignment="1" pivotButton="0" quotePrefix="0" xfId="0">
      <alignment horizontal="right" vertical="center"/>
    </xf>
    <xf numFmtId="169" fontId="68" fillId="19" borderId="2" applyAlignment="1" pivotButton="0" quotePrefix="0" xfId="0">
      <alignment horizontal="right" vertical="center"/>
    </xf>
    <xf numFmtId="0" fontId="102" fillId="19" borderId="2" applyAlignment="1" pivotButton="0" quotePrefix="0" xfId="0">
      <alignment horizontal="center" vertical="center"/>
    </xf>
    <xf numFmtId="0" fontId="104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5" fillId="16" borderId="2" applyAlignment="1" pivotButton="0" quotePrefix="0" xfId="0">
      <alignment horizontal="center" vertical="center"/>
    </xf>
    <xf numFmtId="0" fontId="106" fillId="37" borderId="2" applyAlignment="1" pivotButton="0" quotePrefix="0" xfId="0">
      <alignment horizontal="center" vertical="center"/>
    </xf>
    <xf numFmtId="0" fontId="33" fillId="7" borderId="54" applyAlignment="1" pivotButton="0" quotePrefix="0" xfId="0">
      <alignment vertical="center" indent="1"/>
    </xf>
    <xf numFmtId="169" fontId="107" fillId="7" borderId="54" applyAlignment="1" pivotButton="0" quotePrefix="0" xfId="0">
      <alignment horizontal="right" vertical="center"/>
    </xf>
    <xf numFmtId="169" fontId="108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9" fillId="7" borderId="54" applyAlignment="1" pivotButton="0" quotePrefix="0" xfId="0">
      <alignment horizontal="center" vertical="center"/>
    </xf>
    <xf numFmtId="0" fontId="110" fillId="18" borderId="55" applyAlignment="1" pivotButton="0" quotePrefix="0" xfId="0">
      <alignment vertical="center" indent="1"/>
    </xf>
    <xf numFmtId="0" fontId="0" fillId="18" borderId="37" pivotButton="0" quotePrefix="0" xfId="0"/>
    <xf numFmtId="0" fontId="116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11" fillId="18" borderId="56" applyAlignment="1" pivotButton="0" quotePrefix="0" xfId="0">
      <alignment vertical="center" indent="1"/>
    </xf>
    <xf numFmtId="0" fontId="102" fillId="18" borderId="56" pivotButton="0" quotePrefix="0" xfId="0"/>
    <xf numFmtId="0" fontId="111" fillId="18" borderId="40" pivotButton="0" quotePrefix="0" xfId="0"/>
    <xf numFmtId="0" fontId="9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12" fillId="18" borderId="56" applyAlignment="1" pivotButton="0" quotePrefix="0" xfId="0">
      <alignment vertical="center" indent="1"/>
    </xf>
    <xf numFmtId="0" fontId="59" fillId="17" borderId="61" applyAlignment="1" pivotButton="0" quotePrefix="0" xfId="0">
      <alignment vertical="center" indent="1"/>
    </xf>
    <xf numFmtId="0" fontId="113" fillId="18" borderId="56" applyAlignment="1" pivotButton="0" quotePrefix="0" xfId="0">
      <alignment vertical="center" indent="1"/>
    </xf>
    <xf numFmtId="0" fontId="0" fillId="35" borderId="2" pivotButton="0" quotePrefix="0" xfId="0"/>
    <xf numFmtId="0" fontId="114" fillId="18" borderId="56" applyAlignment="1" pivotButton="0" quotePrefix="0" xfId="0">
      <alignment vertical="center" indent="1"/>
    </xf>
    <xf numFmtId="0" fontId="115" fillId="38" borderId="2" applyAlignment="1" pivotButton="0" quotePrefix="0" xfId="0">
      <alignment horizontal="center" vertical="center"/>
    </xf>
    <xf numFmtId="0" fontId="117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24" fillId="0" borderId="7" pivotButton="0" quotePrefix="0" xfId="0"/>
    <xf numFmtId="0" fontId="111" fillId="0" borderId="7" pivotButton="0" quotePrefix="0" xfId="0"/>
    <xf numFmtId="0" fontId="118" fillId="12" borderId="63" applyAlignment="1" pivotButton="0" quotePrefix="0" xfId="0">
      <alignment vertical="center" indent="1"/>
    </xf>
    <xf numFmtId="0" fontId="123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9" fillId="18" borderId="64" pivotButton="0" quotePrefix="0" xfId="0"/>
    <xf numFmtId="0" fontId="120" fillId="18" borderId="39" applyAlignment="1" pivotButton="0" quotePrefix="0" xfId="0">
      <alignment horizontal="right" vertical="center"/>
    </xf>
    <xf numFmtId="0" fontId="119" fillId="18" borderId="68" pivotButton="0" quotePrefix="0" xfId="0"/>
    <xf numFmtId="0" fontId="124" fillId="18" borderId="39" applyAlignment="1" pivotButton="0" quotePrefix="0" xfId="0">
      <alignment horizontal="right" vertical="center"/>
    </xf>
    <xf numFmtId="169" fontId="110" fillId="18" borderId="39" applyAlignment="1" pivotButton="0" quotePrefix="0" xfId="0">
      <alignment horizontal="right" vertical="center"/>
    </xf>
    <xf numFmtId="169" fontId="121" fillId="18" borderId="39" applyAlignment="1" pivotButton="0" quotePrefix="0" xfId="0">
      <alignment horizontal="right" vertical="center"/>
    </xf>
    <xf numFmtId="170" fontId="121" fillId="18" borderId="39" applyAlignment="1" pivotButton="0" quotePrefix="0" xfId="0">
      <alignment horizontal="right" vertical="center"/>
    </xf>
    <xf numFmtId="0" fontId="121" fillId="18" borderId="39" applyAlignment="1" pivotButton="0" quotePrefix="0" xfId="0">
      <alignment horizontal="right" vertical="center"/>
    </xf>
    <xf numFmtId="0" fontId="122" fillId="12" borderId="66" applyAlignment="1" pivotButton="0" quotePrefix="0" xfId="0">
      <alignment horizontal="center" vertical="center"/>
    </xf>
    <xf numFmtId="0" fontId="73" fillId="11" borderId="70" applyAlignment="1" pivotButton="0" quotePrefix="0" xfId="0">
      <alignment horizontal="center" vertical="center"/>
    </xf>
    <xf numFmtId="0" fontId="98" fillId="18" borderId="55" applyAlignment="1" pivotButton="0" quotePrefix="0" xfId="0">
      <alignment vertical="center" indent="1"/>
    </xf>
    <xf numFmtId="0" fontId="0" fillId="18" borderId="56" pivotButton="0" quotePrefix="0" xfId="0"/>
    <xf numFmtId="0" fontId="110" fillId="18" borderId="56" applyAlignment="1" pivotButton="0" quotePrefix="0" xfId="0">
      <alignment vertical="center" indent="1"/>
    </xf>
    <xf numFmtId="0" fontId="102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7">
    <dxf>
      <font>
        <b val="1"/>
        <color rgb="00B3261E"/>
      </font>
    </dxf>
    <dxf>
      <font>
        <b val="1"/>
        <color rgb="00B7791F"/>
      </font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08948"/>
      </font>
    </dxf>
    <dxf>
      <font>
        <b val="1"/>
        <color rgb="001F7A4D"/>
      </font>
    </dxf>
    <dxf>
      <font>
        <b val="1"/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Finansman Payları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'FINANSMAN'!B13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'FINANSMAN'!$A$14:$A$15</f>
            </numRef>
          </cat>
          <val>
            <numRef>
              <f>'FINANSMAN'!$B$14:$B$15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NPV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'SENARYO'!$A$6:$A$8</f>
            </numRef>
          </cat>
          <val>
            <numRef>
              <f>'SENARYO'!$G$6:$G$8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'SENARYO'!$A$15:$A$19</f>
            </numRef>
          </cat>
          <val>
            <numRef>
              <f>'SENARYO'!$E$15:$E$19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Trend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Karar NPV Bandı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'KARAR'!B20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'KARAR'!$A$21:$A$23</f>
            </numRef>
          </cat>
          <val>
            <numRef>
              <f>'KARAR'!$B$21:$B$23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'VAKALAR'!$A$16:$A$19</f>
            </numRef>
          </cat>
          <val>
            <numRef>
              <f>'VAKALAR'!$B$16:$B$19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CAPEX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'ORNEK_VERI'!$A$23:$A$26</f>
            </numRef>
          </cat>
          <val>
            <numRef>
              <f>'ORNEK_VERI'!$B$23:$B$26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Proje | Neden önemli: GES fizibilite ve yatırım kararını etkiler | Doğru kullanım: Unvan veya proje kodu. | Örnek: demo satırına bakın | Yanlışsa: NPV/IRR ve karar bozulur | Kaynak: EPDK tarife / saha ölçümü</t>
      </text>
    </comment>
    <comment ref="B7" authorId="0" shapeId="0">
      <text>
        <t>Tanım: Dönem | Neden önemli: GES fizibilite ve yatırım kararını etkiler | Doğru kullanım: Rapor dönemi. | Örnek: demo satırına bakın | Yanlışsa: NPV/IRR ve karar bozulur | Kaynak: EPDK tarife / saha ölçümü</t>
      </text>
    </comment>
    <comment ref="B8" authorId="0" shapeId="0">
      <text>
        <t>Tanım: Hesap Yılı | Neden önemli: GES fizibilite ve yatırım kararını etkiler | Doğru kullanım: 2025, 2026 veya 2027. | Örnek: demo satırına bakın | Yanlışsa: NPV/IRR ve karar bozulur | Kaynak: EPDK tarife / saha ölçümü</t>
      </text>
    </comment>
    <comment ref="B9" authorId="0" shapeId="0">
      <text>
        <t>Tanım: Proje Tipi | Neden önemli: GES fizibilite ve yatırım kararını etkiler | Doğru kullanım: CATI veya SAHA. | Örnek: demo satırına bakın | Yanlışsa: NPV/IRR ve karar bozulur | Kaynak: EPDK tarife / saha ölçümü</t>
      </text>
    </comment>
    <comment ref="B10" authorId="0" shapeId="0">
      <text>
        <t>Tanım: Kurulu güç [kWp] | Neden önemli: GES fizibilite ve yatırım kararını etkiler | Doğru kullanım: DC kurulu güç. | Örnek: demo satırına bakın | Yanlışsa: NPV/IRR ve karar bozulur | Kaynak: EPDK tarife / saha ölçümü</t>
      </text>
    </comment>
    <comment ref="B11" authorId="0" shapeId="0">
      <text>
        <t>Tanım: Özgül üretim [kWh/kWp] | Neden önemli: GES fizibilite ve yatırım kararını etkiler | Doğru kullanım: Yıllık özgül üretim. | Örnek: demo satırına bakın | Yanlışsa: NPV/IRR ve karar bozulur | Kaynak: EPDK tarife / saha ölçümü</t>
      </text>
    </comment>
    <comment ref="B12" authorId="0" shapeId="0">
      <text>
        <t>Tanım: Degradasyon [%/yıl] | Neden önemli: GES fizibilite ve yatırım kararını etkiler | Doğru kullanım: Yıllık panel kaybı. | Örnek: demo satırına bakın | Yanlışsa: NPV/IRR ve karar bozulur | Kaynak: EPDK tarife / saha ölçümü</t>
      </text>
    </comment>
    <comment ref="B13" authorId="0" shapeId="0">
      <text>
        <t>Tanım: Öz tüketim oranı [%] | Neden önemli: GES fizibilite ve yatırım kararını etkiler | Doğru kullanım: Üretimin öz tüketim payı. | Örnek: demo satırına bakın | Yanlışsa: NPV/IRR ve karar bozulur | Kaynak: EPDK tarife / saha ölçümü</t>
      </text>
    </comment>
    <comment ref="B14" authorId="0" shapeId="0">
      <text>
        <t>Tanım: Yıllık tüketim [kWh] | Neden önemli: GES fizibilite ve yatırım kararını etkiler | Doğru kullanım: Tesis yıllık elektrik tüketimi. | Örnek: demo satırına bakın | Yanlışsa: NPV/IRR ve karar bozulur | Kaynak: EPDK tarife / saha ölçümü</t>
      </text>
    </comment>
    <comment ref="B15" authorId="0" shapeId="0">
      <text>
        <t>Tanım: Perakende tarife [₺/kWh] | Neden önemli: GES fizibilite ve yatırım kararını etkiler | Doğru kullanım: Öz tüketim birim değeri. | Örnek: demo satırına bakın | Yanlışsa: NPV/IRR ve karar bozulur | Kaynak: EPDK tarife / saha ölçümü</t>
      </text>
    </comment>
    <comment ref="B16" authorId="0" shapeId="0">
      <text>
        <t>Tanım: Şebeke satış tarife [₺/kWh] | Neden önemli: GES fizibilite ve yatırım kararını etkiler | Doğru kullanım: YEKDEM/şebeke satış. | Örnek: demo satırına bakın | Yanlışsa: NPV/IRR ve karar bozulur | Kaynak: EPDK tarife / saha ölçümü</t>
      </text>
    </comment>
    <comment ref="B17" authorId="0" shapeId="0">
      <text>
        <t>Tanım: CAPEX birim [₺/kWp] | Neden önemli: GES fizibilite ve yatırım kararını etkiler | Doğru kullanım: Yatırım birim maliyeti. | Örnek: demo satırına bakın | Yanlışsa: NPV/IRR ve karar bozulur | Kaynak: EPDK tarife / saha ölçümü</t>
      </text>
    </comment>
    <comment ref="B18" authorId="0" shapeId="0">
      <text>
        <t>Tanım: OPEX oranı [% CAPEX] | Neden önemli: GES fizibilite ve yatırım kararını etkiler | Doğru kullanım: Yıllık işletme oranı. | Örnek: demo satırına bakın | Yanlışsa: NPV/IRR ve karar bozulur | Kaynak: EPDK tarife / saha ölçümü</t>
      </text>
    </comment>
    <comment ref="B19" authorId="0" shapeId="0">
      <text>
        <t>Tanım: WACC [%] | Neden önemli: GES fizibilite ve yatırım kararını etkiler | Doğru kullanım: İskonto oranı (nominal). | Örnek: demo satırına bakın | Yanlışsa: NPV/IRR ve karar bozulur | Kaynak: EPDK tarife / saha ölçümü</t>
      </text>
    </comment>
    <comment ref="B20" authorId="0" shapeId="0">
      <text>
        <t>Tanım: NPV dönem [yıl] | Neden önemli: GES fizibilite ve yatırım kararını etkiler | Doğru kullanım: Nakit akışı yılı. | Örnek: demo satırına bakın | Yanlışsa: NPV/IRR ve karar bozulur | Kaynak: EPDK tarife / saha ölçümü</t>
      </text>
    </comment>
    <comment ref="B21" authorId="0" shapeId="0">
      <text>
        <t>Tanım: Kredi faiz oranı [%] | Neden önemli: GES fizibilite ve yatırım kararını etkiler | Doğru kullanım: Kredi senaryosu faiz. | Örnek: demo satırına bakın | Yanlışsa: NPV/IRR ve karar bozulur | Kaynak: EPDK tarife / saha ölçümü</t>
      </text>
    </comment>
    <comment ref="B22" authorId="0" shapeId="0">
      <text>
        <t>Tanım: Öz kaynak oranı [%] | Neden önemli: GES fizibilite ve yatırım kararını etkiler | Doğru kullanım: Öz kaynak payı. | Örnek: demo satırına bakın | Yanlışsa: NPV/IRR ve karar bozulur | Kaynak: EPDK tarife / saha ölçümü</t>
      </text>
    </comment>
    <comment ref="A31" authorId="0" shapeId="0">
      <text>
        <t>Tanım: sirket_adi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1" authorId="0" shapeId="0">
      <text>
        <t>Tanım: sirket_adi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1" authorId="0" shapeId="0">
      <text>
        <t>Tanım: sirket_adi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1" authorId="0" shapeId="0">
      <text>
        <t>Tanım: sirket_adi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1" authorId="0" shapeId="0">
      <text>
        <t>Tanım: sirket_adi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32" authorId="0" shapeId="0">
      <text>
        <t>Tanım: 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2" authorId="0" shapeId="0">
      <text>
        <t>Tanım: 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2" authorId="0" shapeId="0">
      <text>
        <t>Tanım: 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2" authorId="0" shapeId="0">
      <text>
        <t>Tanım: 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2" authorId="0" shapeId="0">
      <text>
        <t>Tanım: 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33" authorId="0" shapeId="0">
      <text>
        <t>Tanım: hesapYili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3" authorId="0" shapeId="0">
      <text>
        <t>Tanım: hesapYili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3" authorId="0" shapeId="0">
      <text>
        <t>Tanım: hesapYili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3" authorId="0" shapeId="0">
      <text>
        <t>Tanım: hesapYili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3" authorId="0" shapeId="0">
      <text>
        <t>Tanım: hesapYili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34" authorId="0" shapeId="0">
      <text>
        <t>Tanım: proje_tipi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4" authorId="0" shapeId="0">
      <text>
        <t>Tanım: proje_tipi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4" authorId="0" shapeId="0">
      <text>
        <t>Tanım: proje_tipi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4" authorId="0" shapeId="0">
      <text>
        <t>Tanım: proje_tipi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4" authorId="0" shapeId="0">
      <text>
        <t>Tanım: proje_tipi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35" authorId="0" shapeId="0">
      <text>
        <t>Tanım: kurulu_guc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5" authorId="0" shapeId="0">
      <text>
        <t>Tanım: kurulu_guc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5" authorId="0" shapeId="0">
      <text>
        <t>Tanım: kurulu_guc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5" authorId="0" shapeId="0">
      <text>
        <t>Tanım: kurulu_guc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5" authorId="0" shapeId="0">
      <text>
        <t>Tanım: kurulu_guc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36" authorId="0" shapeId="0">
      <text>
        <t>Tanım: spesifik_uretim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6" authorId="0" shapeId="0">
      <text>
        <t>Tanım: spesifik_uretim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6" authorId="0" shapeId="0">
      <text>
        <t>Tanım: spesifik_uretim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6" authorId="0" shapeId="0">
      <text>
        <t>Tanım: spesifik_uretim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6" authorId="0" shapeId="0">
      <text>
        <t>Tanım: spesifik_uretim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37" authorId="0" shapeId="0">
      <text>
        <t>Tanım: degradasyon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7" authorId="0" shapeId="0">
      <text>
        <t>Tanım: degradasyon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7" authorId="0" shapeId="0">
      <text>
        <t>Tanım: degradasyon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7" authorId="0" shapeId="0">
      <text>
        <t>Tanım: degradasyon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7" authorId="0" shapeId="0">
      <text>
        <t>Tanım: degradasyon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38" authorId="0" shapeId="0">
      <text>
        <t>Tanım: oz_tuketim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8" authorId="0" shapeId="0">
      <text>
        <t>Tanım: oz_tuketim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8" authorId="0" shapeId="0">
      <text>
        <t>Tanım: oz_tuketim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8" authorId="0" shapeId="0">
      <text>
        <t>Tanım: oz_tuketim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8" authorId="0" shapeId="0">
      <text>
        <t>Tanım: oz_tuketim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39" authorId="0" shapeId="0">
      <text>
        <t>Tanım: yillik_tuketim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39" authorId="0" shapeId="0">
      <text>
        <t>Tanım: yillik_tuketim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39" authorId="0" shapeId="0">
      <text>
        <t>Tanım: yillik_tuketim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39" authorId="0" shapeId="0">
      <text>
        <t>Tanım: yillik_tuketim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39" authorId="0" shapeId="0">
      <text>
        <t>Tanım: yillik_tuketim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40" authorId="0" shapeId="0">
      <text>
        <t>Tanım: perakende_tarife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40" authorId="0" shapeId="0">
      <text>
        <t>Tanım: perakende_tarife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40" authorId="0" shapeId="0">
      <text>
        <t>Tanım: perakende_tarife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40" authorId="0" shapeId="0">
      <text>
        <t>Tanım: perakende_tarife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40" authorId="0" shapeId="0">
      <text>
        <t>Tanım: perakende_tarife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41" authorId="0" shapeId="0">
      <text>
        <t>Tanım: satis_tarife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41" authorId="0" shapeId="0">
      <text>
        <t>Tanım: satis_tarife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41" authorId="0" shapeId="0">
      <text>
        <t>Tanım: satis_tarife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41" authorId="0" shapeId="0">
      <text>
        <t>Tanım: satis_tarife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41" authorId="0" shapeId="0">
      <text>
        <t>Tanım: satis_tarife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42" authorId="0" shapeId="0">
      <text>
        <t>Tanım: capex_birim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42" authorId="0" shapeId="0">
      <text>
        <t>Tanım: capex_birim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42" authorId="0" shapeId="0">
      <text>
        <t>Tanım: capex_birim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42" authorId="0" shapeId="0">
      <text>
        <t>Tanım: capex_birim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42" authorId="0" shapeId="0">
      <text>
        <t>Tanım: capex_birim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43" authorId="0" shapeId="0">
      <text>
        <t>Tanım: opex_oran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43" authorId="0" shapeId="0">
      <text>
        <t>Tanım: opex_oran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43" authorId="0" shapeId="0">
      <text>
        <t>Tanım: opex_oran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43" authorId="0" shapeId="0">
      <text>
        <t>Tanım: opex_oran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43" authorId="0" shapeId="0">
      <text>
        <t>Tanım: opex_oran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44" authorId="0" shapeId="0">
      <text>
        <t>Tanım: wacc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44" authorId="0" shapeId="0">
      <text>
        <t>Tanım: wacc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44" authorId="0" shapeId="0">
      <text>
        <t>Tanım: wacc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44" authorId="0" shapeId="0">
      <text>
        <t>Tanım: wacc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44" authorId="0" shapeId="0">
      <text>
        <t>Tanım: wacc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45" authorId="0" shapeId="0">
      <text>
        <t>Tanım: npv_donem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45" authorId="0" shapeId="0">
      <text>
        <t>Tanım: npv_donem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45" authorId="0" shapeId="0">
      <text>
        <t>Tanım: npv_donem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45" authorId="0" shapeId="0">
      <text>
        <t>Tanım: npv_donem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45" authorId="0" shapeId="0">
      <text>
        <t>Tanım: npv_donem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46" authorId="0" shapeId="0">
      <text>
        <t>Tanım: kredi_orani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46" authorId="0" shapeId="0">
      <text>
        <t>Tanım: kredi_orani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46" authorId="0" shapeId="0">
      <text>
        <t>Tanım: kredi_orani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46" authorId="0" shapeId="0">
      <text>
        <t>Tanım: kredi_orani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46" authorId="0" shapeId="0">
      <text>
        <t>Tanım: kredi_orani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A47" authorId="0" shapeId="0">
      <text>
        <t>Tanım: oz_kaynak_oran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B47" authorId="0" shapeId="0">
      <text>
        <t>Tanım: oz_kaynak_oran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C47" authorId="0" shapeId="0">
      <text>
        <t>Tanım: oz_kaynak_oran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D47" authorId="0" shapeId="0">
      <text>
        <t>Tanım: oz_kaynak_oran | Neden önemli: GES fizibilite ve yatırım kararını etkiler | Doğru kullanım: Tablo girişi; PANO ile senkron tutun | Örnek: demo satırına bakın | Yanlışsa: NPV/IRR ve karar bozulur | Kaynak: EPDK tarife / saha ölçümü</t>
      </text>
    </comment>
    <comment ref="E47" authorId="0" shapeId="0">
      <text>
        <t>Tanım: oz_kaynak_oran | Neden önemli: GES fizibilite ve yatırım kararını etkiler | Doğru kullanım: Tablo girişi; PANO ile senkron tutun | Örnek: demo satırına bakın | Yanlışsa: NPV/IRR ve karar bozulur | Kaynak: EPDK tarife / saha ölçümü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C6" authorId="0" shapeId="0">
      <text>
        <t>Tanım: Özgül üretim kaynağı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6" authorId="0" shapeId="0">
      <text>
        <t>Tanım: Özgül üretim kaynağı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6" authorId="0" shapeId="0">
      <text>
        <t>Tanım: Özgül üretim kaynağı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7" authorId="0" shapeId="0">
      <text>
        <t>Tanım: Degradasyon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7" authorId="0" shapeId="0">
      <text>
        <t>Tanım: Degradasyon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7" authorId="0" shapeId="0">
      <text>
        <t>Tanım: Degradasyon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8" authorId="0" shapeId="0">
      <text>
        <t>Tanım: Öz tüketim oranı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8" authorId="0" shapeId="0">
      <text>
        <t>Tanım: Öz tüketim oranı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8" authorId="0" shapeId="0">
      <text>
        <t>Tanım: Öz tüketim oranı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9" authorId="0" shapeId="0">
      <text>
        <t>Tanım: Perakende tarife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9" authorId="0" shapeId="0">
      <text>
        <t>Tanım: Perakende tarife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9" authorId="0" shapeId="0">
      <text>
        <t>Tanım: Perakende tarife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10" authorId="0" shapeId="0">
      <text>
        <t>Tanım: Şebeke satış tarife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10" authorId="0" shapeId="0">
      <text>
        <t>Tanım: Şebeke satış tarife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10" authorId="0" shapeId="0">
      <text>
        <t>Tanım: Şebeke satış tarife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11" authorId="0" shapeId="0">
      <text>
        <t>Tanım: CAPEX birim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11" authorId="0" shapeId="0">
      <text>
        <t>Tanım: CAPEX birim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11" authorId="0" shapeId="0">
      <text>
        <t>Tanım: CAPEX birim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12" authorId="0" shapeId="0">
      <text>
        <t>Tanım: OPEX oranı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12" authorId="0" shapeId="0">
      <text>
        <t>Tanım: OPEX oranı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12" authorId="0" shapeId="0">
      <text>
        <t>Tanım: OPEX oranı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13" authorId="0" shapeId="0">
      <text>
        <t>Tanım: WACC / iskonto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13" authorId="0" shapeId="0">
      <text>
        <t>Tanım: WACC / iskonto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13" authorId="0" shapeId="0">
      <text>
        <t>Tanım: WACC / iskonto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14" authorId="0" shapeId="0">
      <text>
        <t>Tanım: Para dünyası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14" authorId="0" shapeId="0">
      <text>
        <t>Tanım: Para dünyası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14" authorId="0" shapeId="0">
      <text>
        <t>Tanım: Para dünyası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C15" authorId="0" shapeId="0">
      <text>
        <t>Tanım: Kötümser üretim şoku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E15" authorId="0" shapeId="0">
      <text>
        <t>Tanım: Kötümser üretim şoku | Neden önemli: GES fizibilite ve yatırım kararını etkiler | Doğru kullanım: Varsayım; kaynak ve guven zorunlu | Örnek: demo satırına bakın | Yanlışsa: NPV/IRR ve karar bozulur | Kaynak: EPDK tarife / saha ölçümü</t>
      </text>
    </comment>
    <comment ref="F15" authorId="0" shapeId="0">
      <text>
        <t>Tanım: Kötümser üretim şoku | Neden önemli: GES fizibilite ve yatırım kararını etkiler | Doğru kullanım: Varsayım; kaynak ve guven zorunlu | Örnek: demo satırına bakın | Yanlışsa: NPV/IRR ve karar bozulur | Kaynak: EPDK tarife / saha ölçümü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perakende_tarife | Neden önemli: GES fizibilite ve yatırım kararını etkiler | Doğru kullanım: Yıl bazlı parametre | Örnek: demo satırına bakın | Yanlışsa: NPV/IRR ve karar bozulur | Kaynak: EPDK tarife / saha ölçümü</t>
      </text>
    </comment>
    <comment ref="G7" authorId="0" shapeId="0">
      <text>
        <t>Tanım: perakende_tarife | Neden önemli: GES fizibilite ve yatırım kararını etkiler | Doğru kullanım: Yıl bazlı parametre | Örnek: demo satırına bakın | Yanlışsa: NPV/IRR ve karar bozulur | Kaynak: EPDK tarife / saha ölçümü</t>
      </text>
    </comment>
    <comment ref="H7" authorId="0" shapeId="0">
      <text>
        <t>Tanım: perakende_tarife | Neden önemli: GES fizibilite ve yatırım kararını etkiler | Doğru kullanım: Yıl bazlı parametre | Örnek: demo satırına bakın | Yanlışsa: NPV/IRR ve karar bozulur | Kaynak: EPDK tarife / saha ölçümü</t>
      </text>
    </comment>
    <comment ref="F8" authorId="0" shapeId="0">
      <text>
        <t>Tanım: satis_tarife | Neden önemli: GES fizibilite ve yatırım kararını etkiler | Doğru kullanım: Yıl bazlı parametre | Örnek: demo satırına bakın | Yanlışsa: NPV/IRR ve karar bozulur | Kaynak: EPDK tarife / saha ölçümü</t>
      </text>
    </comment>
    <comment ref="G8" authorId="0" shapeId="0">
      <text>
        <t>Tanım: satis_tarife | Neden önemli: GES fizibilite ve yatırım kararını etkiler | Doğru kullanım: Yıl bazlı parametre | Örnek: demo satırına bakın | Yanlışsa: NPV/IRR ve karar bozulur | Kaynak: EPDK tarife / saha ölçümü</t>
      </text>
    </comment>
    <comment ref="H8" authorId="0" shapeId="0">
      <text>
        <t>Tanım: satis_tarife | Neden önemli: GES fizibilite ve yatırım kararını etkiler | Doğru kullanım: Yıl bazlı parametre | Örnek: demo satırına bakın | Yanlışsa: NPV/IRR ve karar bozulur | Kaynak: EPDK tarife / saha ölçümü</t>
      </text>
    </comment>
    <comment ref="F9" authorId="0" shapeId="0">
      <text>
        <t>Tanım: hedef_geri_odeme | Neden önemli: GES fizibilite ve yatırım kararını etkiler | Doğru kullanım: Yıl bazlı parametre | Örnek: demo satırına bakın | Yanlışsa: NPV/IRR ve karar bozulur | Kaynak: EPDK tarife / saha ölçümü</t>
      </text>
    </comment>
    <comment ref="G9" authorId="0" shapeId="0">
      <text>
        <t>Tanım: hedef_geri_odeme | Neden önemli: GES fizibilite ve yatırım kararını etkiler | Doğru kullanım: Yıl bazlı parametre | Örnek: demo satırına bakın | Yanlışsa: NPV/IRR ve karar bozulur | Kaynak: EPDK tarife / saha ölçümü</t>
      </text>
    </comment>
    <comment ref="H9" authorId="0" shapeId="0">
      <text>
        <t>Tanım: hedef_geri_odeme | Neden önemli: GES fizibilite ve yatırım kararını etkiler | Doğru kullanım: Yıl bazlı parametre | Örnek: demo satırına bakın | Yanlışsa: NPV/IRR ve karar bozulur | Kaynak: EPDK tarife / saha ölçümü</t>
      </text>
    </comment>
    <comment ref="F10" authorId="0" shapeId="0">
      <text>
        <t>Tanım: min_oz_tuketim | Neden önemli: GES fizibilite ve yatırım kararını etkiler | Doğru kullanım: Yıl bazlı parametre | Örnek: demo satırına bakın | Yanlışsa: NPV/IRR ve karar bozulur | Kaynak: EPDK tarife / saha ölçümü</t>
      </text>
    </comment>
    <comment ref="G10" authorId="0" shapeId="0">
      <text>
        <t>Tanım: min_oz_tuketim | Neden önemli: GES fizibilite ve yatırım kararını etkiler | Doğru kullanım: Yıl bazlı parametre | Örnek: demo satırına bakın | Yanlışsa: NPV/IRR ve karar bozulur | Kaynak: EPDK tarife / saha ölçümü</t>
      </text>
    </comment>
    <comment ref="H10" authorId="0" shapeId="0">
      <text>
        <t>Tanım: min_oz_tuketim | Neden önemli: GES fizibilite ve yatırım kararını etkiler | Doğru kullanım: Yıl bazlı parametre | Örnek: demo satırına bakın | Yanlışsa: NPV/IRR ve karar bozulur | Kaynak: EPDK tarife / saha ölçümü</t>
      </text>
    </comment>
    <comment ref="F11" authorId="0" shapeId="0">
      <text>
        <t>Tanım: yuvarlama | Neden önemli: GES fizibilite ve yatırım kararını etkiler | Doğru kullanım: Yıl bazlı parametre | Örnek: demo satırına bakın | Yanlışsa: NPV/IRR ve karar bozulur | Kaynak: EPDK tarife / saha ölçümü</t>
      </text>
    </comment>
    <comment ref="G11" authorId="0" shapeId="0">
      <text>
        <t>Tanım: yuvarlama | Neden önemli: GES fizibilite ve yatırım kararını etkiler | Doğru kullanım: Yıl bazlı parametre | Örnek: demo satırına bakın | Yanlışsa: NPV/IRR ve karar bozulur | Kaynak: EPDK tarife / saha ölçümü</t>
      </text>
    </comment>
    <comment ref="H11" authorId="0" shapeId="0">
      <text>
        <t>Tanım: yuvarlama | Neden önemli: GES fizibilite ve yatırım kararını etkiler | Doğru kullanım: Yıl bazlı parametre | Örnek: demo satırına bakın | Yanlışsa: NPV/IRR ve karar bozulur | Kaynak: EPDK tarife / saha ölçümü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GES fizibilite ve yatırım kararını etkiler | Doğru kullanım: Örnek satır | Örnek: demo satırına bakın | Yanlışsa: NPV/IRR ve karar bozulur | Kaynak: EPDK tarife / saha ölçümü</t>
      </text>
    </comment>
    <comment ref="B6" authorId="0" shapeId="0">
      <text>
        <t>Tanım: Proje_tipi | Neden önemli: GES fizibilite ve yatırım kararını etkiler | Doğru kullanım: Örnek satır | Örnek: demo satırına bakın | Yanlışsa: NPV/IRR ve karar bozulur | Kaynak: EPDK tarife / saha ölçümü</t>
      </text>
    </comment>
    <comment ref="C6" authorId="0" shapeId="0">
      <text>
        <t>Tanım: Kurulu_guc_kWp | Neden önemli: GES fizibilite ve yatırım kararını etkiler | Doğru kullanım: Örnek satır | Örnek: demo satırına bakın | Yanlışsa: NPV/IRR ve karar bozulur | Kaynak: EPDK tarife / saha ölçümü</t>
      </text>
    </comment>
    <comment ref="D6" authorId="0" shapeId="0">
      <text>
        <t>Tanım: Spesifik_uretim | Neden önemli: GES fizibilite ve yatırım kararını etkiler | Doğru kullanım: Örnek satır | Örnek: demo satırına bakın | Yanlışsa: NPV/IRR ve karar bozulur | Kaynak: EPDK tarife / saha ölçümü</t>
      </text>
    </comment>
    <comment ref="E6" authorId="0" shapeId="0">
      <text>
        <t>Tanım: Oz_tuketim | Neden önemli: GES fizibilite ve yatırım kararını etkiler | Doğru kullanım: Örnek satır | Örnek: demo satırına bakın | Yanlışsa: NPV/IRR ve karar bozulur | Kaynak: EPDK tarife / saha ölçümü</t>
      </text>
    </comment>
    <comment ref="F6" authorId="0" shapeId="0">
      <text>
        <t>Tanım: Perakende_tarife | Neden önemli: GES fizibilite ve yatırım kararını etkiler | Doğru kullanım: Örnek satır | Örnek: demo satırına bakın | Yanlışsa: NPV/IRR ve karar bozulur | Kaynak: EPDK tarife / saha ölçümü</t>
      </text>
    </comment>
    <comment ref="G6" authorId="0" shapeId="0">
      <text>
        <t>Tanım: Satis_tarife | Neden önemli: GES fizibilite ve yatırım kararını etkiler | Doğru kullanım: Örnek satır | Örnek: demo satırına bakın | Yanlışsa: NPV/IRR ve karar bozulur | Kaynak: EPDK tarife / saha ölçümü</t>
      </text>
    </comment>
    <comment ref="H6" authorId="0" shapeId="0">
      <text>
        <t>Tanım: Capex_birim | Neden önemli: GES fizibilite ve yatırım kararını etkiler | Doğru kullanım: Örnek satır | Örnek: demo satırına bakın | Yanlışsa: NPV/IRR ve karar bozulur | Kaynak: EPDK tarife / saha ölçümü</t>
      </text>
    </comment>
    <comment ref="I6" authorId="0" shapeId="0">
      <text>
        <t>Tanım: Opex_oran | Neden önemli: GES fizibilite ve yatırım kararını etkiler | Doğru kullanım: Örnek satır | Örnek: demo satırına bakın | Yanlışsa: NPV/IRR ve karar bozulur | Kaynak: EPDK tarife / saha ölçümü</t>
      </text>
    </comment>
    <comment ref="J6" authorId="0" shapeId="0">
      <text>
        <t>Tanım: WACC | Neden önemli: GES fizibilite ve yatırım kararını etkiler | Doğru kullanım: Örnek satır | Örnek: demo satırına bakın | Yanlışsa: NPV/IRR ve karar bozulur | Kaynak: EPDK tarife / saha ölçümü</t>
      </text>
    </comment>
    <comment ref="K6" authorId="0" shapeId="0">
      <text>
        <t>Tanım: Yil | Neden önemli: GES fizibilite ve yatırım kararını etkiler | Doğru kullanım: Örnek satır | Örnek: demo satırına bakın | Yanlışsa: NPV/IRR ve karar bozulur | Kaynak: EPDK tarife / saha ölçümü</t>
      </text>
    </comment>
    <comment ref="A7" authorId="0" shapeId="0">
      <text>
        <t>Tanım: Senaryo | Neden önemli: GES fizibilite ve yatırım kararını etkiler | Doğru kullanım: Örnek satır | Örnek: demo satırına bakın | Yanlışsa: NPV/IRR ve karar bozulur | Kaynak: EPDK tarife / saha ölçümü</t>
      </text>
    </comment>
    <comment ref="B7" authorId="0" shapeId="0">
      <text>
        <t>Tanım: Proje_tipi | Neden önemli: GES fizibilite ve yatırım kararını etkiler | Doğru kullanım: Örnek satır | Örnek: demo satırına bakın | Yanlışsa: NPV/IRR ve karar bozulur | Kaynak: EPDK tarife / saha ölçümü</t>
      </text>
    </comment>
    <comment ref="C7" authorId="0" shapeId="0">
      <text>
        <t>Tanım: Kurulu_guc_kWp | Neden önemli: GES fizibilite ve yatırım kararını etkiler | Doğru kullanım: Örnek satır | Örnek: demo satırına bakın | Yanlışsa: NPV/IRR ve karar bozulur | Kaynak: EPDK tarife / saha ölçümü</t>
      </text>
    </comment>
    <comment ref="D7" authorId="0" shapeId="0">
      <text>
        <t>Tanım: Spesifik_uretim | Neden önemli: GES fizibilite ve yatırım kararını etkiler | Doğru kullanım: Örnek satır | Örnek: demo satırına bakın | Yanlışsa: NPV/IRR ve karar bozulur | Kaynak: EPDK tarife / saha ölçümü</t>
      </text>
    </comment>
    <comment ref="E7" authorId="0" shapeId="0">
      <text>
        <t>Tanım: Oz_tuketim | Neden önemli: GES fizibilite ve yatırım kararını etkiler | Doğru kullanım: Örnek satır | Örnek: demo satırına bakın | Yanlışsa: NPV/IRR ve karar bozulur | Kaynak: EPDK tarife / saha ölçümü</t>
      </text>
    </comment>
    <comment ref="F7" authorId="0" shapeId="0">
      <text>
        <t>Tanım: Perakende_tarife | Neden önemli: GES fizibilite ve yatırım kararını etkiler | Doğru kullanım: Örnek satır | Örnek: demo satırına bakın | Yanlışsa: NPV/IRR ve karar bozulur | Kaynak: EPDK tarife / saha ölçümü</t>
      </text>
    </comment>
    <comment ref="G7" authorId="0" shapeId="0">
      <text>
        <t>Tanım: Satis_tarife | Neden önemli: GES fizibilite ve yatırım kararını etkiler | Doğru kullanım: Örnek satır | Örnek: demo satırına bakın | Yanlışsa: NPV/IRR ve karar bozulur | Kaynak: EPDK tarife / saha ölçümü</t>
      </text>
    </comment>
    <comment ref="H7" authorId="0" shapeId="0">
      <text>
        <t>Tanım: Capex_birim | Neden önemli: GES fizibilite ve yatırım kararını etkiler | Doğru kullanım: Örnek satır | Örnek: demo satırına bakın | Yanlışsa: NPV/IRR ve karar bozulur | Kaynak: EPDK tarife / saha ölçümü</t>
      </text>
    </comment>
    <comment ref="I7" authorId="0" shapeId="0">
      <text>
        <t>Tanım: Opex_oran | Neden önemli: GES fizibilite ve yatırım kararını etkiler | Doğru kullanım: Örnek satır | Örnek: demo satırına bakın | Yanlışsa: NPV/IRR ve karar bozulur | Kaynak: EPDK tarife / saha ölçümü</t>
      </text>
    </comment>
    <comment ref="J7" authorId="0" shapeId="0">
      <text>
        <t>Tanım: WACC | Neden önemli: GES fizibilite ve yatırım kararını etkiler | Doğru kullanım: Örnek satır | Örnek: demo satırına bakın | Yanlışsa: NPV/IRR ve karar bozulur | Kaynak: EPDK tarife / saha ölçümü</t>
      </text>
    </comment>
    <comment ref="K7" authorId="0" shapeId="0">
      <text>
        <t>Tanım: Yil | Neden önemli: GES fizibilite ve yatırım kararını etkiler | Doğru kullanım: Örnek satır | Örnek: demo satırına bakın | Yanlışsa: NPV/IRR ve karar bozulur | Kaynak: EPDK tarife / saha ölçümü</t>
      </text>
    </comment>
    <comment ref="A8" authorId="0" shapeId="0">
      <text>
        <t>Tanım: Senaryo | Neden önemli: GES fizibilite ve yatırım kararını etkiler | Doğru kullanım: Örnek satır | Örnek: demo satırına bakın | Yanlışsa: NPV/IRR ve karar bozulur | Kaynak: EPDK tarife / saha ölçümü</t>
      </text>
    </comment>
    <comment ref="B8" authorId="0" shapeId="0">
      <text>
        <t>Tanım: Proje_tipi | Neden önemli: GES fizibilite ve yatırım kararını etkiler | Doğru kullanım: Örnek satır | Örnek: demo satırına bakın | Yanlışsa: NPV/IRR ve karar bozulur | Kaynak: EPDK tarife / saha ölçümü</t>
      </text>
    </comment>
    <comment ref="C8" authorId="0" shapeId="0">
      <text>
        <t>Tanım: Kurulu_guc_kWp | Neden önemli: GES fizibilite ve yatırım kararını etkiler | Doğru kullanım: Örnek satır | Örnek: demo satırına bakın | Yanlışsa: NPV/IRR ve karar bozulur | Kaynak: EPDK tarife / saha ölçümü</t>
      </text>
    </comment>
    <comment ref="D8" authorId="0" shapeId="0">
      <text>
        <t>Tanım: Spesifik_uretim | Neden önemli: GES fizibilite ve yatırım kararını etkiler | Doğru kullanım: Örnek satır | Örnek: demo satırına bakın | Yanlışsa: NPV/IRR ve karar bozulur | Kaynak: EPDK tarife / saha ölçümü</t>
      </text>
    </comment>
    <comment ref="E8" authorId="0" shapeId="0">
      <text>
        <t>Tanım: Oz_tuketim | Neden önemli: GES fizibilite ve yatırım kararını etkiler | Doğru kullanım: Örnek satır | Örnek: demo satırına bakın | Yanlışsa: NPV/IRR ve karar bozulur | Kaynak: EPDK tarife / saha ölçümü</t>
      </text>
    </comment>
    <comment ref="F8" authorId="0" shapeId="0">
      <text>
        <t>Tanım: Perakende_tarife | Neden önemli: GES fizibilite ve yatırım kararını etkiler | Doğru kullanım: Örnek satır | Örnek: demo satırına bakın | Yanlışsa: NPV/IRR ve karar bozulur | Kaynak: EPDK tarife / saha ölçümü</t>
      </text>
    </comment>
    <comment ref="G8" authorId="0" shapeId="0">
      <text>
        <t>Tanım: Satis_tarife | Neden önemli: GES fizibilite ve yatırım kararını etkiler | Doğru kullanım: Örnek satır | Örnek: demo satırına bakın | Yanlışsa: NPV/IRR ve karar bozulur | Kaynak: EPDK tarife / saha ölçümü</t>
      </text>
    </comment>
    <comment ref="H8" authorId="0" shapeId="0">
      <text>
        <t>Tanım: Capex_birim | Neden önemli: GES fizibilite ve yatırım kararını etkiler | Doğru kullanım: Örnek satır | Örnek: demo satırına bakın | Yanlışsa: NPV/IRR ve karar bozulur | Kaynak: EPDK tarife / saha ölçümü</t>
      </text>
    </comment>
    <comment ref="I8" authorId="0" shapeId="0">
      <text>
        <t>Tanım: Opex_oran | Neden önemli: GES fizibilite ve yatırım kararını etkiler | Doğru kullanım: Örnek satır | Örnek: demo satırına bakın | Yanlışsa: NPV/IRR ve karar bozulur | Kaynak: EPDK tarife / saha ölçümü</t>
      </text>
    </comment>
    <comment ref="J8" authorId="0" shapeId="0">
      <text>
        <t>Tanım: WACC | Neden önemli: GES fizibilite ve yatırım kararını etkiler | Doğru kullanım: Örnek satır | Örnek: demo satırına bakın | Yanlışsa: NPV/IRR ve karar bozulur | Kaynak: EPDK tarife / saha ölçümü</t>
      </text>
    </comment>
    <comment ref="K8" authorId="0" shapeId="0">
      <text>
        <t>Tanım: Yil | Neden önemli: GES fizibilite ve yatırım kararını etkiler | Doğru kullanım: Örnek satır | Örnek: demo satırına bakın | Yanlışsa: NPV/IRR ve karar bozulur | Kaynak: EPDK tarife / saha ölçümü</t>
      </text>
    </comment>
    <comment ref="A9" authorId="0" shapeId="0">
      <text>
        <t>Tanım: Senaryo | Neden önemli: GES fizibilite ve yatırım kararını etkiler | Doğru kullanım: Örnek satır | Örnek: demo satırına bakın | Yanlışsa: NPV/IRR ve karar bozulur | Kaynak: EPDK tarife / saha ölçümü</t>
      </text>
    </comment>
    <comment ref="B9" authorId="0" shapeId="0">
      <text>
        <t>Tanım: Proje_tipi | Neden önemli: GES fizibilite ve yatırım kararını etkiler | Doğru kullanım: Örnek satır | Örnek: demo satırına bakın | Yanlışsa: NPV/IRR ve karar bozulur | Kaynak: EPDK tarife / saha ölçümü</t>
      </text>
    </comment>
    <comment ref="C9" authorId="0" shapeId="0">
      <text>
        <t>Tanım: Kurulu_guc_kWp | Neden önemli: GES fizibilite ve yatırım kararını etkiler | Doğru kullanım: Örnek satır | Örnek: demo satırına bakın | Yanlışsa: NPV/IRR ve karar bozulur | Kaynak: EPDK tarife / saha ölçümü</t>
      </text>
    </comment>
    <comment ref="D9" authorId="0" shapeId="0">
      <text>
        <t>Tanım: Spesifik_uretim | Neden önemli: GES fizibilite ve yatırım kararını etkiler | Doğru kullanım: Örnek satır | Örnek: demo satırına bakın | Yanlışsa: NPV/IRR ve karar bozulur | Kaynak: EPDK tarife / saha ölçümü</t>
      </text>
    </comment>
    <comment ref="E9" authorId="0" shapeId="0">
      <text>
        <t>Tanım: Oz_tuketim | Neden önemli: GES fizibilite ve yatırım kararını etkiler | Doğru kullanım: Örnek satır | Örnek: demo satırına bakın | Yanlışsa: NPV/IRR ve karar bozulur | Kaynak: EPDK tarife / saha ölçümü</t>
      </text>
    </comment>
    <comment ref="F9" authorId="0" shapeId="0">
      <text>
        <t>Tanım: Perakende_tarife | Neden önemli: GES fizibilite ve yatırım kararını etkiler | Doğru kullanım: Örnek satır | Örnek: demo satırına bakın | Yanlışsa: NPV/IRR ve karar bozulur | Kaynak: EPDK tarife / saha ölçümü</t>
      </text>
    </comment>
    <comment ref="G9" authorId="0" shapeId="0">
      <text>
        <t>Tanım: Satis_tarife | Neden önemli: GES fizibilite ve yatırım kararını etkiler | Doğru kullanım: Örnek satır | Örnek: demo satırına bakın | Yanlışsa: NPV/IRR ve karar bozulur | Kaynak: EPDK tarife / saha ölçümü</t>
      </text>
    </comment>
    <comment ref="H9" authorId="0" shapeId="0">
      <text>
        <t>Tanım: Capex_birim | Neden önemli: GES fizibilite ve yatırım kararını etkiler | Doğru kullanım: Örnek satır | Örnek: demo satırına bakın | Yanlışsa: NPV/IRR ve karar bozulur | Kaynak: EPDK tarife / saha ölçümü</t>
      </text>
    </comment>
    <comment ref="I9" authorId="0" shapeId="0">
      <text>
        <t>Tanım: Opex_oran | Neden önemli: GES fizibilite ve yatırım kararını etkiler | Doğru kullanım: Örnek satır | Örnek: demo satırına bakın | Yanlışsa: NPV/IRR ve karar bozulur | Kaynak: EPDK tarife / saha ölçümü</t>
      </text>
    </comment>
    <comment ref="J9" authorId="0" shapeId="0">
      <text>
        <t>Tanım: WACC | Neden önemli: GES fizibilite ve yatırım kararını etkiler | Doğru kullanım: Örnek satır | Örnek: demo satırına bakın | Yanlışsa: NPV/IRR ve karar bozulur | Kaynak: EPDK tarife / saha ölçümü</t>
      </text>
    </comment>
    <comment ref="K9" authorId="0" shapeId="0">
      <text>
        <t>Tanım: Yil | Neden önemli: GES fizibilite ve yatırım kararını etkiler | Doğru kullanım: Örnek satır | Örnek: demo satırına bakın | Yanlışsa: NPV/IRR ve karar bozulur | Kaynak: EPDK tarife / saha ölçümü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GES fizibilite ve yatırım kararını etkiler | Doğru kullanım: Aktif hesap yılı | Örnek: demo satırına bakın | Yanlışsa: NPV/IRR ve karar bozulur | Kaynak: EPDK tarife / saha ölçümü</t>
      </text>
    </comment>
    <comment ref="B7" authorId="0" shapeId="0">
      <text>
        <t>Tanım: raporTarihi | Neden önemli: GES fizibilite ve yatırım kararını etkiler | Doğru kullanım: Rapor tarihi | Örnek: demo satırına bakın | Yanlışsa: NPV/IRR ve karar bozulur | Kaynak: EPDK tarife / saha ölçümü</t>
      </text>
    </comment>
    <comment ref="B8" authorId="0" shapeId="0">
      <text>
        <t>Tanım: gyf_tolerans | Neden önemli: GES fizibilite ve yatırım kararını etkiler | Doğru kullanım: Vaka tutarlılık toleransı | Örnek: demo satırına bakın | Yanlışsa: NPV/IRR ve karar bozulur | Kaynak: EPDK tarife / saha ölçümü</t>
      </text>
    </comment>
    <comment ref="B9" authorId="0" shapeId="0">
      <text>
        <t>Tanım: gyf_azamiEsik | Neden önemli: GES fizibilite ve yatırım kararını etkiler | Doğru kullanım: Azami giriş eşiği | Örnek: demo satırına bakın | Yanlışsa: NPV/IRR ve karar bozulur | Kaynak: EPDK tarife / saha ölçümü</t>
      </text>
    </comment>
    <comment ref="B10" authorId="0" shapeId="0">
      <text>
        <t>Tanım: gyf_senaryoIyi | Neden önemli: GES fizibilite ve yatırım kararını etkiler | Doğru kullanım: İyimser üretim çarpanı | Örnek: demo satırına bakın | Yanlışsa: NPV/IRR ve karar bozulur | Kaynak: EPDK tarife / saha ölçümü</t>
      </text>
    </comment>
    <comment ref="B11" authorId="0" shapeId="0">
      <text>
        <t>Tanım: gyf_senaryoKotu | Neden önemli: GES fizibilite ve yatırım kararını etkiler | Doğru kullanım: Kötümser üretim çarpanı | Örnek: demo satırına bakın | Yanlışsa: NPV/IRR ve karar bozulur | Kaynak: EPDK tarife / saha ölçümü</t>
      </text>
    </comment>
    <comment ref="B12" authorId="0" shapeId="0">
      <text>
        <t>Tanım: gyf_tarifeKotu | Neden önemli: GES fizibilite ve yatırım kararını etkiler | Doğru kullanım: Kötümser tarife çarpanı | Örnek: demo satırına bakın | Yanlışsa: NPV/IRR ve karar bozulur | Kaynak: EPDK tarife / saha ölçümü</t>
      </text>
    </comment>
    <comment ref="B13" authorId="0" shapeId="0">
      <text>
        <t>Tanım: gyf_capexIyi | Neden önemli: GES fizibilite ve yatırım kararını etkiler | Doğru kullanım: İyimser CAPEX çarpanı | Örnek: demo satırına bakın | Yanlışsa: NPV/IRR ve karar bozulur | Kaynak: EPDK tarife / saha ölçümü</t>
      </text>
    </comment>
    <comment ref="B14" authorId="0" shapeId="0">
      <text>
        <t>Tanım: gyf_capexKotu | Neden önemli: GES fizibilite ve yatırım kararını etkiler | Doğru kullanım: Kötümser CAPEX çarpanı | Örnek: demo satırına bakın | Yanlışsa: NPV/IRR ve karar bozulur | Kaynak: EPDK tarife / saha ölçümü</t>
      </text>
    </comment>
    <comment ref="B15" authorId="0" shapeId="0">
      <text>
        <t>Tanım: gyf_opexKotu | Neden önemli: GES fizibilite ve yatırım kararını etkiler | Doğru kullanım: Kötümser OPEX çarpanı | Örnek: demo satırına bakın | Yanlışsa: NPV/IRR ve karar bozulur | Kaynak: EPDK tarife / saha ölçümü</t>
      </text>
    </comment>
    <comment ref="B16" authorId="0" shapeId="0">
      <text>
        <t>Tanım: gyf_tahminAlt | Neden önemli: GES fizibilite ve yatırım kararını etkiler | Doğru kullanım: Tahmin alt bant | Örnek: demo satırına bakın | Yanlışsa: NPV/IRR ve karar bozulur | Kaynak: EPDK tarife / saha ölçümü</t>
      </text>
    </comment>
    <comment ref="B17" authorId="0" shapeId="0">
      <text>
        <t>Tanım: gyf_tahminUst | Neden önemli: GES fizibilite ve yatırım kararını etkiler | Doğru kullanım: Tahmin üst bant | Örnek: demo satırına bakın | Yanlışsa: NPV/IRR ve karar bozulur | Kaynak: EPDK tarife / saha ölçümü</t>
      </text>
    </comment>
    <comment ref="B18" authorId="0" shapeId="0">
      <text>
        <t>Tanım: gyf_tornadoTarife | Neden önemli: GES fizibilite ve yatırım kararını etkiler | Doğru kullanım: Tornado tarife şoku | Örnek: demo satırına bakın | Yanlışsa: NPV/IRR ve karar bozulur | Kaynak: EPDK tarife / saha ölçümü</t>
      </text>
    </comment>
    <comment ref="B19" authorId="0" shapeId="0">
      <text>
        <t>Tanım: gyf_tornadoUretim | Neden önemli: GES fizibilite ve yatırım kararını etkiler | Doğru kullanım: Tornado üretim şoku | Örnek: demo satırına bakın | Yanlışsa: NPV/IRR ve karar bozulur | Kaynak: EPDK tarife / saha ölçümü</t>
      </text>
    </comment>
    <comment ref="B20" authorId="0" shapeId="0">
      <text>
        <t>Tanım: gyf_tornadoCapex | Neden önemli: GES fizibilite ve yatırım kararını etkiler | Doğru kullanım: Tornado CAPEX şoku | Örnek: demo satırına bakın | Yanlışsa: NPV/IRR ve karar bozulur | Kaynak: EPDK tarife / saha ölçümü</t>
      </text>
    </comment>
    <comment ref="B21" authorId="0" shapeId="0">
      <text>
        <t>Tanım: gyf_tornadoOpex | Neden önemli: GES fizibilite ve yatırım kararını etkiler | Doğru kullanım: Tornado OPEX şoku | Örnek: demo satırına bakın | Yanlışsa: NPV/IRR ve karar bozulur | Kaynak: EPDK tarife / saha ölçümü</t>
      </text>
    </comment>
    <comment ref="B22" authorId="0" shapeId="0">
      <text>
        <t>Tanım: gyf_tornadoWacc | Neden önemli: GES fizibilite ve yatırım kararını etkiler | Doğru kullanım: Tornado WACC şoku | Örnek: demo satırına bakın | Yanlışsa: NPV/IRR ve karar bozulur | Kaynak: EPDK tarife / saha ölçümü</t>
      </text>
    </comment>
    <comment ref="B23" authorId="0" shapeId="0">
      <text>
        <t>Tanım: gyf_yuzdelikOran | Neden önemli: GES fizibilite ve yatırım kararını etkiler | Doğru kullanım: Yüzdelik P90 | Örnek: demo satırına bakın | Yanlışsa: NPV/IRR ve karar bozulur | Kaynak: EPDK tarife / saha ölçümü</t>
      </text>
    </comment>
    <comment ref="B24" authorId="0" shapeId="0">
      <text>
        <t>Tanım: gyf_parmakIzi | Neden önemli: GES fizibilite ve yatırım kararını etkiler | Doğru kullanım: Dosya parmak izi | Örnek: demo satırına bakın | Yanlışsa: NPV/IRR ve karar bozulur | Kaynak: EPDK tarife / saha ölçümü</t>
      </text>
    </comment>
    <comment ref="B25" authorId="0" shapeId="0">
      <text>
        <t>Tanım: dosya_surumu | Neden önemli: GES fizibilite ve yatırım kararını etkiler | Doğru kullanım: Ürün sürümü | Örnek: demo satırına bakın | Yanlışsa: NPV/IRR ve karar bozulur | Kaynak: EPDK tarife / saha ölçümü</t>
      </text>
    </comment>
    <comment ref="B26" authorId="0" shapeId="0">
      <text>
        <t>Tanım: gyf_girisBeklenen | Neden önemli: GES fizibilite ve yatırım kararını etkiler | Doğru kullanım: Zorunlu giriş sayısı | Örnek: demo satırına bakın | Yanlışsa: NPV/IRR ve karar bozulur | Kaynak: EPDK tarife / saha ölçümü</t>
      </text>
    </comment>
    <comment ref="B27" authorId="0" shapeId="0">
      <text>
        <t>Tanım: gyf_riskDusuk | Neden önemli: GES fizibilite ve yatırım kararını etkiler | Doğru kullanım: YAPILIR risk skoru | Örnek: demo satırına bakın | Yanlışsa: NPV/IRR ve karar bozulur | Kaynak: EPDK tarife / saha ölçümü</t>
      </text>
    </comment>
    <comment ref="B28" authorId="0" shapeId="0">
      <text>
        <t>Tanım: gyf_riskOrta | Neden önemli: GES fizibilite ve yatırım kararını etkiler | Doğru kullanım: DİKKAT risk skoru | Örnek: demo satırına bakın | Yanlışsa: NPV/IRR ve karar bozulur | Kaynak: EPDK tarife / saha ölçümü</t>
      </text>
    </comment>
    <comment ref="B29" authorId="0" shapeId="0">
      <text>
        <t>Tanım: gyf_riskYuksek | Neden önemli: GES fizibilite ve yatırım kararını etkiler | Doğru kullanım: YAPMA risk skoru | Örnek: demo satırına bakın | Yanlışsa: NPV/IRR ve karar bozulur | Kaynak: EPDK tarife / saha ölçümü</t>
      </text>
    </comment>
    <comment ref="B30" authorId="0" shapeId="0">
      <text>
        <t>Tanım: gyf_yilTaban | Neden önemli: GES fizibilite ve yatırım kararını etkiler | Doğru kullanım: CHOOSE yıl tabanı | Örnek: demo satırına bakın | Yanlışsa: NPV/IRR ve karar bozulur | Kaynak: EPDK tarife / saha ölçümü</t>
      </text>
    </comment>
    <comment ref="B31" authorId="0" shapeId="0">
      <text>
        <t>Tanım: gyf_yuvarMax | Neden önemli: GES fizibilite ve yatırım kararını etkiler | Doğru kullanım: ROUND basamak tavanı | Örnek: demo satırına bakın | Yanlışsa: NPV/IRR ve karar bozulur | Kaynak: EPDK tarife / saha ölçümü</t>
      </text>
    </comment>
    <comment ref="B32" authorId="0" shapeId="0">
      <text>
        <t>Tanım: gyf_bazCarpan | Neden önemli: GES fizibilite ve yatırım kararını etkiler | Doğru kullanım: Baz senaryo çarpanı | Örnek: demo satırına bakın | Yanlışsa: NPV/IRR ve karar bozulur | Kaynak: EPDK tarife / saha ölçümü</t>
      </text>
    </comment>
    <comment ref="B33" authorId="0" shapeId="0">
      <text>
        <t>Tanım: gyf_sifirCarpan | Neden önemli: GES fizibilite ve yatırım kararını etkiler | Doğru kullanım: Nötr çarpan | Örnek: demo satırına bakın | Yanlışsa: NPV/IRR ve karar bozulur | Kaynak: EPDK tarife / saha ölçümü</t>
      </text>
    </comment>
    <comment ref="B34" authorId="0" shapeId="0">
      <text>
        <t>Tanım: gyf_siraBir | Neden önemli: GES fizibilite ve yatırım kararını etkiler | Doğru kullanım: Tornado sıra 1 | Örnek: demo satırına bakın | Yanlışsa: NPV/IRR ve karar bozulur | Kaynak: EPDK tarife / saha ölçümü</t>
      </text>
    </comment>
    <comment ref="B35" authorId="0" shapeId="0">
      <text>
        <t>Tanım: gyf_siraIki | Neden önemli: GES fizibilite ve yatırım kararını etkiler | Doğru kullanım: Tornado sıra 2 | Örnek: demo satırına bakın | Yanlışsa: NPV/IRR ve karar bozulur | Kaynak: EPDK tarife / saha ölçümü</t>
      </text>
    </comment>
    <comment ref="B36" authorId="0" shapeId="0">
      <text>
        <t>Tanım: gyf_siraUc | Neden önemli: GES fizibilite ve yatırım kararını etkiler | Doğru kullanım: Tornado sıra 3 | Örnek: demo satırına bakın | Yanlışsa: NPV/IRR ve karar bozulur | Kaynak: EPDK tarife / saha ölçümü</t>
      </text>
    </comment>
    <comment ref="B37" authorId="0" shapeId="0">
      <text>
        <t>Tanım: gyf_dikkatCarpan | Neden önemli: GES fizibilite ve yatırım kararını etkiler | Doğru kullanım: Geri ödeme dikkat çarpanı | Örnek: demo satırına bakın | Yanlışsa: NPV/IRR ve karar bozulur | Kaynak: EPDK tarife / saha ölçümü</t>
      </text>
    </comment>
    <comment ref="B38" authorId="0" shapeId="0">
      <text>
        <t>Tanım: gyf_npvDikkat | Neden önemli: GES fizibilite ve yatırım kararını etkiler | Doğru kullanım: NPV dikkat eşiği | Örnek: demo satırına bakın | Yanlışsa: NPV/IRR ve karar bozulur | Kaynak: EPDK tarife / saha ölçümü</t>
      </text>
    </comment>
    <comment ref="B39" authorId="0" shapeId="0">
      <text>
        <t>Tanım: gyf_geriOdemeSonsuz | Neden önemli: GES fizibilite ve yatırım kararını etkiler | Doğru kullanım: Geri ödeme tanımsız işaret | Örnek: demo satırına bakın | Yanlışsa: NPV/IRR ve karar bozulur | Kaynak: EPDK tarife / saha ölçümü</t>
      </text>
    </comment>
    <comment ref="B40" authorId="0" shapeId="0">
      <text>
        <t>Tanım: vaka_capex | Neden önemli: GES fizibilite ve yatırım kararını etkiler | Doğru kullanım: Vaka CAPEX | Örnek: demo satırına bakın | Yanlışsa: NPV/IRR ve karar bozulur | Kaynak: EPDK tarife / saha ölçümü</t>
      </text>
    </comment>
    <comment ref="B41" authorId="0" shapeId="0">
      <text>
        <t>Tanım: vaka_uretim | Neden önemli: GES fizibilite ve yatırım kararını etkiler | Doğru kullanım: Vaka üretim | Örnek: demo satırına bakın | Yanlışsa: NPV/IRR ve karar bozulur | Kaynak: EPDK tarife / saha ölçümü</t>
      </text>
    </comment>
    <comment ref="B42" authorId="0" shapeId="0">
      <text>
        <t>Tanım: vaka_oz | Neden önemli: GES fizibilite ve yatırım kararını etkiler | Doğru kullanım: Vaka öz tüketim | Örnek: demo satırına bakın | Yanlışsa: NPV/IRR ve karar bozulur | Kaynak: EPDK tarife / saha ölçümü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14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30:F1029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arsayimlar" displayName="tblVarsayimlar" ref="A5:H15" headerRowCount="1">
  <tableColumns count="8">
    <tableColumn id="1" name="varsayim_id"/>
    <tableColumn id="2" name="aciklama"/>
    <tableColumn id="3" name="deger"/>
    <tableColumn id="4" name="birim"/>
    <tableColumn id="5" name="kaynak"/>
    <tableColumn id="6" name="guven"/>
    <tableColumn id="7" name="duyarlilik"/>
    <tableColumn id="8" name="kontrol">
      <calculatedColumnFormula>=IF(tblVarsayimlar[[#This Row],[varsayim_id]]="","",IF(OR(tblVarsayimlar[[#This Row],[kaynak]]="",tblVarsayimlar[[#This Row],[guven]]=""),"EKSİK","TAM"))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Row],[kural_id]]="","",IFERROR(CHOOSE(MAX(1,MIN(3,IF(OR(hesapYili="",hesapYili=0),1,hesapYili-gyf_yilTaban))),tblKurallar[[#This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L1004" headerRowCount="1">
  <tableColumns count="12">
    <tableColumn id="1" name="Senaryo"/>
    <tableColumn id="2" name="Proje_tipi"/>
    <tableColumn id="3" name="Kurulu_guc_kWp"/>
    <tableColumn id="4" name="Spesifik_uretim"/>
    <tableColumn id="5" name="Oz_tuketim"/>
    <tableColumn id="6" name="Perakende_tarife"/>
    <tableColumn id="7" name="Satis_tarife"/>
    <tableColumn id="8" name="Capex_birim"/>
    <tableColumn id="9" name="Opex_oran"/>
    <tableColumn id="10" name="WACC"/>
    <tableColumn id="11" name="Yil"/>
    <tableColumn id="12" name="Durum">
      <calculatedColumnFormula>=IF(tblOrnek[[#This Row],[Senaryo]]="","",IF(tblOrnek[[#This Row],[Kurulu_guc_kWp]]="","EKSİK","TAM"))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EXCELARŞİV KARAR SİSTEMİ v15.1 — ÜRETİM REFERANSI</t>
        </is>
      </c>
    </row>
    <row r="3" ht="24" customHeight="1">
      <c r="A3" s="174" t="inlineStr">
        <is>
          <t>Konu</t>
        </is>
      </c>
      <c r="B3" s="174" t="inlineStr">
        <is>
          <t>Bağlayıcı Standart</t>
        </is>
      </c>
    </row>
    <row r="4">
      <c r="A4" s="175" t="inlineStr">
        <is>
          <t>Amaç</t>
        </is>
      </c>
      <c r="B4" s="176" t="inlineStr">
        <is>
          <t>Kanıta dayalı, hatada kapalı çalışan Excel üretim ve denetim sistemi</t>
        </is>
      </c>
    </row>
    <row r="5">
      <c r="A5" s="175" t="inlineStr">
        <is>
          <t>Öncelik</t>
        </is>
      </c>
      <c r="B5" s="176" t="inlineStr">
        <is>
          <t>Kullanıcının açık iş talebi ve gerçek kullanım senaryosu</t>
        </is>
      </c>
    </row>
    <row r="6">
      <c r="A6" s="175" t="inlineStr">
        <is>
          <t>Ana akış</t>
        </is>
      </c>
      <c r="B6" s="176" t="inlineStr">
        <is>
          <t>Uygunluk → Yönetişim → Sözleşmeler → Üretim → Test → Kanıt → Kullanıcı Kabulü → Yayın</t>
        </is>
      </c>
    </row>
    <row r="7">
      <c r="A7" s="175" t="inlineStr">
        <is>
          <t>Yayın ilkesi</t>
        </is>
      </c>
      <c r="B7" s="176" t="inlineStr">
        <is>
          <t>Üst aşamada hata varsa alt aşama GEÇTİ üretilemez</t>
        </is>
      </c>
    </row>
    <row r="8">
      <c r="A8" s="175" t="inlineStr">
        <is>
          <t>Kullanıcı kabulü</t>
        </is>
      </c>
      <c r="B8" s="176" t="inlineStr">
        <is>
          <t>Excel masaüstü görünümü test edilmediyse DIŞ_KABUL_GEREKLİ</t>
        </is>
      </c>
    </row>
    <row r="9">
      <c r="A9" s="175" t="inlineStr">
        <is>
          <t>Nihai yayın</t>
        </is>
      </c>
      <c r="B9" s="176" t="inlineStr">
        <is>
          <t>Yalnız uygulanabilir modüller GEÇTİ veya gerekçeli UYGULANMAZ</t>
        </is>
      </c>
    </row>
    <row r="10">
      <c r="A10" s="175" t="inlineStr">
        <is>
          <t>Ticari ayrım</t>
        </is>
      </c>
      <c r="B10" s="176" t="inlineStr">
        <is>
          <t>Ekonomik olarak savunulabilir fiyat, gerçek pazar kabulü ile aynı değildir</t>
        </is>
      </c>
    </row>
    <row r="11">
      <c r="A11" s="175" t="inlineStr">
        <is>
          <t>Karmaşıklık</t>
        </is>
      </c>
      <c r="B11" s="176" t="inlineStr">
        <is>
          <t>Karar değeri, eklenen karmaşıklığın maliyetinden büyük olmalıdır</t>
        </is>
      </c>
    </row>
    <row r="12">
      <c r="A12" s="175" t="inlineStr">
        <is>
          <t>Excel sınırı</t>
        </is>
      </c>
      <c r="B12" s="176" t="inlineStr">
        <is>
          <t>Veritabanı, kurumsal yetkilendirme, değiştirilemez kayıt sistemi veya gerçek zamanlı olay platformu değildir</t>
        </is>
      </c>
    </row>
    <row r="13">
      <c r="A13" s="175" t="inlineStr">
        <is>
          <t>Dil standardı</t>
        </is>
      </c>
      <c r="B13" s="176" t="inlineStr">
        <is>
          <t>Kullanıcıya görünen tüm sayfa, tablo, başlık, açıklama, uyarı ve karar metinleri saf Türkçe olmalıdır</t>
        </is>
      </c>
    </row>
    <row r="14">
      <c r="A14" s="175" t="inlineStr">
        <is>
          <t>Muhasebe standardı</t>
        </is>
      </c>
      <c r="B14" s="176" t="inlineStr">
        <is>
          <t>Finansal ürünlerde Türkiye Tekdüzen Hesap Planı ve Türk muhasebe kullanım alışkanlıkları esas alınır</t>
        </is>
      </c>
    </row>
    <row r="15">
      <c r="A15" s="175" t="inlineStr">
        <is>
          <t>Görsel standart</t>
        </is>
      </c>
      <c r="B15" s="176" t="inlineStr">
        <is>
          <t>Her sayfa başlıklı, renk kodlu, sıkı kolon düzenli ve premium kurumsal görünümde olmalıdır</t>
        </is>
      </c>
    </row>
    <row r="16">
      <c r="A16" s="175" t="inlineStr">
        <is>
          <t>Grafik standardı</t>
        </is>
      </c>
      <c r="B16" s="176" t="inlineStr">
        <is>
          <t>Grafikler karar üretmeli; dekoratif, 3B, anlamsız renkli veya varsayılan Excel grafiği kullanılamaz</t>
        </is>
      </c>
    </row>
    <row r="17">
      <c r="A17" s="175" t="inlineStr">
        <is>
          <t>Hata standardı</t>
        </is>
      </c>
      <c r="B17" s="176" t="inlineStr">
        <is>
          <t>#AD? / #BAŞV! / #DEĞER! / #SAYI/0! / #YOK gibi hatalar GEÇTİ sonucuyla birlikte bulunamaz</t>
        </is>
      </c>
    </row>
    <row r="18">
      <c r="A18" s="175" t="inlineStr">
        <is>
          <t>Karar standardı</t>
        </is>
      </c>
      <c r="B18" s="176" t="inlineStr">
        <is>
          <t>Her kritik çıktı: ne oldu, neden oldu, parasal etki, ne yapılmalı, ne zamana kadar sorularını cevaplar</t>
        </is>
      </c>
    </row>
    <row r="19">
      <c r="A19" s="175" t="inlineStr">
        <is>
          <t>Satış standardı</t>
        </is>
      </c>
      <c r="B19" s="176" t="inlineStr">
        <is>
          <t>Ürün 5 saniyede anlaşılmalı; pahalı problemi, ekonomik sonucu, kanıtı ve satın alma gerekçesini göstermelidir</t>
        </is>
      </c>
    </row>
    <row r="20">
      <c r="A20" s="175" t="inlineStr">
        <is>
          <t>Güven standardı</t>
        </is>
      </c>
      <c r="B20" s="176" t="inlineStr">
        <is>
          <t>Kanıtsız 'premium', 'kusursuz', 'sıfır hata' veya yüksek fiyat iddiası kullanılamaz</t>
        </is>
      </c>
    </row>
    <row r="21">
      <c r="A21" s="175" t="inlineStr">
        <is>
          <t>Kaynak</t>
        </is>
      </c>
      <c r="B21" s="176" t="inlineStr">
        <is>
          <t>Teknik Python çekirdeği 99_TEKNIK_KAYNAK sayfasında saklanır; kullanıcı arayüzü değildir</t>
        </is>
      </c>
    </row>
    <row r="22">
      <c r="A22" s="175" t="inlineStr">
        <is>
          <t>Bağlayıcı standart</t>
        </is>
      </c>
      <c r="B22" s="176" t="inlineStr">
        <is>
          <t>Teknik kaynak içindeki üretim sözleşmesi + bu çalışma kitabındaki Türkçe operasyon standartları</t>
        </is>
      </c>
    </row>
    <row r="23">
      <c r="A23" s="175" t="inlineStr">
        <is>
          <t>Çıktı disiplini</t>
        </is>
      </c>
      <c r="B23" s="176" t="inlineStr">
        <is>
          <t>Kanıtsız GEÇTİ / NİHAİ / TİCARİ / PAZAR_DOĞRULANDI statüsü yasaktır</t>
        </is>
      </c>
    </row>
    <row r="24">
      <c r="A24" s="175" t="inlineStr">
        <is>
          <t>Uyarlanabilirlik</t>
        </is>
      </c>
      <c r="B24" s="176" t="inlineStr">
        <is>
          <t>Gereksiz modül yalnız prestij amacıyla eklenmez</t>
        </is>
      </c>
    </row>
    <row r="26" ht="16" customHeight="1">
      <c r="A26" s="177" t="inlineStr">
        <is>
          <t>TEK KAYNAK MİMARİSİ</t>
        </is>
      </c>
      <c r="B26" s="177" t="inlineStr">
        <is>
          <t>İKİ DOSYALI / TEK SİSTEM</t>
        </is>
      </c>
    </row>
    <row r="27" ht="28" customHeight="1">
      <c r="A27" s="176" t="inlineStr">
        <is>
          <t>MASTER Excel</t>
        </is>
      </c>
      <c r="B27" s="176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6" t="inlineStr">
        <is>
          <t>Runtime Python</t>
        </is>
      </c>
      <c r="B28" s="176" t="inlineStr">
        <is>
          <t>EXCELARSIV_DECISION_OS_V15_1_RUNTIME_KERNEL.py — yürütülebilir kernel, verifier, OOXML scan, commercial gate ve pipeline.</t>
        </is>
      </c>
    </row>
    <row r="29">
      <c r="A29" s="176" t="inlineStr">
        <is>
          <t>Python SHA-256</t>
        </is>
      </c>
      <c r="B29" s="176" t="inlineStr">
        <is>
          <t>babe066ab599199123e53d01944bcd9d75648a579ade69ab9303dd675962f481</t>
        </is>
      </c>
    </row>
    <row r="30">
      <c r="A30" s="176" t="inlineStr">
        <is>
          <t>Sürüm Eşleşmesi</t>
        </is>
      </c>
      <c r="B30" s="176" t="inlineStr">
        <is>
          <t>Her iki dosya v15.1 sistemine aittir. Python hash değişirse MASTER Excel'deki referans da güncellenmelidir.</t>
        </is>
      </c>
    </row>
    <row r="31" ht="28" customHeight="1">
      <c r="A31" s="176" t="inlineStr">
        <is>
          <t>Sahte PASS Yasağı</t>
        </is>
      </c>
      <c r="B31" s="176" t="inlineStr">
        <is>
          <t>Kanıt yoksa PASS yok; hata=FAIL, ölçülemiyorsa=BLOCKED, Excel GUI gerekiyorsa=HARİCİ KABUL GEREKLİ.</t>
        </is>
      </c>
    </row>
    <row r="32">
      <c r="A32" s="176" t="inlineStr">
        <is>
          <t>Dil</t>
        </is>
      </c>
      <c r="B32" s="176" t="inlineStr">
        <is>
          <t>Kullanıcı yüzeyi safkan Türkçe; teknik kavramların Türkçe karşılığı ana terimdir.</t>
        </is>
      </c>
    </row>
    <row r="33">
      <c r="A33" s="176" t="inlineStr">
        <is>
          <t>Muhasebe</t>
        </is>
      </c>
      <c r="B33" s="176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28" t="inlineStr">
        <is>
          <t>☰ PANO</t>
        </is>
      </c>
    </row>
    <row r="2" ht="28" customHeight="1">
      <c r="B2" s="229" t="inlineStr">
        <is>
          <t>GES YATIRIM FIZIBILITE SIMÜLATÖRÜ</t>
        </is>
      </c>
      <c r="L2" s="230" t="inlineStr">
        <is>
          <t>Dönem: 2026 / Tam ▼</t>
        </is>
      </c>
      <c r="M2" s="231" t="inlineStr">
        <is>
          <t>★ DOĞRULANMIŞ</t>
        </is>
      </c>
    </row>
    <row r="3" ht="18" customHeight="1">
      <c r="B3" s="232" t="inlineStr">
        <is>
          <t>Hedef Kullanıcı: GES yatırımcısı, tesis müdürü, CFO, enerji danışmanı · 2026 Q3 Denetim Standardı</t>
        </is>
      </c>
    </row>
    <row r="4" ht="10" customHeight="1"/>
    <row r="5" ht="20" customHeight="1">
      <c r="B5" s="233" t="inlineStr">
        <is>
          <t>YILLIK TAHMİNİ ÜRETİM GELİRİ</t>
        </is>
      </c>
      <c r="C5" s="234" t="n"/>
      <c r="D5" s="235" t="inlineStr">
        <is>
          <t>MWh PROJEKSİYON</t>
        </is>
      </c>
      <c r="E5" s="236" t="inlineStr">
        <is>
          <t>İŞLETME VE BAKIM (OPEX)</t>
        </is>
      </c>
      <c r="F5" s="234" t="n"/>
      <c r="G5" s="237" t="inlineStr">
        <is>
          <t>YILLIK</t>
        </is>
      </c>
      <c r="H5" s="238" t="inlineStr">
        <is>
          <t>NET OPERASYONEL GETİRİ</t>
        </is>
      </c>
      <c r="I5" s="234" t="n"/>
      <c r="J5" s="239" t="inlineStr">
        <is>
          <t>EBITDA</t>
        </is>
      </c>
      <c r="K5" s="240" t="inlineStr">
        <is>
          <t>PROJE İÇ VERİM ORANI (IRR)</t>
        </is>
      </c>
      <c r="L5" s="234" t="n"/>
      <c r="M5" s="241" t="inlineStr">
        <is>
          <t>IRR: %24.2</t>
        </is>
      </c>
    </row>
    <row r="6" ht="6" customHeight="1">
      <c r="B6" s="242" t="n"/>
      <c r="C6" s="243" t="n"/>
      <c r="D6" s="244" t="n"/>
      <c r="E6" s="245" t="n"/>
      <c r="F6" s="243" t="n"/>
      <c r="G6" s="244" t="n"/>
      <c r="H6" s="246" t="n"/>
      <c r="I6" s="243" t="n"/>
      <c r="J6" s="244" t="n"/>
      <c r="K6" s="247" t="n"/>
      <c r="L6" s="243" t="n"/>
      <c r="M6" s="244" t="n"/>
    </row>
    <row r="7" ht="32" customHeight="1">
      <c r="B7" s="248">
        <f>GİRDİLER!E17</f>
        <v/>
      </c>
      <c r="C7" s="243" t="n"/>
      <c r="D7" s="244" t="n"/>
      <c r="E7" s="249">
        <f>B7*0.22</f>
        <v/>
      </c>
      <c r="F7" s="243" t="n"/>
      <c r="G7" s="244" t="n"/>
      <c r="H7" s="250">
        <f>B7-E7</f>
        <v/>
      </c>
      <c r="I7" s="243" t="n"/>
      <c r="J7" s="244" t="n"/>
      <c r="K7" s="251">
        <f>IF(E7&gt;0, ROUND(B7/E7, 2), 0)</f>
        <v/>
      </c>
      <c r="L7" s="243" t="n"/>
      <c r="M7" s="244" t="n"/>
    </row>
    <row r="8" ht="6" customHeight="1">
      <c r="B8" s="242" t="n"/>
      <c r="C8" s="243" t="n"/>
      <c r="D8" s="244" t="n"/>
      <c r="E8" s="245" t="n"/>
      <c r="F8" s="243" t="n"/>
      <c r="G8" s="244" t="n"/>
      <c r="H8" s="246" t="n"/>
      <c r="I8" s="243" t="n"/>
      <c r="J8" s="244" t="n"/>
      <c r="K8" s="247" t="n"/>
      <c r="L8" s="243" t="n"/>
      <c r="M8" s="244" t="n"/>
    </row>
    <row r="9" ht="18" customHeight="1">
      <c r="B9" s="252" t="inlineStr">
        <is>
          <t>↑ %14.2 konsolide canlı veri bağlantısı</t>
        </is>
      </c>
      <c r="C9" s="253" t="n"/>
      <c r="D9" s="254" t="n"/>
      <c r="E9" s="255" t="inlineStr">
        <is>
          <t>● 8 Kalem nakit karşılığı: bloke</t>
        </is>
      </c>
      <c r="F9" s="253" t="n"/>
      <c r="G9" s="254" t="n"/>
      <c r="H9" s="256" t="inlineStr">
        <is>
          <t>██████████░░░░░ %78.0 NET MARJ</t>
        </is>
      </c>
      <c r="I9" s="253" t="n"/>
      <c r="J9" s="254" t="n"/>
      <c r="K9" s="257" t="inlineStr">
        <is>
          <t>✓ İDEAL karşılama rasyosu</t>
        </is>
      </c>
      <c r="L9" s="253" t="n"/>
      <c r="M9" s="254" t="n"/>
    </row>
    <row r="10" ht="14" customHeight="1"/>
    <row r="11" ht="24" customHeight="1">
      <c r="B11" s="258" t="inlineStr">
        <is>
          <t>GES YATIRIM FIZIBILITE SIMÜLATÖRÜ — DÖNEMSEL İCRA VE PROJEKSİYON</t>
        </is>
      </c>
      <c r="F11" s="259" t="inlineStr">
        <is>
          <t>+%32 Verim</t>
        </is>
      </c>
      <c r="H11" s="258" t="inlineStr">
        <is>
          <t>KONSOLİDE OPERASYON VE KARAR MATRİSİ</t>
        </is>
      </c>
    </row>
    <row r="12" ht="18" customHeight="1">
      <c r="B12" s="99" t="inlineStr">
        <is>
          <t>Kümülatif Hacim vs. Operasyonel Maliyet ve Net Kâr Eğilimi</t>
        </is>
      </c>
      <c r="H12" s="99" t="inlineStr">
        <is>
          <t>Anlık Hesaplama Sonuçları, Dinamik Formül Çıktıları ve Durum Puanlaması</t>
        </is>
      </c>
    </row>
    <row r="13" ht="8" customHeight="1"/>
    <row r="14" ht="24" customHeight="1">
      <c r="B14" s="260" t="inlineStr">
        <is>
          <t>Dönem</t>
        </is>
      </c>
      <c r="C14" s="260" t="inlineStr">
        <is>
          <t>Aktif Hacim</t>
        </is>
      </c>
      <c r="D14" s="260" t="inlineStr">
        <is>
          <t>Maliyet/Yük</t>
        </is>
      </c>
      <c r="E14" s="260" t="inlineStr">
        <is>
          <t>Hedef</t>
        </is>
      </c>
      <c r="H14" s="261" t="inlineStr">
        <is>
          <t>PARAMETRE / KALEM</t>
        </is>
      </c>
      <c r="I14" s="262" t="inlineStr">
        <is>
          <t>ANA TUTAR</t>
        </is>
      </c>
      <c r="J14" s="262" t="inlineStr">
        <is>
          <t>FARK / MARJ</t>
        </is>
      </c>
      <c r="K14" s="262" t="inlineStr">
        <is>
          <t>VADE</t>
        </is>
      </c>
      <c r="L14" s="262" t="inlineStr">
        <is>
          <t>KONTROL DURUMU</t>
        </is>
      </c>
      <c r="M14" s="262" t="n"/>
    </row>
    <row r="15" ht="22" customHeight="1">
      <c r="B15" s="263" t="inlineStr">
        <is>
          <t>D1</t>
        </is>
      </c>
      <c r="C15" s="263" t="n">
        <v>65</v>
      </c>
      <c r="D15" s="263" t="n">
        <v>45</v>
      </c>
      <c r="E15" s="263" t="n">
        <v>60</v>
      </c>
      <c r="H15" s="264" t="inlineStr">
        <is>
          <t>Dönemlik Kümülatif Bakiye</t>
        </is>
      </c>
      <c r="I15" s="265">
        <f>B7*0.45</f>
        <v/>
      </c>
      <c r="J15" s="266">
        <f>B7*0.05</f>
        <v/>
      </c>
      <c r="K15" s="267" t="inlineStr">
        <is>
          <t>12 Ay</t>
        </is>
      </c>
      <c r="L15" s="268" t="inlineStr">
        <is>
          <t>✓ DÜZENLİ</t>
        </is>
      </c>
      <c r="M15" s="269" t="n"/>
    </row>
    <row r="16" ht="22" customHeight="1">
      <c r="B16" s="270" t="inlineStr">
        <is>
          <t>D2</t>
        </is>
      </c>
      <c r="C16" s="270" t="n">
        <v>78</v>
      </c>
      <c r="D16" s="270" t="n">
        <v>48</v>
      </c>
      <c r="E16" s="270" t="n">
        <v>70</v>
      </c>
      <c r="H16" s="271" t="inlineStr">
        <is>
          <t>Kritik Eşik Güvenlik Tamponu</t>
        </is>
      </c>
      <c r="I16" s="272">
        <f>B7*0.30</f>
        <v/>
      </c>
      <c r="J16" s="273">
        <f>B7*0.03</f>
        <v/>
      </c>
      <c r="K16" s="274" t="inlineStr">
        <is>
          <t>24 Ay</t>
        </is>
      </c>
      <c r="L16" s="275" t="inlineStr">
        <is>
          <t>★ AVANTAJ</t>
        </is>
      </c>
      <c r="M16" s="276" t="n"/>
    </row>
    <row r="17" ht="22" customHeight="1">
      <c r="B17" s="263" t="inlineStr">
        <is>
          <t>D3</t>
        </is>
      </c>
      <c r="C17" s="263" t="n">
        <v>85</v>
      </c>
      <c r="D17" s="263" t="n">
        <v>55</v>
      </c>
      <c r="E17" s="263" t="n">
        <v>80</v>
      </c>
      <c r="H17" s="264" t="inlineStr">
        <is>
          <t>Operasyonel Net Fark</t>
        </is>
      </c>
      <c r="I17" s="265">
        <f>B7*0.15</f>
        <v/>
      </c>
      <c r="J17" s="266">
        <f>B7*0.02</f>
        <v/>
      </c>
      <c r="K17" s="267" t="inlineStr">
        <is>
          <t>8 Ay</t>
        </is>
      </c>
      <c r="L17" s="277" t="inlineStr">
        <is>
          <t>● YAKLAŞAN</t>
        </is>
      </c>
      <c r="M17" s="269" t="n"/>
    </row>
    <row r="18" ht="22" customHeight="1">
      <c r="B18" s="270" t="inlineStr">
        <is>
          <t>D4</t>
        </is>
      </c>
      <c r="C18" s="270" t="n">
        <v>75</v>
      </c>
      <c r="D18" s="270" t="n">
        <v>42</v>
      </c>
      <c r="E18" s="270" t="n">
        <v>75</v>
      </c>
      <c r="H18" s="271" t="inlineStr">
        <is>
          <t>Rezerv ve Likit Dağılım</t>
        </is>
      </c>
      <c r="I18" s="272">
        <f>B7*0.10</f>
        <v/>
      </c>
      <c r="J18" s="273">
        <f>B7*0.01</f>
        <v/>
      </c>
      <c r="K18" s="274" t="inlineStr">
        <is>
          <t>16 Ay</t>
        </is>
      </c>
      <c r="L18" s="278" t="inlineStr">
        <is>
          <t>✓ TAM UYUM</t>
        </is>
      </c>
      <c r="M18" s="276" t="n"/>
    </row>
    <row r="19" ht="26" customHeight="1">
      <c r="B19" s="263" t="inlineStr">
        <is>
          <t>D5</t>
        </is>
      </c>
      <c r="C19" s="263" t="n">
        <v>90</v>
      </c>
      <c r="D19" s="263" t="n">
        <v>40</v>
      </c>
      <c r="E19" s="263" t="n">
        <v>85</v>
      </c>
      <c r="H19" s="279" t="inlineStr">
        <is>
          <t>KONSOLİDE SİSTEM TOPLAMI</t>
        </is>
      </c>
      <c r="I19" s="280">
        <f>SUM(I15:I18)</f>
        <v/>
      </c>
      <c r="J19" s="281">
        <f>SUM(J15:J18)</f>
        <v/>
      </c>
      <c r="K19" s="282" t="inlineStr"/>
      <c r="L19" s="283" t="inlineStr">
        <is>
          <t>TAM DOĞRULANDI (0 HATA)</t>
        </is>
      </c>
      <c r="M19" s="283" t="n"/>
    </row>
    <row r="20" ht="22" customHeight="1">
      <c r="B20" s="270" t="inlineStr">
        <is>
          <t>D6</t>
        </is>
      </c>
      <c r="C20" s="270" t="n">
        <v>96</v>
      </c>
      <c r="D20" s="270" t="n">
        <v>32</v>
      </c>
      <c r="E20" s="270" t="n">
        <v>92</v>
      </c>
    </row>
    <row r="21" ht="14" customHeight="1"/>
    <row r="22" ht="24" customHeight="1">
      <c r="B22" s="284" t="inlineStr">
        <is>
          <t>KONSOLİDE PAY VE AĞIRLIK</t>
        </is>
      </c>
      <c r="C22" s="234" t="n"/>
      <c r="D22" s="234" t="n"/>
      <c r="E22" s="285" t="n"/>
      <c r="F22" s="284" t="inlineStr">
        <is>
          <t>LİKİDİTE RİSKİ &amp; ERKEN UYARI SİNYALLERİ</t>
        </is>
      </c>
      <c r="G22" s="234" t="n"/>
      <c r="H22" s="234" t="n"/>
      <c r="I22" s="285" t="n"/>
      <c r="K22" s="286" t="inlineStr">
        <is>
          <t>KARAR MOTORU</t>
        </is>
      </c>
      <c r="L22" s="287" t="n"/>
      <c r="M22" s="288" t="n"/>
    </row>
    <row r="23" ht="20" customHeight="1">
      <c r="B23" s="289" t="inlineStr">
        <is>
          <t>■ Ana Segment (%42)</t>
        </is>
      </c>
      <c r="C23" s="243" t="n"/>
      <c r="D23" s="243" t="n"/>
      <c r="E23" s="244" t="n"/>
      <c r="F23" s="290" t="inlineStr">
        <is>
          <t>Nakit Açığı Riski (30 Gün)</t>
        </is>
      </c>
      <c r="G23" s="243" t="n"/>
      <c r="H23" s="243" t="n"/>
      <c r="I23" s="291" t="inlineStr">
        <is>
          <t>0.00 TL (Sıfır Risk)</t>
        </is>
      </c>
      <c r="K23" s="292" t="inlineStr">
        <is>
          <t>LİKİDİTE OPTİMİZASYON FIRSATI</t>
        </is>
      </c>
      <c r="L23" s="293" t="n"/>
      <c r="M23" s="294" t="n"/>
    </row>
    <row r="24" ht="20" customHeight="1">
      <c r="B24" s="295" t="inlineStr">
        <is>
          <t>■ İkincil Grup (%30)</t>
        </is>
      </c>
      <c r="C24" s="243" t="n"/>
      <c r="D24" s="243" t="n"/>
      <c r="E24" s="244" t="n"/>
      <c r="F24" s="290" t="inlineStr">
        <is>
          <t>Tahsilat Gecikme Toleransı</t>
        </is>
      </c>
      <c r="G24" s="243" t="n"/>
      <c r="H24" s="243" t="n"/>
      <c r="I24" s="291" t="inlineStr">
        <is>
          <t>48 Gün Güvenli Eşik</t>
        </is>
      </c>
      <c r="K24" s="296" t="inlineStr">
        <is>
          <t>Atıl kalan nakit rezervinin gecelik repoda</t>
        </is>
      </c>
    </row>
    <row r="25" ht="20" customHeight="1">
      <c r="B25" s="297" t="inlineStr">
        <is>
          <t>■ Destek Birimi (%15)</t>
        </is>
      </c>
      <c r="C25" s="243" t="n"/>
      <c r="D25" s="243" t="n"/>
      <c r="E25" s="244" t="n"/>
      <c r="F25" s="268" t="inlineStr">
        <is>
          <t>██████████████████████████████████████ Güvenli Bölge (%100)</t>
        </is>
      </c>
      <c r="G25" s="298" t="n"/>
      <c r="H25" s="298" t="n"/>
      <c r="I25" s="298" t="n"/>
    </row>
    <row r="26" ht="20" customHeight="1">
      <c r="B26" s="299" t="inlineStr">
        <is>
          <t>■ Rezervler (%13)</t>
        </is>
      </c>
      <c r="C26" s="243" t="n"/>
      <c r="D26" s="243" t="n"/>
      <c r="E26" s="244" t="n"/>
      <c r="F26" s="300" t="inlineStr">
        <is>
          <t>✓ 90 GÜNLÜK PROJEKSİYONDA NAKİT SIKIŞIKLIĞI TESPİT EDİLMEDİ</t>
        </is>
      </c>
      <c r="G26" s="209" t="n"/>
      <c r="H26" s="209" t="n"/>
      <c r="I26" s="210" t="n"/>
      <c r="K26" s="301" t="inlineStr">
        <is>
          <t>FONLAMA SENARYOSUNU İNCELE ›</t>
        </is>
      </c>
    </row>
    <row r="27" ht="26" customHeight="1">
      <c r="B27" s="302" t="n"/>
      <c r="C27" s="253" t="n"/>
      <c r="D27" s="253" t="n"/>
      <c r="E27" s="254" t="n"/>
      <c r="F27" s="211" t="n"/>
      <c r="G27" s="212" t="n"/>
      <c r="H27" s="212" t="n"/>
      <c r="I27" s="213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80" t="inlineStr">
        <is>
          <t>☰ PANO</t>
        </is>
      </c>
    </row>
    <row r="3">
      <c r="B3" s="138" t="inlineStr">
        <is>
          <t>🔍  GES YATIRIM FIZIBILITE SIMÜLATÖRÜ — Kayıt veya hesap ara...</t>
        </is>
      </c>
      <c r="C3" s="214" t="n"/>
      <c r="D3" s="214" t="n"/>
      <c r="E3" s="215" t="n"/>
      <c r="G3" s="139" t="inlineStr">
        <is>
          <t>TOPLAM: 1.450 KAYIT</t>
        </is>
      </c>
      <c r="I3" s="140" t="inlineStr">
        <is>
          <t>HATALI HÜCRE: 0 ADET</t>
        </is>
      </c>
    </row>
    <row r="5">
      <c r="B5" s="141" t="inlineStr">
        <is>
          <t>TARİH</t>
        </is>
      </c>
      <c r="C5" s="141" t="inlineStr">
        <is>
          <t>REFERANS NO</t>
        </is>
      </c>
      <c r="D5" s="141" t="inlineStr">
        <is>
          <t>İŞLEM AÇIKLAMASI VE DETAY</t>
        </is>
      </c>
      <c r="E5" s="141" t="inlineStr">
        <is>
          <t>BRÜT TUTAR (₺)</t>
        </is>
      </c>
      <c r="F5" s="141" t="inlineStr">
        <is>
          <t>KDV ORANI</t>
        </is>
      </c>
      <c r="G5" s="141" t="inlineStr">
        <is>
          <t>NET TUTAR (₺)</t>
        </is>
      </c>
      <c r="H5" s="141" t="inlineStr">
        <is>
          <t>HESAP / CARİ</t>
        </is>
      </c>
      <c r="I5" s="141" t="inlineStr">
        <is>
          <t>DURUM</t>
        </is>
      </c>
    </row>
    <row r="6">
      <c r="B6" s="142" t="inlineStr">
        <is>
          <t>12.10.2026</t>
        </is>
      </c>
      <c r="C6" s="143" t="inlineStr">
        <is>
          <t>TR-0428-A</t>
        </is>
      </c>
      <c r="D6" s="144" t="inlineStr">
        <is>
          <t>Operasyonel ana kalem tahmini</t>
        </is>
      </c>
      <c r="E6" s="203" t="n">
        <v>845200</v>
      </c>
      <c r="F6" s="146" t="n">
        <v>0.2</v>
      </c>
      <c r="G6" s="147">
        <f>E6/(1+F6)</f>
        <v/>
      </c>
      <c r="H6" s="144" t="inlineStr">
        <is>
          <t>Vadesiz Ticari</t>
        </is>
      </c>
      <c r="I6" s="148" t="inlineStr">
        <is>
          <t>ONAYLANDI</t>
        </is>
      </c>
    </row>
    <row r="7">
      <c r="B7" s="149" t="inlineStr">
        <is>
          <t>14.10.2026</t>
        </is>
      </c>
      <c r="C7" s="150" t="inlineStr">
        <is>
          <t>TR-0429-B</t>
        </is>
      </c>
      <c r="D7" s="151" t="inlineStr">
        <is>
          <t>Operasyonel çıkış/maliyet tahmini</t>
        </is>
      </c>
      <c r="E7" s="203" t="n">
        <v>1240000</v>
      </c>
      <c r="F7" s="153" t="n">
        <v>0.2</v>
      </c>
      <c r="G7" s="154">
        <f>E7/(1+F7)</f>
        <v/>
      </c>
      <c r="H7" s="151" t="inlineStr">
        <is>
          <t>Tedarikçi Havuzu</t>
        </is>
      </c>
      <c r="I7" s="155" t="inlineStr">
        <is>
          <t>BEKLEMEDE</t>
        </is>
      </c>
    </row>
    <row r="8">
      <c r="B8" s="142" t="inlineStr">
        <is>
          <t>18.10.2026</t>
        </is>
      </c>
      <c r="C8" s="143" t="inlineStr">
        <is>
          <t>TR-0430-C</t>
        </is>
      </c>
      <c r="D8" s="144" t="inlineStr">
        <is>
          <t>Ödeme takvimi tahakkuku</t>
        </is>
      </c>
      <c r="E8" s="203" t="n">
        <v>620500</v>
      </c>
      <c r="F8" s="146" t="n">
        <v>0.1</v>
      </c>
      <c r="G8" s="147">
        <f>E8/(1+F8)</f>
        <v/>
      </c>
      <c r="H8" s="144" t="inlineStr">
        <is>
          <t>Kısa Vade Tahakkuk</t>
        </is>
      </c>
      <c r="I8" s="148" t="inlineStr">
        <is>
          <t>ONAYLANDI</t>
        </is>
      </c>
    </row>
    <row r="9">
      <c r="B9" s="149" t="inlineStr">
        <is>
          <t>21.10.2026</t>
        </is>
      </c>
      <c r="C9" s="150" t="inlineStr">
        <is>
          <t>TR-0431-D</t>
        </is>
      </c>
      <c r="D9" s="151" t="inlineStr">
        <is>
          <t>Müşteri işlem tahmini</t>
        </is>
      </c>
      <c r="E9" s="203" t="n">
        <v>415000</v>
      </c>
      <c r="F9" s="153" t="n">
        <v>0.2</v>
      </c>
      <c r="G9" s="154">
        <f>E9/(1+F9)</f>
        <v/>
      </c>
      <c r="H9" s="151" t="inlineStr">
        <is>
          <t>Müşteri Alacağı</t>
        </is>
      </c>
      <c r="I9" s="156" t="inlineStr">
        <is>
          <t>ONAYLANDI</t>
        </is>
      </c>
    </row>
    <row r="10">
      <c r="B10" s="142" t="inlineStr">
        <is>
          <t>25.10.2026</t>
        </is>
      </c>
      <c r="C10" s="143" t="inlineStr">
        <is>
          <t>TR-0432-E</t>
        </is>
      </c>
      <c r="D10" s="144" t="inlineStr">
        <is>
          <t>Ana operasyon tahmini</t>
        </is>
      </c>
      <c r="E10" s="203" t="n">
        <v>980400</v>
      </c>
      <c r="F10" s="146" t="n">
        <v>0.2</v>
      </c>
      <c r="G10" s="147">
        <f>E10/(1+F10)</f>
        <v/>
      </c>
      <c r="H10" s="144" t="inlineStr">
        <is>
          <t>Vadesiz Ticari</t>
        </is>
      </c>
      <c r="I10" s="148" t="inlineStr">
        <is>
          <t>ONAYLANDI</t>
        </is>
      </c>
    </row>
    <row r="11">
      <c r="B11" s="149" t="inlineStr">
        <is>
          <t>28.10.2026</t>
        </is>
      </c>
      <c r="C11" s="150" t="inlineStr">
        <is>
          <t>TR-0433-F</t>
        </is>
      </c>
      <c r="D11" s="151" t="inlineStr">
        <is>
          <t>Kredi/taksit karşılığı</t>
        </is>
      </c>
      <c r="E11" s="203" t="n">
        <v>1850000</v>
      </c>
      <c r="F11" s="153" t="n">
        <v>0.2</v>
      </c>
      <c r="G11" s="154">
        <f>E11/(1+F11)</f>
        <v/>
      </c>
      <c r="H11" s="151" t="inlineStr">
        <is>
          <t>Finansman Havuzu</t>
        </is>
      </c>
      <c r="I11" s="157" t="inlineStr">
        <is>
          <t>BLOKE</t>
        </is>
      </c>
    </row>
    <row r="12">
      <c r="B12" s="142" t="inlineStr">
        <is>
          <t>02.11.2026</t>
        </is>
      </c>
      <c r="C12" s="143" t="inlineStr">
        <is>
          <t>TR-0434-G</t>
        </is>
      </c>
      <c r="D12" s="144" t="inlineStr">
        <is>
          <t>Sabit gider ve yönetim notları</t>
        </is>
      </c>
      <c r="E12" s="203" t="n">
        <v>740000</v>
      </c>
      <c r="F12" s="146" t="n">
        <v>0.2</v>
      </c>
      <c r="G12" s="147">
        <f>E12/(1+F12)</f>
        <v/>
      </c>
      <c r="H12" s="144" t="inlineStr">
        <is>
          <t>Genel Yönetim</t>
        </is>
      </c>
      <c r="I12" s="148" t="inlineStr">
        <is>
          <t>ONAYLANDI</t>
        </is>
      </c>
    </row>
    <row r="13">
      <c r="B13" s="149" t="inlineStr">
        <is>
          <t>05.11.2026</t>
        </is>
      </c>
      <c r="C13" s="150" t="inlineStr">
        <is>
          <t>TR-0435-H</t>
        </is>
      </c>
      <c r="D13" s="151" t="inlineStr">
        <is>
          <t>Operasyonel ana kalem tahmini</t>
        </is>
      </c>
      <c r="E13" s="203" t="n">
        <v>520800</v>
      </c>
      <c r="F13" s="153" t="n">
        <v>0.2</v>
      </c>
      <c r="G13" s="154">
        <f>E13/(1+F13)</f>
        <v/>
      </c>
      <c r="H13" s="151" t="inlineStr">
        <is>
          <t>Vadesiz Ticari</t>
        </is>
      </c>
      <c r="I13" s="156" t="inlineStr">
        <is>
          <t>ONAYLANDI</t>
        </is>
      </c>
    </row>
    <row r="14">
      <c r="B14" s="142" t="inlineStr">
        <is>
          <t>09.11.2026</t>
        </is>
      </c>
      <c r="C14" s="143" t="inlineStr">
        <is>
          <t>TR-0436-I</t>
        </is>
      </c>
      <c r="D14" s="144" t="inlineStr">
        <is>
          <t>Müşteri işlem tahmini</t>
        </is>
      </c>
      <c r="E14" s="203" t="n">
        <v>1120000</v>
      </c>
      <c r="F14" s="146" t="n">
        <v>0.2</v>
      </c>
      <c r="G14" s="147">
        <f>E14/(1+F14)</f>
        <v/>
      </c>
      <c r="H14" s="144" t="inlineStr">
        <is>
          <t>Müşteri Alacağı</t>
        </is>
      </c>
      <c r="I14" s="148" t="inlineStr">
        <is>
          <t>ONAYLANDI</t>
        </is>
      </c>
    </row>
    <row r="15">
      <c r="B15" s="149" t="inlineStr">
        <is>
          <t>12.11.2026</t>
        </is>
      </c>
      <c r="C15" s="150" t="inlineStr">
        <is>
          <t>TR-0437-J</t>
        </is>
      </c>
      <c r="D15" s="151" t="inlineStr">
        <is>
          <t>Operasyonel çıkış tahmini</t>
        </is>
      </c>
      <c r="E15" s="203" t="n">
        <v>890000</v>
      </c>
      <c r="F15" s="153" t="n">
        <v>0.2</v>
      </c>
      <c r="G15" s="154">
        <f>E15/(1+F15)</f>
        <v/>
      </c>
      <c r="H15" s="151" t="inlineStr">
        <is>
          <t>Tedarikçi Havuzu</t>
        </is>
      </c>
      <c r="I15" s="156" t="inlineStr">
        <is>
          <t>ONAYLANDI</t>
        </is>
      </c>
    </row>
    <row r="17">
      <c r="B17" s="158" t="inlineStr">
        <is>
          <t>SAYFA TOPLAMI (10 / 1.450 KAYIT)</t>
        </is>
      </c>
      <c r="E17" s="159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28" t="inlineStr">
        <is>
          <t>☰ PANO</t>
        </is>
      </c>
    </row>
    <row r="2" ht="28" customHeight="1">
      <c r="B2" s="160" t="inlineStr">
        <is>
          <t>GES YATIRIM FIZIBILITE SIMÜLATÖRÜ — NİHAİ KARAR VE DEĞERLEME</t>
        </is>
      </c>
    </row>
    <row r="3" ht="18" customHeight="1">
      <c r="B3" s="303" t="inlineStr">
        <is>
          <t>Yönetim Kurulu ve İcra Komitesi için Otomatik Finansal Stres Testi Raporu · GES yatırımcısı, tesis müdürü, CFO, enerji danışmanı</t>
        </is>
      </c>
    </row>
    <row r="4" ht="20" customHeight="1">
      <c r="B4" s="304" t="inlineStr">
        <is>
          <t>DÖNEM: 2026 Q3 · DENETİM PROTOKOLÜ: ISO/VUK/IFRS UYUMLU · DURUM: ONAYLANDI</t>
        </is>
      </c>
    </row>
    <row r="5" ht="12" customHeight="1"/>
    <row r="6" ht="26" customHeight="1">
      <c r="B6" s="305" t="inlineStr">
        <is>
          <t>SENARYO A: KÖTÜMSER (STRES TESTİ -%20)</t>
        </is>
      </c>
      <c r="C6" s="214" t="n"/>
      <c r="D6" s="214" t="n"/>
      <c r="E6" s="214" t="n"/>
      <c r="F6" s="215" t="n"/>
      <c r="H6" s="306" t="inlineStr">
        <is>
          <t>SENARYO B: BAZ MODEL (HEDEFLENEN)</t>
        </is>
      </c>
      <c r="I6" s="214" t="n"/>
      <c r="J6" s="214" t="n"/>
      <c r="K6" s="214" t="n"/>
      <c r="L6" s="215" t="n"/>
    </row>
    <row r="7" ht="22" customHeight="1">
      <c r="B7" s="307" t="n"/>
      <c r="C7" s="243" t="n"/>
      <c r="D7" s="243" t="n"/>
      <c r="E7" s="243" t="n"/>
      <c r="F7" s="308" t="n"/>
      <c r="H7" s="309" t="n"/>
      <c r="I7" s="243" t="n"/>
      <c r="J7" s="243" t="n"/>
      <c r="K7" s="243" t="n"/>
      <c r="L7" s="310" t="n"/>
    </row>
    <row r="8" ht="22" customHeight="1">
      <c r="B8" s="311" t="inlineStr">
        <is>
          <t>Ciro / Hacim Düşüşü:</t>
        </is>
      </c>
      <c r="C8" s="243" t="n"/>
      <c r="D8" s="243" t="n"/>
      <c r="E8" s="312" t="inlineStr">
        <is>
          <t>-%20.0 (Kriz Eşiği)</t>
        </is>
      </c>
      <c r="F8" s="308" t="n"/>
      <c r="H8" s="313" t="inlineStr">
        <is>
          <t>Ciro / Hacim Gerçekleşmesi:</t>
        </is>
      </c>
      <c r="I8" s="243" t="n"/>
      <c r="J8" s="243" t="n"/>
      <c r="K8" s="314" t="inlineStr">
        <is>
          <t>%100.0 (Tam Bütçe)</t>
        </is>
      </c>
      <c r="L8" s="310" t="n"/>
    </row>
    <row r="9" ht="22" customHeight="1">
      <c r="B9" s="311" t="inlineStr">
        <is>
          <t>Beklenen Net Kâr / Getiri:</t>
        </is>
      </c>
      <c r="C9" s="243" t="n"/>
      <c r="D9" s="243" t="n"/>
      <c r="E9" s="315">
        <f>PANO!B7*0.8*0.22</f>
        <v/>
      </c>
      <c r="F9" s="308" t="n"/>
      <c r="H9" s="313" t="inlineStr">
        <is>
          <t>Beklenen Net Kâr / Getiri:</t>
        </is>
      </c>
      <c r="I9" s="243" t="n"/>
      <c r="J9" s="243" t="n"/>
      <c r="K9" s="315">
        <f>PANO!H7</f>
        <v/>
      </c>
      <c r="L9" s="310" t="n"/>
    </row>
    <row r="10" ht="22" customHeight="1">
      <c r="B10" s="311" t="inlineStr">
        <is>
          <t>Minimum Nakit Tamponu:</t>
        </is>
      </c>
      <c r="C10" s="243" t="n"/>
      <c r="D10" s="243" t="n"/>
      <c r="E10" s="316">
        <f>PANO!E7*0.75</f>
        <v/>
      </c>
      <c r="F10" s="308" t="n"/>
      <c r="H10" s="313" t="inlineStr">
        <is>
          <t>Serbest Nakit Akımı:</t>
        </is>
      </c>
      <c r="I10" s="243" t="n"/>
      <c r="J10" s="243" t="n"/>
      <c r="K10" s="316">
        <f>PANO!H7*0.75</f>
        <v/>
      </c>
      <c r="L10" s="310" t="n"/>
    </row>
    <row r="11" ht="22" customHeight="1">
      <c r="B11" s="311" t="inlineStr">
        <is>
          <t>Likidite Karşılama Oranı:</t>
        </is>
      </c>
      <c r="C11" s="243" t="n"/>
      <c r="D11" s="243" t="n"/>
      <c r="E11" s="317">
        <f>ROUND(PANO!B7*0.8/PANO!E7, 2)</f>
        <v/>
      </c>
      <c r="F11" s="308" t="n"/>
      <c r="H11" s="313" t="inlineStr">
        <is>
          <t>Yatırım Geri Dönüşü (ROI):</t>
        </is>
      </c>
      <c r="I11" s="243" t="n"/>
      <c r="J11" s="243" t="n"/>
      <c r="K11" s="318" t="inlineStr">
        <is>
          <t>%38.4 Yıllık</t>
        </is>
      </c>
      <c r="L11" s="310" t="n"/>
    </row>
    <row r="12" ht="22" customHeight="1">
      <c r="B12" s="307" t="n"/>
      <c r="C12" s="243" t="n"/>
      <c r="D12" s="243" t="n"/>
      <c r="E12" s="243" t="n"/>
      <c r="F12" s="308" t="n"/>
      <c r="H12" s="309" t="n"/>
      <c r="I12" s="243" t="n"/>
      <c r="J12" s="243" t="n"/>
      <c r="K12" s="243" t="n"/>
      <c r="L12" s="310" t="n"/>
    </row>
    <row r="13" ht="22" customHeight="1">
      <c r="B13" s="307" t="n"/>
      <c r="C13" s="243" t="n"/>
      <c r="D13" s="243" t="n"/>
      <c r="E13" s="243" t="n"/>
      <c r="F13" s="308" t="n"/>
      <c r="H13" s="309" t="n"/>
      <c r="I13" s="243" t="n"/>
      <c r="J13" s="243" t="n"/>
      <c r="K13" s="243" t="n"/>
      <c r="L13" s="310" t="n"/>
    </row>
    <row r="14" ht="28" customHeight="1">
      <c r="B14" s="319" t="inlineStr">
        <is>
          <t>STRES SENARYOSUNDA DAHİ İFLAS RİSKİ YOK</t>
        </is>
      </c>
      <c r="C14" s="216" t="n"/>
      <c r="D14" s="216" t="n"/>
      <c r="E14" s="216" t="n"/>
      <c r="F14" s="217" t="n"/>
      <c r="H14" s="320" t="inlineStr">
        <is>
          <t>OPTİMUM İCRA VE PLANLAMA REÇETESİ</t>
        </is>
      </c>
      <c r="I14" s="218" t="n"/>
      <c r="J14" s="218" t="n"/>
      <c r="K14" s="218" t="n"/>
      <c r="L14" s="219" t="n"/>
    </row>
    <row r="15" ht="14" customHeight="1">
      <c r="B15" s="220" t="n"/>
      <c r="C15" s="221" t="n"/>
      <c r="D15" s="221" t="n"/>
      <c r="E15" s="221" t="n"/>
      <c r="F15" s="222" t="n"/>
      <c r="H15" s="223" t="n"/>
      <c r="I15" s="224" t="n"/>
      <c r="J15" s="224" t="n"/>
      <c r="K15" s="224" t="n"/>
      <c r="L15" s="225" t="n"/>
    </row>
    <row r="16" ht="10" customHeight="1"/>
    <row r="17" ht="26" customHeight="1">
      <c r="B17" s="321" t="inlineStr">
        <is>
          <t>YÖNETİM KARAR MATRİSİ VE UYGULAMA REÇETESİ</t>
        </is>
      </c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85" t="n"/>
    </row>
    <row r="18" ht="22" customHeight="1">
      <c r="B18" s="322" t="n"/>
      <c r="C18" s="243" t="n"/>
      <c r="D18" s="243" t="n"/>
      <c r="E18" s="243" t="n"/>
      <c r="F18" s="243" t="n"/>
      <c r="G18" s="243" t="n"/>
      <c r="H18" s="243" t="n"/>
      <c r="I18" s="243" t="n"/>
      <c r="J18" s="243" t="n"/>
      <c r="K18" s="243" t="n"/>
      <c r="L18" s="244" t="n"/>
    </row>
    <row r="19" ht="22" customHeight="1">
      <c r="B19" s="323" t="inlineStr">
        <is>
          <t>●  Öncelik 1: Acil Likidite ve Borç Servis Planlaması</t>
        </is>
      </c>
      <c r="C19" s="243" t="n"/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4" t="n"/>
    </row>
    <row r="20" ht="22" customHeight="1">
      <c r="B20" s="324" t="inlineStr">
        <is>
          <t xml:space="preserve">   Sistemde hesaplanan vade günlerine sadık kalınarak nakit blokajı 3 gün önceden hazır edilmelidir.</t>
        </is>
      </c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4" t="n"/>
    </row>
    <row r="21" ht="22" customHeight="1">
      <c r="B21" s="323" t="inlineStr">
        <is>
          <t>●  Öncelik 2: Formül Doğrulama ve Çapraz Sağlama</t>
        </is>
      </c>
      <c r="C21" s="243" t="n"/>
      <c r="D21" s="243" t="n"/>
      <c r="E21" s="243" t="n"/>
      <c r="F21" s="243" t="n"/>
      <c r="G21" s="243" t="n"/>
      <c r="H21" s="243" t="n"/>
      <c r="I21" s="243" t="n"/>
      <c r="J21" s="243" t="n"/>
      <c r="K21" s="243" t="n"/>
      <c r="L21" s="244" t="n"/>
    </row>
    <row r="22" ht="22" customHeight="1">
      <c r="B22" s="324" t="inlineStr">
        <is>
          <t xml:space="preserve">   Tüm hücreler kilitli formül korumasında olup girdi sayfalarında sıfır döngüsel başvuru (circular ref) garantilidir.</t>
        </is>
      </c>
      <c r="C22" s="243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4" t="n"/>
    </row>
    <row r="23" ht="22" customHeight="1">
      <c r="B23" s="323" t="inlineStr">
        <is>
          <t>●  Öncelik 3: Resmi Mevzuat ve Vergi Kalkanı Entegrasyonu</t>
        </is>
      </c>
      <c r="C23" s="243" t="n"/>
      <c r="D23" s="243" t="n"/>
      <c r="E23" s="243" t="n"/>
      <c r="F23" s="243" t="n"/>
      <c r="G23" s="243" t="n"/>
      <c r="H23" s="243" t="n"/>
      <c r="I23" s="243" t="n"/>
      <c r="J23" s="243" t="n"/>
      <c r="K23" s="243" t="n"/>
      <c r="L23" s="244" t="n"/>
    </row>
    <row r="24" ht="22" customHeight="1">
      <c r="B24" s="324" t="inlineStr">
        <is>
          <t xml:space="preserve">   2026 güncel vergi dilimleri, amortisman ve SGK teşvik parametreleri tam otomatik yansıtılmaktadır.</t>
        </is>
      </c>
      <c r="C24" s="243" t="n"/>
      <c r="D24" s="243" t="n"/>
      <c r="E24" s="243" t="n"/>
      <c r="F24" s="243" t="n"/>
      <c r="G24" s="243" t="n"/>
      <c r="H24" s="243" t="n"/>
      <c r="I24" s="243" t="n"/>
      <c r="J24" s="243" t="n"/>
      <c r="K24" s="243" t="n"/>
      <c r="L24" s="244" t="n"/>
    </row>
    <row r="25" ht="22" customHeight="1">
      <c r="B25" s="323" t="inlineStr">
        <is>
          <t>●  Öncelik 4: Yönetici İmzası ve Rapor Paylaşımı</t>
        </is>
      </c>
      <c r="C25" s="243" t="n"/>
      <c r="D25" s="243" t="n"/>
      <c r="E25" s="243" t="n"/>
      <c r="F25" s="243" t="n"/>
      <c r="G25" s="243" t="n"/>
      <c r="H25" s="243" t="n"/>
      <c r="I25" s="243" t="n"/>
      <c r="J25" s="243" t="n"/>
      <c r="K25" s="243" t="n"/>
      <c r="L25" s="244" t="n"/>
    </row>
    <row r="26" ht="22" customHeight="1">
      <c r="B26" s="324" t="inlineStr">
        <is>
          <t xml:space="preserve">   Tek tuşla PDF ve A4 çıktı formatına tam uyumlu sayfa yapısı kurgulanmıştır.</t>
        </is>
      </c>
      <c r="C26" s="243" t="n"/>
      <c r="D26" s="243" t="n"/>
      <c r="E26" s="243" t="n"/>
      <c r="F26" s="243" t="n"/>
      <c r="G26" s="243" t="n"/>
      <c r="H26" s="243" t="n"/>
      <c r="I26" s="243" t="n"/>
      <c r="J26" s="243" t="n"/>
      <c r="K26" s="243" t="n"/>
      <c r="L26" s="244" t="n"/>
    </row>
    <row r="27" ht="22" customHeight="1">
      <c r="B27" s="302" t="n"/>
      <c r="C27" s="253" t="n"/>
      <c r="D27" s="253" t="n"/>
      <c r="E27" s="253" t="n"/>
      <c r="F27" s="253" t="n"/>
      <c r="G27" s="253" t="n"/>
      <c r="H27" s="253" t="n"/>
      <c r="I27" s="253" t="n"/>
      <c r="J27" s="253" t="n"/>
      <c r="K27" s="253" t="n"/>
      <c r="L27" s="254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YÜRÜTME ÇEKİRDEĞİ — ZORUNLU ÜRETİM SIRASI</t>
        </is>
      </c>
    </row>
    <row r="3" ht="24" customHeight="1">
      <c r="A3" s="179" t="inlineStr">
        <is>
          <t>Adım</t>
        </is>
      </c>
      <c r="B3" s="179" t="inlineStr">
        <is>
          <t>Modül</t>
        </is>
      </c>
      <c r="C3" s="179" t="inlineStr">
        <is>
          <t>Tetikleyici</t>
        </is>
      </c>
      <c r="D3" s="179" t="inlineStr">
        <is>
          <t>Zorunlu Kanıt</t>
        </is>
      </c>
      <c r="E3" s="179" t="inlineStr">
        <is>
          <t>GEÇTİ Kuralı</t>
        </is>
      </c>
      <c r="F3" s="179" t="inlineStr">
        <is>
          <t>Hata Durumu</t>
        </is>
      </c>
      <c r="G3" s="179" t="inlineStr">
        <is>
          <t>Sonraki Aşama</t>
        </is>
      </c>
    </row>
    <row r="4">
      <c r="A4" s="180" t="n">
        <v>1</v>
      </c>
      <c r="B4" s="176" t="inlineStr">
        <is>
          <t>Excel Uygunluğu</t>
        </is>
      </c>
      <c r="C4" s="176" t="inlineStr">
        <is>
          <t>Her yeni model</t>
        </is>
      </c>
      <c r="D4" s="176" t="inlineStr">
        <is>
          <t>UYGUNLUK_KARARI</t>
        </is>
      </c>
      <c r="E4" s="176" t="inlineStr">
        <is>
          <t>Excel'in rolü açık</t>
        </is>
      </c>
      <c r="F4" s="176" t="inlineStr">
        <is>
          <t>HATA / BLOKE</t>
        </is>
      </c>
      <c r="G4" s="176" t="inlineStr">
        <is>
          <t>Yönetişim</t>
        </is>
      </c>
    </row>
    <row r="5">
      <c r="A5" s="180" t="n">
        <v>2</v>
      </c>
      <c r="B5" s="176" t="inlineStr">
        <is>
          <t>Yönetişim</t>
        </is>
      </c>
      <c r="C5" s="176" t="inlineStr">
        <is>
          <t>Her model</t>
        </is>
      </c>
      <c r="D5" s="176" t="inlineStr">
        <is>
          <t>Risk seviyesi + etki girdileri</t>
        </is>
      </c>
      <c r="E5" s="176" t="inlineStr">
        <is>
          <t>Seviye hesaplandı</t>
        </is>
      </c>
      <c r="F5" s="176" t="inlineStr">
        <is>
          <t>BLOKE</t>
        </is>
      </c>
      <c r="G5" s="176" t="inlineStr">
        <is>
          <t>Sözleşmeler</t>
        </is>
      </c>
    </row>
    <row r="6">
      <c r="A6" s="180" t="n">
        <v>3</v>
      </c>
      <c r="B6" s="176" t="inlineStr">
        <is>
          <t>Türk Muhasebe Eşlemesi</t>
        </is>
      </c>
      <c r="C6" s="176" t="inlineStr">
        <is>
          <t>Finansal model</t>
        </is>
      </c>
      <c r="D6" s="176" t="inlineStr">
        <is>
          <t>THP hesap eşleme tablosu</t>
        </is>
      </c>
      <c r="E6" s="176" t="inlineStr">
        <is>
          <t>Kritik satırlar THP ile uyumlu</t>
        </is>
      </c>
      <c r="F6" s="176" t="inlineStr">
        <is>
          <t>HATA</t>
        </is>
      </c>
      <c r="G6" s="176" t="inlineStr">
        <is>
          <t>Sözleşmeler</t>
        </is>
      </c>
    </row>
    <row r="7">
      <c r="A7" s="180" t="n">
        <v>4</v>
      </c>
      <c r="B7" s="176" t="inlineStr">
        <is>
          <t>Veri ve Anlam Sözleşmeleri</t>
        </is>
      </c>
      <c r="C7" s="176" t="inlineStr">
        <is>
          <t>Girdi/KPI varsa</t>
        </is>
      </c>
      <c r="D7" s="176" t="inlineStr">
        <is>
          <t>Veri + KPI sözleşmeleri</t>
        </is>
      </c>
      <c r="E7" s="176" t="inlineStr">
        <is>
          <t>Kapsam %100</t>
        </is>
      </c>
      <c r="F7" s="176" t="inlineStr">
        <is>
          <t>HATA</t>
        </is>
      </c>
      <c r="G7" s="176" t="inlineStr">
        <is>
          <t>Üretim</t>
        </is>
      </c>
    </row>
    <row r="8">
      <c r="A8" s="180" t="n">
        <v>5</v>
      </c>
      <c r="B8" s="176" t="inlineStr">
        <is>
          <t>Üretim</t>
        </is>
      </c>
      <c r="C8" s="176" t="inlineStr">
        <is>
          <t>Sözleşmeler GEÇTİ</t>
        </is>
      </c>
      <c r="D8" s="176" t="inlineStr">
        <is>
          <t>Çalışan Excel</t>
        </is>
      </c>
      <c r="E8" s="176" t="inlineStr">
        <is>
          <t>Tek gerçek kaynak korunmuş</t>
        </is>
      </c>
      <c r="F8" s="176" t="inlineStr">
        <is>
          <t>HATA</t>
        </is>
      </c>
      <c r="G8" s="176" t="inlineStr">
        <is>
          <t>Testler</t>
        </is>
      </c>
    </row>
    <row r="9" ht="28" customHeight="1">
      <c r="A9" s="180" t="n">
        <v>6</v>
      </c>
      <c r="B9" s="176" t="inlineStr">
        <is>
          <t>Görsel/Kullanım Katmanı</t>
        </is>
      </c>
      <c r="C9" s="176" t="inlineStr">
        <is>
          <t>Motor hazır</t>
        </is>
      </c>
      <c r="D9" s="176" t="inlineStr">
        <is>
          <t>Başlıklar + renk + grafik + yönlendirme</t>
        </is>
      </c>
      <c r="E9" s="176" t="inlineStr">
        <is>
          <t>Tüm kullanıcı sayfaları standarda uygun</t>
        </is>
      </c>
      <c r="F9" s="176" t="inlineStr">
        <is>
          <t>HATA</t>
        </is>
      </c>
      <c r="G9" s="176" t="inlineStr">
        <is>
          <t>Testler</t>
        </is>
      </c>
    </row>
    <row r="10" ht="28" customHeight="1">
      <c r="A10" s="180" t="n">
        <v>7</v>
      </c>
      <c r="B10" s="176" t="inlineStr">
        <is>
          <t>Testler</t>
        </is>
      </c>
      <c r="C10" s="176" t="inlineStr">
        <is>
          <t>Üretim tamam</t>
        </is>
      </c>
      <c r="D10" s="176" t="inlineStr">
        <is>
          <t>Formül/OOXML/kimlik/oracle/golden/metamorfik</t>
        </is>
      </c>
      <c r="E10" s="176" t="inlineStr">
        <is>
          <t>Uygulanabilir hard gate'ler GEÇTİ</t>
        </is>
      </c>
      <c r="F10" s="176" t="inlineStr">
        <is>
          <t>HATA</t>
        </is>
      </c>
      <c r="G10" s="176" t="inlineStr">
        <is>
          <t>Kanıt</t>
        </is>
      </c>
    </row>
    <row r="11">
      <c r="A11" s="180" t="n">
        <v>8</v>
      </c>
      <c r="B11" s="176" t="inlineStr">
        <is>
          <t>Hata-Kontrol Tutarlılığı</t>
        </is>
      </c>
      <c r="C11" s="176" t="inlineStr">
        <is>
          <t>Test sonucu var</t>
        </is>
      </c>
      <c r="D11" s="176" t="inlineStr">
        <is>
          <t>Hata taraması + kontrol sonuçları</t>
        </is>
      </c>
      <c r="E11" s="176" t="inlineStr">
        <is>
          <t>Formül hatası varken GEÇTİ yok</t>
        </is>
      </c>
      <c r="F11" s="176" t="inlineStr">
        <is>
          <t>HATA</t>
        </is>
      </c>
      <c r="G11" s="176" t="inlineStr">
        <is>
          <t>Kanıt</t>
        </is>
      </c>
    </row>
    <row r="12">
      <c r="A12" s="180" t="n">
        <v>9</v>
      </c>
      <c r="B12" s="176" t="inlineStr">
        <is>
          <t>Kanıt</t>
        </is>
      </c>
      <c r="C12" s="176" t="inlineStr">
        <is>
          <t>Test sonucu var</t>
        </is>
      </c>
      <c r="D12" s="176" t="inlineStr">
        <is>
          <t>Makine okunur artefakt + özet</t>
        </is>
      </c>
      <c r="E12" s="176" t="inlineStr">
        <is>
          <t>Kanıt fiziksel ve tutarlı</t>
        </is>
      </c>
      <c r="F12" s="176" t="inlineStr">
        <is>
          <t>HATA</t>
        </is>
      </c>
      <c r="G12" s="176" t="inlineStr">
        <is>
          <t>Kullanıcı Kabulü</t>
        </is>
      </c>
    </row>
    <row r="13">
      <c r="A13" s="180" t="n">
        <v>10</v>
      </c>
      <c r="B13" s="176" t="inlineStr">
        <is>
          <t>Kullanıcı Kabulü</t>
        </is>
      </c>
      <c r="C13" s="176" t="inlineStr">
        <is>
          <t>Kritik görevler</t>
        </is>
      </c>
      <c r="D13" s="176" t="inlineStr">
        <is>
          <t>Gerçek ekran davranışı</t>
        </is>
      </c>
      <c r="E13" s="176" t="inlineStr">
        <is>
          <t>Kritik görevler %100</t>
        </is>
      </c>
      <c r="F13" s="176" t="inlineStr">
        <is>
          <t>DIŞ_KABUL_GEREKLİ</t>
        </is>
      </c>
      <c r="G13" s="176" t="inlineStr">
        <is>
          <t>Ticari</t>
        </is>
      </c>
    </row>
    <row r="14">
      <c r="A14" s="180" t="n">
        <v>11</v>
      </c>
      <c r="B14" s="176" t="inlineStr">
        <is>
          <t>Ticari Değer</t>
        </is>
      </c>
      <c r="C14" s="176" t="inlineStr">
        <is>
          <t>Ürün satılacaksa</t>
        </is>
      </c>
      <c r="D14" s="176" t="inlineStr">
        <is>
          <t>ROI + demo + kanıt paketi</t>
        </is>
      </c>
      <c r="E14" s="176" t="inlineStr">
        <is>
          <t>Ekonomik değer kanıtlı</t>
        </is>
      </c>
      <c r="F14" s="176" t="inlineStr">
        <is>
          <t>UYARI / HATA</t>
        </is>
      </c>
      <c r="G14" s="176" t="inlineStr">
        <is>
          <t>Pazar Doğrulama</t>
        </is>
      </c>
    </row>
    <row r="15">
      <c r="A15" s="180" t="n">
        <v>12</v>
      </c>
      <c r="B15" s="176" t="inlineStr">
        <is>
          <t>Pazar Doğrulama</t>
        </is>
      </c>
      <c r="C15" s="176" t="inlineStr">
        <is>
          <t>Pazar iddiası varsa</t>
        </is>
      </c>
      <c r="D15" s="176" t="inlineStr">
        <is>
          <t>Ücretli satış/pilot/fiyat kabul kanıtı</t>
        </is>
      </c>
      <c r="E15" s="176" t="inlineStr">
        <is>
          <t>Gerçek fiyat kabul kanıtı</t>
        </is>
      </c>
      <c r="F15" s="176" t="inlineStr">
        <is>
          <t>UYGULANMAZ / HATA</t>
        </is>
      </c>
      <c r="G15" s="176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NİHAİ KONTROL LİSTESİ — KANITSIZ GEÇİŞ YOK</t>
        </is>
      </c>
    </row>
    <row r="3" ht="24" customHeight="1">
      <c r="A3" s="182" t="inlineStr">
        <is>
          <t>Kontrol No</t>
        </is>
      </c>
      <c r="B3" s="182" t="inlineStr">
        <is>
          <t>Kontrol</t>
        </is>
      </c>
      <c r="C3" s="182" t="inlineStr">
        <is>
          <t>Beklenen</t>
        </is>
      </c>
      <c r="D3" s="182" t="inlineStr">
        <is>
          <t>Zorunlu Kapı?</t>
        </is>
      </c>
      <c r="E3" s="182" t="inlineStr">
        <is>
          <t>Sonuç</t>
        </is>
      </c>
    </row>
    <row r="4">
      <c r="A4" s="183" t="inlineStr">
        <is>
          <t>K01</t>
        </is>
      </c>
      <c r="B4" s="176" t="inlineStr">
        <is>
          <t>Kullanıcının açık talebi öncelikli mi?</t>
        </is>
      </c>
      <c r="C4" s="176" t="inlineStr">
        <is>
          <t>Evet</t>
        </is>
      </c>
      <c r="D4" s="176" t="inlineStr">
        <is>
          <t>EVET</t>
        </is>
      </c>
    </row>
    <row r="5">
      <c r="A5" s="183" t="inlineStr">
        <is>
          <t>K02</t>
        </is>
      </c>
      <c r="B5" s="176" t="inlineStr">
        <is>
          <t>Mevcut yapı, formüller ve tek gerçek kaynak korunuyor mu?</t>
        </is>
      </c>
      <c r="C5" s="176" t="inlineStr">
        <is>
          <t>Evet, değişiklik gerekçeli</t>
        </is>
      </c>
      <c r="D5" s="176" t="inlineStr">
        <is>
          <t>EVET</t>
        </is>
      </c>
    </row>
    <row r="6">
      <c r="A6" s="183" t="inlineStr">
        <is>
          <t>K03</t>
        </is>
      </c>
      <c r="B6" s="176" t="inlineStr">
        <is>
          <t>Üst aşama HATA ise alt aşama GEÇTİ engelleniyor mu?</t>
        </is>
      </c>
      <c r="C6" s="176" t="inlineStr">
        <is>
          <t>Evet</t>
        </is>
      </c>
      <c r="D6" s="176" t="inlineStr">
        <is>
          <t>EVET</t>
        </is>
      </c>
    </row>
    <row r="7">
      <c r="A7" s="183" t="inlineStr">
        <is>
          <t>K04</t>
        </is>
      </c>
      <c r="B7" s="176" t="inlineStr">
        <is>
          <t>Kanıt fiziksel çıktı ve içerik doğrulaması içeriyor mu?</t>
        </is>
      </c>
      <c r="C7" s="176" t="inlineStr">
        <is>
          <t>Evet</t>
        </is>
      </c>
      <c r="D7" s="176" t="inlineStr">
        <is>
          <t>EVET</t>
        </is>
      </c>
    </row>
    <row r="8">
      <c r="A8" s="183" t="inlineStr">
        <is>
          <t>K05</t>
        </is>
      </c>
      <c r="B8" s="176" t="inlineStr">
        <is>
          <t>Excel GUI erişimi olmadan kullanıcı görünümü GEÇTİ yazılıyor mu?</t>
        </is>
      </c>
      <c r="C8" s="176" t="inlineStr">
        <is>
          <t>Hayır</t>
        </is>
      </c>
      <c r="D8" s="176" t="inlineStr">
        <is>
          <t>EVET</t>
        </is>
      </c>
    </row>
    <row r="9">
      <c r="A9" s="183" t="inlineStr">
        <is>
          <t>K06</t>
        </is>
      </c>
      <c r="B9" s="176" t="inlineStr">
        <is>
          <t>NİHAİ yalnız GEÇTİ / gerekçeli UYGULANMAZ ile mi?</t>
        </is>
      </c>
      <c r="C9" s="176" t="inlineStr">
        <is>
          <t>Evet</t>
        </is>
      </c>
      <c r="D9" s="176" t="inlineStr">
        <is>
          <t>EVET</t>
        </is>
      </c>
    </row>
    <row r="10">
      <c r="A10" s="183" t="inlineStr">
        <is>
          <t>K07</t>
        </is>
      </c>
      <c r="B10" s="176" t="inlineStr">
        <is>
          <t>Ekonomik fiyat savunusu pazar doğrulamasından ayrılmış mı?</t>
        </is>
      </c>
      <c r="C10" s="176" t="inlineStr">
        <is>
          <t>Evet</t>
        </is>
      </c>
      <c r="D10" s="176" t="inlineStr">
        <is>
          <t>EVET</t>
        </is>
      </c>
    </row>
    <row r="11">
      <c r="A11" s="183" t="inlineStr">
        <is>
          <t>K08</t>
        </is>
      </c>
      <c r="B11" s="176" t="inlineStr">
        <is>
          <t>Prestij için gereksiz modül var mı?</t>
        </is>
      </c>
      <c r="C11" s="176" t="inlineStr">
        <is>
          <t>Hayır</t>
        </is>
      </c>
      <c r="D11" s="176" t="inlineStr">
        <is>
          <t>HAYIR</t>
        </is>
      </c>
    </row>
    <row r="12">
      <c r="A12" s="183" t="inlineStr">
        <is>
          <t>K09</t>
        </is>
      </c>
      <c r="B12" s="176" t="inlineStr">
        <is>
          <t>Excel sınırları açık mı?</t>
        </is>
      </c>
      <c r="C12" s="176" t="inlineStr">
        <is>
          <t>Evet</t>
        </is>
      </c>
      <c r="D12" s="176" t="inlineStr">
        <is>
          <t>EVET</t>
        </is>
      </c>
    </row>
    <row r="13">
      <c r="A13" s="183" t="inlineStr">
        <is>
          <t>K10</t>
        </is>
      </c>
      <c r="B13" s="176" t="inlineStr">
        <is>
          <t>Teknik kaynak korunuyor mu?</t>
        </is>
      </c>
      <c r="C13" s="176" t="inlineStr">
        <is>
          <t>Evet</t>
        </is>
      </c>
      <c r="D13" s="176" t="inlineStr">
        <is>
          <t>EVET</t>
        </is>
      </c>
    </row>
    <row r="14">
      <c r="A14" s="183" t="inlineStr">
        <is>
          <t>K11</t>
        </is>
      </c>
      <c r="B14" s="176" t="inlineStr">
        <is>
          <t>Kullanıcıya görünen tüm metinler Türkçe mi?</t>
        </is>
      </c>
      <c r="C14" s="176" t="inlineStr">
        <is>
          <t>Evet</t>
        </is>
      </c>
      <c r="D14" s="176" t="inlineStr">
        <is>
          <t>EVET</t>
        </is>
      </c>
    </row>
    <row r="15">
      <c r="A15" s="183" t="inlineStr">
        <is>
          <t>K12</t>
        </is>
      </c>
      <c r="B15" s="176" t="inlineStr">
        <is>
          <t>Her kullanıcı sayfasında üst başlık var mı?</t>
        </is>
      </c>
      <c r="C15" s="176" t="inlineStr">
        <is>
          <t>Evet</t>
        </is>
      </c>
      <c r="D15" s="176" t="inlineStr">
        <is>
          <t>EVET</t>
        </is>
      </c>
    </row>
    <row r="16">
      <c r="A16" s="183" t="inlineStr">
        <is>
          <t>K13</t>
        </is>
      </c>
      <c r="B16" s="176" t="inlineStr">
        <is>
          <t>Sayfalar arasında tutarlı renk sistemi var mı?</t>
        </is>
      </c>
      <c r="C16" s="176" t="inlineStr">
        <is>
          <t>Evet</t>
        </is>
      </c>
      <c r="D16" s="176" t="inlineStr">
        <is>
          <t>EVET</t>
        </is>
      </c>
    </row>
    <row r="17">
      <c r="A17" s="183" t="inlineStr">
        <is>
          <t>K14</t>
        </is>
      </c>
      <c r="B17" s="176" t="inlineStr">
        <is>
          <t>Alt sayfa sekmeleri işlevine göre renklendirilmiş mi?</t>
        </is>
      </c>
      <c r="C17" s="176" t="inlineStr">
        <is>
          <t>Evet</t>
        </is>
      </c>
      <c r="D17" s="176" t="inlineStr">
        <is>
          <t>EVET</t>
        </is>
      </c>
    </row>
    <row r="18">
      <c r="A18" s="183" t="inlineStr">
        <is>
          <t>K15</t>
        </is>
      </c>
      <c r="B18" s="176" t="inlineStr">
        <is>
          <t>İçerik blokları arasında gereksiz boş kolon var mı?</t>
        </is>
      </c>
      <c r="C18" s="176" t="inlineStr">
        <is>
          <t>Hayır</t>
        </is>
      </c>
      <c r="D18" s="176" t="inlineStr">
        <is>
          <t>EVET</t>
        </is>
      </c>
    </row>
    <row r="19">
      <c r="A19" s="183" t="inlineStr">
        <is>
          <t>K16</t>
        </is>
      </c>
      <c r="B19" s="176" t="inlineStr">
        <is>
          <t>Grafikler premium ve karar odaklı mı?</t>
        </is>
      </c>
      <c r="C19" s="176" t="inlineStr">
        <is>
          <t>Evet</t>
        </is>
      </c>
      <c r="D19" s="176" t="inlineStr">
        <is>
          <t>EVET</t>
        </is>
      </c>
    </row>
    <row r="20">
      <c r="A20" s="183" t="inlineStr">
        <is>
          <t>K17</t>
        </is>
      </c>
      <c r="B20" s="176" t="inlineStr">
        <is>
          <t>Varsayılan Excel grafiği / 3B / dekoratif grafik var mı?</t>
        </is>
      </c>
      <c r="C20" s="176" t="inlineStr">
        <is>
          <t>Hayır</t>
        </is>
      </c>
      <c r="D20" s="176" t="inlineStr">
        <is>
          <t>EVET</t>
        </is>
      </c>
    </row>
    <row r="21">
      <c r="A21" s="183" t="inlineStr">
        <is>
          <t>K18</t>
        </is>
      </c>
      <c r="B21" s="176" t="inlineStr">
        <is>
          <t>Finansal ürün Türkiye Tekdüzen Hesap Planı ile eşleşiyor mu?</t>
        </is>
      </c>
      <c r="C21" s="176" t="inlineStr">
        <is>
          <t>Evet</t>
        </is>
      </c>
      <c r="D21" s="176" t="inlineStr">
        <is>
          <t>EVET</t>
        </is>
      </c>
    </row>
    <row r="22">
      <c r="A22" s="183" t="inlineStr">
        <is>
          <t>K19</t>
        </is>
      </c>
      <c r="B22" s="176" t="inlineStr">
        <is>
          <t>Muhasebe satır adları Türkiye kullanımına uygun mu?</t>
        </is>
      </c>
      <c r="C22" s="176" t="inlineStr">
        <is>
          <t>Evet</t>
        </is>
      </c>
      <c r="D22" s="176" t="inlineStr">
        <is>
          <t>EVET</t>
        </is>
      </c>
    </row>
    <row r="23">
      <c r="A23" s="183" t="inlineStr">
        <is>
          <t>K20</t>
        </is>
      </c>
      <c r="B23" s="176" t="inlineStr">
        <is>
          <t>Formül hatası varken herhangi bir kontrol GEÇTİ gösteriyor mu?</t>
        </is>
      </c>
      <c r="C23" s="176" t="inlineStr">
        <is>
          <t>Hayır</t>
        </is>
      </c>
      <c r="D23" s="176" t="inlineStr">
        <is>
          <t>EVET</t>
        </is>
      </c>
    </row>
    <row r="24">
      <c r="A24" s="183" t="inlineStr">
        <is>
          <t>K21</t>
        </is>
      </c>
      <c r="B24" s="176" t="inlineStr">
        <is>
          <t>Karar Motoru boş veya yalnız başlık düzeyinde mi?</t>
        </is>
      </c>
      <c r="C24" s="176" t="inlineStr">
        <is>
          <t>Hayır</t>
        </is>
      </c>
      <c r="D24" s="176" t="inlineStr">
        <is>
          <t>EVET</t>
        </is>
      </c>
    </row>
    <row r="25">
      <c r="A25" s="183" t="inlineStr">
        <is>
          <t>K22</t>
        </is>
      </c>
      <c r="B25" s="176" t="inlineStr">
        <is>
          <t>Senaryo/Stres modülü gerçekten sonuç değiştiriyor mu?</t>
        </is>
      </c>
      <c r="C25" s="176" t="inlineStr">
        <is>
          <t>Evet</t>
        </is>
      </c>
      <c r="D25" s="176" t="inlineStr">
        <is>
          <t>EVET</t>
        </is>
      </c>
    </row>
    <row r="26">
      <c r="A26" s="183" t="inlineStr">
        <is>
          <t>K23</t>
        </is>
      </c>
      <c r="B26" s="176" t="inlineStr">
        <is>
          <t>Oracle/bağımsız doğrulama gerçek veri üretiyor mu?</t>
        </is>
      </c>
      <c r="C26" s="176" t="inlineStr">
        <is>
          <t>Evet veya gerekçeli UYGULANMAZ</t>
        </is>
      </c>
      <c r="D26" s="176" t="inlineStr">
        <is>
          <t>EVET</t>
        </is>
      </c>
    </row>
    <row r="27">
      <c r="A27" s="183" t="inlineStr">
        <is>
          <t>K24</t>
        </is>
      </c>
      <c r="B27" s="176" t="inlineStr">
        <is>
          <t>Yönetici ekranı 5 saniyede sorunu ve aksiyonu anlatıyor mu?</t>
        </is>
      </c>
      <c r="C27" s="176" t="inlineStr">
        <is>
          <t>Evet</t>
        </is>
      </c>
      <c r="D27" s="176" t="inlineStr">
        <is>
          <t>EVET</t>
        </is>
      </c>
    </row>
    <row r="28">
      <c r="A28" s="183" t="inlineStr">
        <is>
          <t>K25</t>
        </is>
      </c>
      <c r="B28" s="176" t="inlineStr">
        <is>
          <t>Her kritik kararın parasal etkisi ve önerilen aksiyonu var mı?</t>
        </is>
      </c>
      <c r="C28" s="176" t="inlineStr">
        <is>
          <t>Evet</t>
        </is>
      </c>
      <c r="D28" s="176" t="inlineStr">
        <is>
          <t>EVET</t>
        </is>
      </c>
    </row>
    <row r="29">
      <c r="A29" s="183" t="inlineStr">
        <is>
          <t>K26</t>
        </is>
      </c>
      <c r="B29" s="176" t="inlineStr">
        <is>
          <t>Ürün sayfası/ürün içi demo satın alma gerekçesini kanıtlıyor mu?</t>
        </is>
      </c>
      <c r="C29" s="176" t="inlineStr">
        <is>
          <t>Evet</t>
        </is>
      </c>
      <c r="D29" s="176" t="inlineStr">
        <is>
          <t>EVET</t>
        </is>
      </c>
    </row>
    <row r="30" ht="30" customHeight="1">
      <c r="A30" s="184" t="inlineStr">
        <is>
          <t>K27</t>
        </is>
      </c>
      <c r="B30" s="185" t="inlineStr">
        <is>
          <t>Buton görünümü verilen tüm alanlar gerçekten tıklanabilir ve doğru hedefe gidiyor mu?</t>
        </is>
      </c>
      <c r="C30" s="185" t="inlineStr">
        <is>
          <t>Evet</t>
        </is>
      </c>
      <c r="D30" s="176" t="inlineStr">
        <is>
          <t>EVET</t>
        </is>
      </c>
    </row>
    <row r="31" ht="30" customHeight="1">
      <c r="A31" s="184" t="inlineStr">
        <is>
          <t>K28</t>
        </is>
      </c>
      <c r="B31" s="185" t="inlineStr">
        <is>
          <t>Tüm görünür kullanıcı sheet tabları kurumsal kategori rengi taşıyor mu?</t>
        </is>
      </c>
      <c r="C31" s="185" t="inlineStr">
        <is>
          <t>Evet</t>
        </is>
      </c>
      <c r="D31" s="176" t="inlineStr">
        <is>
          <t>EVET</t>
        </is>
      </c>
    </row>
    <row r="32" ht="16" customHeight="1">
      <c r="A32" s="184" t="inlineStr">
        <is>
          <t>K29</t>
        </is>
      </c>
      <c r="B32" s="185" t="inlineStr">
        <is>
          <t>Sheet sırası tanımlı kullanıcı iş akışıyla birebir aynı mı?</t>
        </is>
      </c>
      <c r="C32" s="185" t="inlineStr">
        <is>
          <t>Evet</t>
        </is>
      </c>
      <c r="D32" s="176" t="inlineStr">
        <is>
          <t>EVET</t>
        </is>
      </c>
    </row>
    <row r="33" ht="30" customHeight="1">
      <c r="A33" s="184" t="inlineStr">
        <is>
          <t>K30</t>
        </is>
      </c>
      <c r="B33" s="185" t="inlineStr">
        <is>
          <t>Kurumsal renk paleti tutarlı mı; rastgele/gökkuşağı renk kullanımı var mı?</t>
        </is>
      </c>
      <c r="C33" s="185" t="inlineStr">
        <is>
          <t>Evet / Hayır</t>
        </is>
      </c>
      <c r="D33" s="176" t="inlineStr">
        <is>
          <t>EVET</t>
        </is>
      </c>
    </row>
    <row r="34" ht="30" customHeight="1">
      <c r="A34" s="184" t="inlineStr">
        <is>
          <t>K31</t>
        </is>
      </c>
      <c r="B34" s="185" t="inlineStr">
        <is>
          <t>Premium vitrin, altyapı kadar güçlü ve satış fiyatını destekleyecek seviyede mi?</t>
        </is>
      </c>
      <c r="C34" s="185" t="inlineStr">
        <is>
          <t>Evet</t>
        </is>
      </c>
      <c r="D34" s="176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GÖRSEL TASARIM VE PREMIUM EXCEL STANDARDI</t>
        </is>
      </c>
    </row>
    <row r="3" ht="24" customHeight="1">
      <c r="A3" s="187" t="inlineStr">
        <is>
          <t>Alan</t>
        </is>
      </c>
      <c r="B3" s="187" t="inlineStr">
        <is>
          <t>Zorunlu Kural</t>
        </is>
      </c>
      <c r="C3" s="187" t="inlineStr">
        <is>
          <t>Uygulama</t>
        </is>
      </c>
      <c r="D3" s="187" t="inlineStr">
        <is>
          <t>Yasak</t>
        </is>
      </c>
      <c r="E3" s="187" t="inlineStr">
        <is>
          <t>Kontrol</t>
        </is>
      </c>
      <c r="F3" s="187" t="inlineStr">
        <is>
          <t>Durum</t>
        </is>
      </c>
    </row>
    <row r="4" ht="28" customHeight="1">
      <c r="A4" s="188" t="inlineStr">
        <is>
          <t>Sayfa başlığı</t>
        </is>
      </c>
      <c r="B4" s="176" t="inlineStr">
        <is>
          <t>Her kullanıcı sayfasının en üstünde tek ve açık sayfa başlığı</t>
        </is>
      </c>
      <c r="C4" s="176" t="inlineStr">
        <is>
          <t>A1'den başlayan koyu lacivert başlık bandı</t>
        </is>
      </c>
      <c r="D4" s="176" t="inlineStr">
        <is>
          <t>Başlıksız sayfa</t>
        </is>
      </c>
      <c r="E4" s="176" t="inlineStr">
        <is>
          <t>Başlık kapsama = %100</t>
        </is>
      </c>
      <c r="F4" s="189" t="inlineStr">
        <is>
          <t>ZORUNLU</t>
        </is>
      </c>
    </row>
    <row r="5" ht="28" customHeight="1">
      <c r="A5" s="188" t="inlineStr">
        <is>
          <t>Sekme renkleri</t>
        </is>
      </c>
      <c r="B5" s="176" t="inlineStr">
        <is>
          <t>Sayfalar işlevine göre renk kodlanır</t>
        </is>
      </c>
      <c r="C5" s="176" t="inlineStr">
        <is>
          <t>Girdi=mavi, hesap=gri, rapor=lacivert, kontrol=kırmızı, kılavuz=altın</t>
        </is>
      </c>
      <c r="D5" s="176" t="inlineStr">
        <is>
          <t>Rastgele renk</t>
        </is>
      </c>
      <c r="E5" s="176" t="inlineStr">
        <is>
          <t>Renk semantiği tutarlı</t>
        </is>
      </c>
      <c r="F5" s="189" t="inlineStr">
        <is>
          <t>ZORUNLU</t>
        </is>
      </c>
    </row>
    <row r="6" ht="28" customHeight="1">
      <c r="A6" s="188" t="inlineStr">
        <is>
          <t>Kolon düzeni</t>
        </is>
      </c>
      <c r="B6" s="176" t="inlineStr">
        <is>
          <t>Veri blokları bitişik kolonlarda ilerler</t>
        </is>
      </c>
      <c r="C6" s="176" t="inlineStr">
        <is>
          <t>Gereksiz boş kolon bırakma; yalnız gerçek bölüm ayrımı varsa kontrollü boşluk</t>
        </is>
      </c>
      <c r="D6" s="176" t="inlineStr">
        <is>
          <t>A:C veri, D boş, E:F veri gibi parçalı yapı</t>
        </is>
      </c>
      <c r="E6" s="176" t="inlineStr">
        <is>
          <t>Boş kolon taraması</t>
        </is>
      </c>
      <c r="F6" s="189" t="inlineStr">
        <is>
          <t>ZORUNLU</t>
        </is>
      </c>
    </row>
    <row r="7" ht="16" customHeight="1">
      <c r="A7" s="188" t="inlineStr">
        <is>
          <t>Girdi hücreleri</t>
        </is>
      </c>
      <c r="B7" s="176" t="inlineStr">
        <is>
          <t>Kullanıcının değiştireceği alan açıkça görünür</t>
        </is>
      </c>
      <c r="C7" s="176" t="inlineStr">
        <is>
          <t>Açık sarı dolgu + mavi yazı</t>
        </is>
      </c>
      <c r="D7" s="176" t="inlineStr">
        <is>
          <t>Formülle aynı görünüm</t>
        </is>
      </c>
      <c r="E7" s="176" t="inlineStr">
        <is>
          <t>Girdi/formül ayrımı</t>
        </is>
      </c>
      <c r="F7" s="189" t="inlineStr">
        <is>
          <t>ZORUNLU</t>
        </is>
      </c>
    </row>
    <row r="8" ht="16" customHeight="1">
      <c r="A8" s="188" t="inlineStr">
        <is>
          <t>Formüller</t>
        </is>
      </c>
      <c r="B8" s="176" t="inlineStr">
        <is>
          <t>Hesap hücreleri kullanıcı girdisinden ayrılır</t>
        </is>
      </c>
      <c r="C8" s="176" t="inlineStr">
        <is>
          <t>Siyah yazı; sayfalar arası bağlantı yeşil yazı</t>
        </is>
      </c>
      <c r="D8" s="176" t="inlineStr">
        <is>
          <t>Hard-code gizleme</t>
        </is>
      </c>
      <c r="E8" s="176" t="inlineStr">
        <is>
          <t>Formül sınıfı kontrolü</t>
        </is>
      </c>
      <c r="F8" s="189" t="inlineStr">
        <is>
          <t>ZORUNLU</t>
        </is>
      </c>
    </row>
    <row r="9" ht="16" customHeight="1">
      <c r="A9" s="188" t="inlineStr">
        <is>
          <t>Grafik sayısı</t>
        </is>
      </c>
      <c r="B9" s="176" t="inlineStr">
        <is>
          <t>Yönetici ekranında en fazla 3 ana karar grafiği</t>
        </is>
      </c>
      <c r="C9" s="176" t="inlineStr">
        <is>
          <t>Trend, karşılaştırma, köprü/dağılım; iş kararına bağlı</t>
        </is>
      </c>
      <c r="D9" s="176" t="inlineStr">
        <is>
          <t>Grafik kalabalığı</t>
        </is>
      </c>
      <c r="E9" s="176" t="inlineStr">
        <is>
          <t>Grafik başına karar sorusu</t>
        </is>
      </c>
      <c r="F9" s="189" t="inlineStr">
        <is>
          <t>ZORUNLU</t>
        </is>
      </c>
    </row>
    <row r="10" ht="16" customHeight="1">
      <c r="A10" s="188" t="inlineStr">
        <is>
          <t>Grafik stili</t>
        </is>
      </c>
      <c r="B10" s="176" t="inlineStr">
        <is>
          <t>Kurumsal ve yüksek okunabilirlik</t>
        </is>
      </c>
      <c r="C10" s="176" t="inlineStr">
        <is>
          <t>Beyaz zemin, ince gridline, tek vurgu rengi, açık birim/başlık</t>
        </is>
      </c>
      <c r="D10" s="176" t="inlineStr">
        <is>
          <t>3B, gölge, neon, gökkuşağı renkleri</t>
        </is>
      </c>
      <c r="E10" s="176" t="inlineStr">
        <is>
          <t>Görsel inceleme</t>
        </is>
      </c>
      <c r="F10" s="189" t="inlineStr">
        <is>
          <t>ZORUNLU</t>
        </is>
      </c>
    </row>
    <row r="11" ht="16" customHeight="1">
      <c r="A11" s="188" t="inlineStr">
        <is>
          <t>Grafik başlığı</t>
        </is>
      </c>
      <c r="B11" s="176" t="inlineStr">
        <is>
          <t>Grafik 'neyi' değil 'ne anlama geldiğini' söyler</t>
        </is>
      </c>
      <c r="C11" s="176" t="inlineStr">
        <is>
          <t>Örn: 'Nakit 2028'de kritik eşiğin altına iniyor'</t>
        </is>
      </c>
      <c r="D11" s="176" t="inlineStr">
        <is>
          <t>'Nakit Grafiği' gibi anlamsız başlık</t>
        </is>
      </c>
      <c r="E11" s="176" t="inlineStr">
        <is>
          <t>Başlık karar testi</t>
        </is>
      </c>
      <c r="F11" s="189" t="inlineStr">
        <is>
          <t>ZORUNLU</t>
        </is>
      </c>
    </row>
    <row r="12" ht="16" customHeight="1">
      <c r="A12" s="188" t="inlineStr">
        <is>
          <t>Birimler</t>
        </is>
      </c>
      <c r="B12" s="176" t="inlineStr">
        <is>
          <t>Tüm finansal görsellerde birim açık</t>
        </is>
      </c>
      <c r="C12" s="176" t="inlineStr">
        <is>
          <t>TL, bin TL, milyon TL, %, gün, x</t>
        </is>
      </c>
      <c r="D12" s="176" t="inlineStr">
        <is>
          <t>Birim belirsizliği</t>
        </is>
      </c>
      <c r="E12" s="176" t="inlineStr">
        <is>
          <t>Birim kapsama %100</t>
        </is>
      </c>
      <c r="F12" s="189" t="inlineStr">
        <is>
          <t>ZORUNLU</t>
        </is>
      </c>
    </row>
    <row r="13" ht="16" customHeight="1">
      <c r="A13" s="188" t="inlineStr">
        <is>
          <t>Sıfır/negatif</t>
        </is>
      </c>
      <c r="B13" s="176" t="inlineStr">
        <is>
          <t>Finansal format standardı</t>
        </is>
      </c>
      <c r="C13" s="176" t="inlineStr">
        <is>
          <t>Sıfır='-', negatif kırmızı parantez</t>
        </is>
      </c>
      <c r="D13" s="176" t="inlineStr">
        <is>
          <t>-500 veya 0,00 kalabalığı</t>
        </is>
      </c>
      <c r="E13" s="176" t="inlineStr">
        <is>
          <t>Format kontrolü</t>
        </is>
      </c>
      <c r="F13" s="189" t="inlineStr">
        <is>
          <t>ZORUNLU</t>
        </is>
      </c>
    </row>
    <row r="14" ht="16" customHeight="1">
      <c r="A14" s="188" t="inlineStr">
        <is>
          <t>Yazı tipi</t>
        </is>
      </c>
      <c r="B14" s="176" t="inlineStr">
        <is>
          <t>Tek aile</t>
        </is>
      </c>
      <c r="C14" s="176" t="inlineStr">
        <is>
          <t>Aptos veya Segoe UI</t>
        </is>
      </c>
      <c r="D14" s="176" t="inlineStr">
        <is>
          <t>Karışık font</t>
        </is>
      </c>
      <c r="E14" s="176" t="inlineStr">
        <is>
          <t>Tek font kontrolü</t>
        </is>
      </c>
      <c r="F14" s="189" t="inlineStr">
        <is>
          <t>ZORUNLU</t>
        </is>
      </c>
    </row>
    <row r="15" ht="16" customHeight="1">
      <c r="A15" s="188" t="inlineStr">
        <is>
          <t>Izgara</t>
        </is>
      </c>
      <c r="B15" s="176" t="inlineStr">
        <is>
          <t>Kullanıcı sayfalarında kapalı</t>
        </is>
      </c>
      <c r="C15" s="176" t="inlineStr">
        <is>
          <t>Bölüm çizgileri ve kart sınırlarıyla düzen</t>
        </is>
      </c>
      <c r="D15" s="176" t="inlineStr">
        <is>
          <t>Excel varsayılan gridline</t>
        </is>
      </c>
      <c r="E15" s="176" t="inlineStr">
        <is>
          <t>Gridline kontrolü</t>
        </is>
      </c>
      <c r="F15" s="189" t="inlineStr">
        <is>
          <t>ZORUNLU</t>
        </is>
      </c>
    </row>
    <row r="16" ht="16" customHeight="1">
      <c r="A16" s="188" t="inlineStr">
        <is>
          <t>Boş durum</t>
        </is>
      </c>
      <c r="B16" s="176" t="inlineStr">
        <is>
          <t>Veri yokken temiz ve anlaşılır</t>
        </is>
      </c>
      <c r="C16" s="176" t="inlineStr">
        <is>
          <t>'Henüz veri yok' / 'Girdi bekleniyor'</t>
        </is>
      </c>
      <c r="D16" s="176" t="inlineStr">
        <is>
          <t>0 yığını / hata kodu</t>
        </is>
      </c>
      <c r="E16" s="176" t="inlineStr">
        <is>
          <t>Boş veri testi</t>
        </is>
      </c>
      <c r="F16" s="189" t="inlineStr">
        <is>
          <t>ZORUNLU</t>
        </is>
      </c>
    </row>
    <row r="17" ht="28" customHeight="1">
      <c r="A17" s="188" t="inlineStr">
        <is>
          <t>Başlangıç deneyimi</t>
        </is>
      </c>
      <c r="B17" s="176" t="inlineStr">
        <is>
          <t>İlk 5 saniyede ne gireceği ve neye bakacağı anlaşılır</t>
        </is>
      </c>
      <c r="C17" s="176" t="inlineStr">
        <is>
          <t>Girdi → durum → aksiyon akışı</t>
        </is>
      </c>
      <c r="D17" s="176" t="inlineStr">
        <is>
          <t>Kılavuz aramaya zorlama</t>
        </is>
      </c>
      <c r="E17" s="176" t="inlineStr">
        <is>
          <t>5 saniye testi</t>
        </is>
      </c>
      <c r="F17" s="189" t="inlineStr">
        <is>
          <t>ZORUNLU</t>
        </is>
      </c>
    </row>
    <row r="18" ht="30" customHeight="1">
      <c r="A18" s="184" t="inlineStr">
        <is>
          <t>Buton standardı</t>
        </is>
      </c>
      <c r="B18" s="185" t="inlineStr">
        <is>
          <t>Buton görünümü verilen her alan gerçek işlev taşır</t>
        </is>
      </c>
      <c r="C18" s="185" t="inlineStr">
        <is>
          <t>Sayfa içi HYPERLINK / gerçek aksiyon; tıklanınca hedefe gider</t>
        </is>
      </c>
      <c r="D18" s="185" t="inlineStr">
        <is>
          <t>İşlevsiz dekoratif buton / sahte navigasyon</t>
        </is>
      </c>
      <c r="E18" s="185" t="inlineStr">
        <is>
          <t>Butonların %100'ü tıklanabilir ve hedefi doğru</t>
        </is>
      </c>
      <c r="F18" s="189" t="inlineStr">
        <is>
          <t>ZORUNLU</t>
        </is>
      </c>
    </row>
    <row r="19" ht="32" customHeight="1">
      <c r="A19" s="184" t="inlineStr">
        <is>
          <t>Native sayfa sekmesi rengi</t>
        </is>
      </c>
      <c r="B19" s="185" t="inlineStr">
        <is>
          <t>Excel alt sheet tabları kurumsal paletle renklendirilir</t>
        </is>
      </c>
      <c r="C19" s="185" t="inlineStr">
        <is>
          <t>Başlangıç/özet=lacivert; girdiler=mavi; hesap/finans=teal; karar/kontrol=burgundy; doküman=gri</t>
        </is>
      </c>
      <c r="D19" s="185" t="inlineStr">
        <is>
          <t>Renksiz sekmeler veya rastgele/gökkuşağı renkleri</t>
        </is>
      </c>
      <c r="E19" s="185" t="inlineStr">
        <is>
          <t>Tüm görünür kullanıcı sheet tabları renkli</t>
        </is>
      </c>
      <c r="F19" s="189" t="inlineStr">
        <is>
          <t>ZORUNLU</t>
        </is>
      </c>
    </row>
    <row r="20" ht="60" customHeight="1">
      <c r="A20" s="184" t="inlineStr">
        <is>
          <t>İş akışı sıralaması</t>
        </is>
      </c>
      <c r="B20" s="185" t="inlineStr">
        <is>
          <t>Sayfalar kullanıcının çalışma sırasına göre fiziksel olarak dizilir</t>
        </is>
      </c>
      <c r="C20" s="185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5" t="inlineStr">
        <is>
          <t>Teknik oluşturma sırasına göre dağınık sheet dizilimi</t>
        </is>
      </c>
      <c r="E20" s="185" t="inlineStr">
        <is>
          <t>Sheet order = tanımlı workflow</t>
        </is>
      </c>
      <c r="F20" s="189" t="inlineStr">
        <is>
          <t>ZORUNLU</t>
        </is>
      </c>
    </row>
    <row r="21" ht="30" customHeight="1">
      <c r="A21" s="184" t="inlineStr">
        <is>
          <t>Kurumsal renk paleti</t>
        </is>
      </c>
      <c r="B21" s="185" t="inlineStr">
        <is>
          <t>Sekme, başlık, buton ve vurgu renkleri tek kurumsal paletten gelir</t>
        </is>
      </c>
      <c r="C21" s="185" t="inlineStr">
        <is>
          <t>Lacivert + mavi + teal + kontrollü burgundy/gri; kategori semantiği sabit</t>
        </is>
      </c>
      <c r="D21" s="185" t="inlineStr">
        <is>
          <t>Neon, rastgele yüksek doygunluk, her sayfada farklı bağımsız renk</t>
        </is>
      </c>
      <c r="E21" s="185" t="inlineStr">
        <is>
          <t>Palette token kontrolü</t>
        </is>
      </c>
      <c r="F21" s="189" t="inlineStr">
        <is>
          <t>ZORUNLU</t>
        </is>
      </c>
    </row>
    <row r="22" ht="45" customHeight="1">
      <c r="A22" s="184" t="inlineStr">
        <is>
          <t>Premium vitrin</t>
        </is>
      </c>
      <c r="B22" s="185" t="inlineStr">
        <is>
          <t>Görsel kalite ürün değerinin zorunlu parçasıdır</t>
        </is>
      </c>
      <c r="C22" s="185" t="inlineStr">
        <is>
          <t>Kaliteli grafik, gerçek KPI kartı, finansal hiyerarşi, tab rengi, fonksiyonel navigasyon</t>
        </is>
      </c>
      <c r="D22" s="185" t="inlineStr">
        <is>
          <t>Sadece doğru hesap yapıp çıplak/varsayılan Excel görünümü bırakmak</t>
        </is>
      </c>
      <c r="E22" s="185" t="inlineStr">
        <is>
          <t>Görsel release incelemesi</t>
        </is>
      </c>
      <c r="F22" s="189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TÜRKİYE MUHASEBE VE TEKDÜZEN HESAP PLANI STANDARDI</t>
        </is>
      </c>
    </row>
    <row r="3" ht="24" customHeight="1">
      <c r="A3" s="191" t="inlineStr">
        <is>
          <t>Konu</t>
        </is>
      </c>
      <c r="B3" s="191" t="inlineStr">
        <is>
          <t>Zorunlu Standart</t>
        </is>
      </c>
      <c r="C3" s="191" t="inlineStr">
        <is>
          <t>Örnek Türkçe Ad</t>
        </is>
      </c>
      <c r="D3" s="191" t="inlineStr">
        <is>
          <t>THP / Mantık</t>
        </is>
      </c>
      <c r="E3" s="191" t="inlineStr">
        <is>
          <t>Hata Riski</t>
        </is>
      </c>
      <c r="F3" s="191" t="inlineStr">
        <is>
          <t>Kontrol</t>
        </is>
      </c>
    </row>
    <row r="4">
      <c r="A4" s="192" t="inlineStr">
        <is>
          <t>Dil</t>
        </is>
      </c>
      <c r="B4" s="176" t="inlineStr">
        <is>
          <t>Kullanıcıya görünen finansal terimler Türkçe</t>
        </is>
      </c>
      <c r="C4" s="176" t="inlineStr">
        <is>
          <t>Hasılat, Satışların Maliyeti, Brüt Kâr, Faaliyet Giderleri</t>
        </is>
      </c>
      <c r="D4" s="176" t="inlineStr">
        <is>
          <t>Türk işletme kullanımına uygun</t>
        </is>
      </c>
      <c r="E4" s="176" t="inlineStr">
        <is>
          <t>İngilizce jargon</t>
        </is>
      </c>
      <c r="F4" s="176" t="inlineStr">
        <is>
          <t>Terminoloji taraması</t>
        </is>
      </c>
    </row>
    <row r="5" ht="28" customHeight="1">
      <c r="A5" s="192" t="inlineStr">
        <is>
          <t>Gelir Tablosu</t>
        </is>
      </c>
      <c r="B5" s="176" t="inlineStr">
        <is>
          <t>Türk sunum sırası kullanılır</t>
        </is>
      </c>
      <c r="C5" s="176" t="inlineStr">
        <is>
          <t>Net Satışlar → Satışların Maliyeti → Brüt Kâr → Faaliyet Giderleri → Faaliyet Kârı</t>
        </is>
      </c>
      <c r="D5" s="176" t="inlineStr">
        <is>
          <t>600/610/611; 620-623; 63x</t>
        </is>
      </c>
      <c r="E5" s="176" t="inlineStr">
        <is>
          <t>Yanlış sınıflama</t>
        </is>
      </c>
      <c r="F5" s="176" t="inlineStr">
        <is>
          <t>Hesap eşleme</t>
        </is>
      </c>
    </row>
    <row r="6" ht="28" customHeight="1">
      <c r="A6" s="192" t="inlineStr">
        <is>
          <t>Bilanço</t>
        </is>
      </c>
      <c r="B6" s="176" t="inlineStr">
        <is>
          <t>Dönen/Duran Varlık ve Kısa/Uzun Vadeli Yükümlülük ayrımı</t>
        </is>
      </c>
      <c r="C6" s="176" t="inlineStr">
        <is>
          <t>Hazır Değerler, Ticari Alacaklar, Stoklar, Mali Borçlar</t>
        </is>
      </c>
      <c r="D6" s="176" t="inlineStr">
        <is>
          <t>1xx / 2xx / 3xx / 4xx / 5xx</t>
        </is>
      </c>
      <c r="E6" s="176" t="inlineStr">
        <is>
          <t>Vade sınıfı hatası</t>
        </is>
      </c>
      <c r="F6" s="176" t="inlineStr">
        <is>
          <t>Bilanço eşitliği</t>
        </is>
      </c>
    </row>
    <row r="7">
      <c r="A7" s="192" t="inlineStr">
        <is>
          <t>Nakit Akışı</t>
        </is>
      </c>
      <c r="B7" s="176" t="inlineStr">
        <is>
          <t>İşletme/Yatırım/Finansman nakit akışları ayrılır</t>
        </is>
      </c>
      <c r="C7" s="176" t="inlineStr">
        <is>
          <t>Faaliyetlerden Nakit, Yatırım Harcamaları, Finansman Nakit Akışı</t>
        </is>
      </c>
      <c r="D7" s="176" t="inlineStr">
        <is>
          <t>Dolaylı/doğrudan yöntem açık seçilir</t>
        </is>
      </c>
      <c r="E7" s="176" t="inlineStr">
        <is>
          <t>Kâr = nakit sanılması</t>
        </is>
      </c>
      <c r="F7" s="176" t="inlineStr">
        <is>
          <t>Nakit devri</t>
        </is>
      </c>
    </row>
    <row r="8">
      <c r="A8" s="192" t="inlineStr">
        <is>
          <t>Ticari Alacaklar</t>
        </is>
      </c>
      <c r="B8" s="176" t="inlineStr">
        <is>
          <t>Cari ve vade mantığı korunur</t>
        </is>
      </c>
      <c r="C8" s="176" t="inlineStr">
        <is>
          <t>120 Alıcılar</t>
        </is>
      </c>
      <c r="D8" s="176" t="inlineStr">
        <is>
          <t>120</t>
        </is>
      </c>
      <c r="E8" s="176" t="inlineStr">
        <is>
          <t>Tahakkuk/nakit karışması</t>
        </is>
      </c>
      <c r="F8" s="176" t="inlineStr">
        <is>
          <t>Alacak devir kontrolü</t>
        </is>
      </c>
    </row>
    <row r="9">
      <c r="A9" s="192" t="inlineStr">
        <is>
          <t>Ticari Borçlar</t>
        </is>
      </c>
      <c r="B9" s="176" t="inlineStr">
        <is>
          <t>Tedarikçi borcu ayrı izlenir</t>
        </is>
      </c>
      <c r="C9" s="176" t="inlineStr">
        <is>
          <t>320 Satıcılar</t>
        </is>
      </c>
      <c r="D9" s="176" t="inlineStr">
        <is>
          <t>320</t>
        </is>
      </c>
      <c r="E9" s="176" t="inlineStr">
        <is>
          <t>Gider/ödeme karışması</t>
        </is>
      </c>
      <c r="F9" s="176" t="inlineStr">
        <is>
          <t>Borç devir kontrolü</t>
        </is>
      </c>
    </row>
    <row r="10">
      <c r="A10" s="192" t="inlineStr">
        <is>
          <t>Kasa/Banka</t>
        </is>
      </c>
      <c r="B10" s="176" t="inlineStr">
        <is>
          <t>Hazır değerler ayrı izlenir</t>
        </is>
      </c>
      <c r="C10" s="176" t="inlineStr">
        <is>
          <t>100 Kasa, 102 Bankalar</t>
        </is>
      </c>
      <c r="D10" s="176" t="inlineStr">
        <is>
          <t>100 / 102</t>
        </is>
      </c>
      <c r="E10" s="176" t="inlineStr">
        <is>
          <t>Virmanla toplam nakdin değişmesi</t>
        </is>
      </c>
      <c r="F10" s="176" t="inlineStr">
        <is>
          <t>Virman değişmezi</t>
        </is>
      </c>
    </row>
    <row r="11">
      <c r="A11" s="192" t="inlineStr">
        <is>
          <t>Stok</t>
        </is>
      </c>
      <c r="B11" s="176" t="inlineStr">
        <is>
          <t>Dikeye uygun stok türü</t>
        </is>
      </c>
      <c r="C11" s="176" t="inlineStr">
        <is>
          <t>150 İlk Madde ve Malzeme, 153 Ticari Mallar</t>
        </is>
      </c>
      <c r="D11" s="176" t="inlineStr">
        <is>
          <t>15x</t>
        </is>
      </c>
      <c r="E11" s="176" t="inlineStr">
        <is>
          <t>Maliyet ve stok hareketinin kopması</t>
        </is>
      </c>
      <c r="F11" s="176" t="inlineStr">
        <is>
          <t>Stok devri</t>
        </is>
      </c>
    </row>
    <row r="12" ht="28" customHeight="1">
      <c r="A12" s="192" t="inlineStr">
        <is>
          <t>Maddi Duran Varlık</t>
        </is>
      </c>
      <c r="B12" s="176" t="inlineStr">
        <is>
          <t>Yatırım harcaması ve amortisman bağlantılı</t>
        </is>
      </c>
      <c r="C12" s="176" t="inlineStr">
        <is>
          <t>253 Tesis Makine Cihazlar, 255 Demirbaşlar, 257 Birikmiş Amortismanlar</t>
        </is>
      </c>
      <c r="D12" s="176" t="inlineStr">
        <is>
          <t>25x</t>
        </is>
      </c>
      <c r="E12" s="176" t="inlineStr">
        <is>
          <t>Yatırım/gider karışması</t>
        </is>
      </c>
      <c r="F12" s="176" t="inlineStr">
        <is>
          <t>Net defter değeri devri</t>
        </is>
      </c>
    </row>
    <row r="13">
      <c r="A13" s="192" t="inlineStr">
        <is>
          <t>Mali Borçlar</t>
        </is>
      </c>
      <c r="B13" s="176" t="inlineStr">
        <is>
          <t>Kısa/uzun vadeli borç ayrımı</t>
        </is>
      </c>
      <c r="C13" s="176" t="inlineStr">
        <is>
          <t>300 Banka Kredileri / 400 Banka Kredileri</t>
        </is>
      </c>
      <c r="D13" s="176" t="inlineStr">
        <is>
          <t>300 / 400</t>
        </is>
      </c>
      <c r="E13" s="176" t="inlineStr">
        <is>
          <t>Vade sınıfı yanlış</t>
        </is>
      </c>
      <c r="F13" s="176" t="inlineStr">
        <is>
          <t>Borç devri</t>
        </is>
      </c>
    </row>
    <row r="14">
      <c r="A14" s="192" t="inlineStr">
        <is>
          <t>Özkaynak</t>
        </is>
      </c>
      <c r="B14" s="176" t="inlineStr">
        <is>
          <t>Sermaye ve geçmiş yıl kârları ayrı</t>
        </is>
      </c>
      <c r="C14" s="176" t="inlineStr">
        <is>
          <t>500 Sermaye, 570 Geçmiş Yıllar Kârları, 590 Dönem Net Kârı</t>
        </is>
      </c>
      <c r="D14" s="176" t="inlineStr">
        <is>
          <t>5xx</t>
        </is>
      </c>
      <c r="E14" s="176" t="inlineStr">
        <is>
          <t>Net kâr bağının kopması</t>
        </is>
      </c>
      <c r="F14" s="176" t="inlineStr">
        <is>
          <t>Özkaynak devri</t>
        </is>
      </c>
    </row>
    <row r="15">
      <c r="A15" s="192" t="inlineStr">
        <is>
          <t>Vergi</t>
        </is>
      </c>
      <c r="B15" s="176" t="inlineStr">
        <is>
          <t>Vergi satırları Türkiye mantığına uygun</t>
        </is>
      </c>
      <c r="C15" s="176" t="inlineStr">
        <is>
          <t>Dönem Vergi ve Diğer Yasal Yükümlülük Karşılıkları</t>
        </is>
      </c>
      <c r="D15" s="176" t="inlineStr">
        <is>
          <t>37x / ilgili vergi hesapları</t>
        </is>
      </c>
      <c r="E15" s="176" t="inlineStr">
        <is>
          <t>Vergi etkisinin yanlış dönemlenmesi</t>
        </is>
      </c>
      <c r="F15" s="176" t="inlineStr">
        <is>
          <t>Vergi sözleşmesi</t>
        </is>
      </c>
    </row>
    <row r="16">
      <c r="A16" s="192" t="inlineStr">
        <is>
          <t>İsim standardı</t>
        </is>
      </c>
      <c r="B16" s="176" t="inlineStr">
        <is>
          <t>Tablo ve sayfa adları Türkçe ve işlevsel</t>
        </is>
      </c>
      <c r="C16" s="176" t="inlineStr">
        <is>
          <t>GELİR_TABLOSU, BİLANÇO, NAKİT_AKISI, BORC_PLANI</t>
        </is>
      </c>
      <c r="D16" s="176" t="inlineStr">
        <is>
          <t>Tekrarlanabilir standart</t>
        </is>
      </c>
      <c r="E16" s="176" t="inlineStr">
        <is>
          <t>İngilizce/karma isim</t>
        </is>
      </c>
      <c r="F16" s="176" t="inlineStr">
        <is>
          <t>Sayfa ve tablo taraması</t>
        </is>
      </c>
    </row>
    <row r="17">
      <c r="A17" s="192" t="inlineStr">
        <is>
          <t>THP eşleme tablosu</t>
        </is>
      </c>
      <c r="B17" s="176" t="inlineStr">
        <is>
          <t>Her kritik satır en az bir THP hesabına bağlanır</t>
        </is>
      </c>
      <c r="C17" s="176" t="inlineStr">
        <is>
          <t>RaporSatırı → HesapKodu → HesapAdı → İşaret → Dönem</t>
        </is>
      </c>
      <c r="D17" s="176" t="inlineStr">
        <is>
          <t>Kaynak izlenebilirliği</t>
        </is>
      </c>
      <c r="E17" s="176" t="inlineStr">
        <is>
          <t>Rapordan rapora kaynak</t>
        </is>
      </c>
      <c r="F17" s="176" t="inlineStr">
        <is>
          <t>Eşleme kapsama %100</t>
        </is>
      </c>
    </row>
    <row r="18">
      <c r="A18" s="192" t="inlineStr">
        <is>
          <t>İstisna</t>
        </is>
      </c>
      <c r="B18" s="176" t="inlineStr">
        <is>
          <t>TFRS özel ürün varsa fark açık yazılır</t>
        </is>
      </c>
      <c r="C18" s="176" t="inlineStr">
        <is>
          <t>Tekdüzen raporlama ≠ TFRS finansal tablo sunumu</t>
        </is>
      </c>
      <c r="D18" s="176" t="inlineStr">
        <is>
          <t>Amaç belirtilir</t>
        </is>
      </c>
      <c r="E18" s="176" t="inlineStr">
        <is>
          <t>Standartları karıştırma</t>
        </is>
      </c>
      <c r="F18" s="176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KARAR, GÜVEN VE SATIŞA HAZIRLIK STANDARDI</t>
        </is>
      </c>
    </row>
    <row r="3" ht="24" customHeight="1">
      <c r="A3" s="194" t="inlineStr">
        <is>
          <t>Alan</t>
        </is>
      </c>
      <c r="B3" s="194" t="inlineStr">
        <is>
          <t>Müşteri Sorusu</t>
        </is>
      </c>
      <c r="C3" s="194" t="inlineStr">
        <is>
          <t>Zorunlu Ürün Davranışı</t>
        </is>
      </c>
      <c r="D3" s="194" t="inlineStr">
        <is>
          <t>Kanıt</t>
        </is>
      </c>
      <c r="E3" s="194" t="inlineStr">
        <is>
          <t>Başarısızlık Durumu</t>
        </is>
      </c>
      <c r="F3" s="194" t="inlineStr">
        <is>
          <t>Kapı</t>
        </is>
      </c>
    </row>
    <row r="4">
      <c r="A4" s="195" t="inlineStr">
        <is>
          <t>5 saniye</t>
        </is>
      </c>
      <c r="B4" s="176" t="inlineStr">
        <is>
          <t>Bu ürün neyi çözüyor?</t>
        </is>
      </c>
      <c r="C4" s="176" t="inlineStr">
        <is>
          <t>İlk ekranda hedef kullanıcı + pahalı problem + sonuç görünür</t>
        </is>
      </c>
      <c r="D4" s="176" t="inlineStr">
        <is>
          <t>Başlık + alt mesaj + gerçek ekran</t>
        </is>
      </c>
      <c r="E4" s="176" t="inlineStr">
        <is>
          <t>Ürün yalnız teknik isim</t>
        </is>
      </c>
      <c r="F4" s="196" t="inlineStr">
        <is>
          <t>HATA</t>
        </is>
      </c>
    </row>
    <row r="5">
      <c r="A5" s="195" t="inlineStr">
        <is>
          <t>Acı</t>
        </is>
      </c>
      <c r="B5" s="176" t="inlineStr">
        <is>
          <t>Sorun bana neye mal oluyor?</t>
        </is>
      </c>
      <c r="C5" s="176" t="inlineStr">
        <is>
          <t>Mümkünse müşterinin kendi verisiyle parasal/zaman etkisi hesaplanır</t>
        </is>
      </c>
      <c r="D5" s="176" t="inlineStr">
        <is>
          <t>ROI/acı hesaplama yöntemi</t>
        </is>
      </c>
      <c r="E5" s="176" t="inlineStr">
        <is>
          <t>Uydurma tasarruf</t>
        </is>
      </c>
      <c r="F5" s="196" t="inlineStr">
        <is>
          <t>HATA</t>
        </is>
      </c>
    </row>
    <row r="6">
      <c r="A6" s="195" t="inlineStr">
        <is>
          <t>Karar</t>
        </is>
      </c>
      <c r="B6" s="176" t="inlineStr">
        <is>
          <t>Bu bilgiyle ne yapacağım?</t>
        </is>
      </c>
      <c r="C6" s="176" t="inlineStr">
        <is>
          <t>Her kritik KPI aksiyona bağlanır</t>
        </is>
      </c>
      <c r="D6" s="176" t="inlineStr">
        <is>
          <t>KARAR_KUYRUGU</t>
        </is>
      </c>
      <c r="E6" s="176" t="inlineStr">
        <is>
          <t>Sadece rapor</t>
        </is>
      </c>
      <c r="F6" s="196" t="inlineStr">
        <is>
          <t>HATA</t>
        </is>
      </c>
    </row>
    <row r="7">
      <c r="A7" s="195" t="inlineStr">
        <is>
          <t>Güven</t>
        </is>
      </c>
      <c r="B7" s="176" t="inlineStr">
        <is>
          <t>Bu sayıya neden inanayım?</t>
        </is>
      </c>
      <c r="C7" s="176" t="inlineStr">
        <is>
          <t>Kaynak, formül mantığı, kontrol ve son doğrulama görünür</t>
        </is>
      </c>
      <c r="D7" s="176" t="inlineStr">
        <is>
          <t>Kontroller + kaynak izi + sürüm</t>
        </is>
      </c>
      <c r="E7" s="176" t="inlineStr">
        <is>
          <t>Prestij kelimesi</t>
        </is>
      </c>
      <c r="F7" s="196" t="inlineStr">
        <is>
          <t>HATA</t>
        </is>
      </c>
    </row>
    <row r="8">
      <c r="A8" s="195" t="inlineStr">
        <is>
          <t>Referans</t>
        </is>
      </c>
      <c r="B8" s="176" t="inlineStr">
        <is>
          <t>Müşteri yorumu yoksa ne göstereceğim?</t>
        </is>
      </c>
      <c r="C8" s="176" t="inlineStr">
        <is>
          <t>Önce/Sonra + Karar Vakası + Hata Önleme Vakası üretilir</t>
        </is>
      </c>
      <c r="D8" s="176" t="inlineStr">
        <is>
          <t>Demo/örnek çıktı</t>
        </is>
      </c>
      <c r="E8" s="176" t="inlineStr">
        <is>
          <t>Kanıtsız iddia</t>
        </is>
      </c>
      <c r="F8" s="196" t="inlineStr">
        <is>
          <t>HATA</t>
        </is>
      </c>
    </row>
    <row r="9">
      <c r="A9" s="195" t="inlineStr">
        <is>
          <t>Senaryo</t>
        </is>
      </c>
      <c r="B9" s="176" t="inlineStr">
        <is>
          <t>Ne olursa işler bozulur?</t>
        </is>
      </c>
      <c r="C9" s="176" t="inlineStr">
        <is>
          <t>Baz/Aşağı/Yukarı veya uygun stres senaryosu</t>
        </is>
      </c>
      <c r="D9" s="176" t="inlineStr">
        <is>
          <t>Senaryo karşılaştırma</t>
        </is>
      </c>
      <c r="E9" s="176" t="inlineStr">
        <is>
          <t>Dekoratif senaryo</t>
        </is>
      </c>
      <c r="F9" s="196" t="inlineStr">
        <is>
          <t>HATA</t>
        </is>
      </c>
    </row>
    <row r="10">
      <c r="A10" s="195" t="inlineStr">
        <is>
          <t>Ters stres</t>
        </is>
      </c>
      <c r="B10" s="176" t="inlineStr">
        <is>
          <t>Hangi eşikte karar kırılır?</t>
        </is>
      </c>
      <c r="C10" s="176" t="inlineStr">
        <is>
          <t>En az bir kritik sürücü için kırılma eşiği</t>
        </is>
      </c>
      <c r="D10" s="176" t="inlineStr">
        <is>
          <t>Kırılma eşiği tablosu</t>
        </is>
      </c>
      <c r="E10" s="176" t="inlineStr">
        <is>
          <t>Sadece +/- %10</t>
        </is>
      </c>
      <c r="F10" s="196" t="inlineStr">
        <is>
          <t>UYARI/HATA</t>
        </is>
      </c>
    </row>
    <row r="11">
      <c r="A11" s="195" t="inlineStr">
        <is>
          <t>Hata tutarlılığı</t>
        </is>
      </c>
      <c r="B11" s="176" t="inlineStr">
        <is>
          <t>Formül hata verirse ne olur?</t>
        </is>
      </c>
      <c r="C11" s="176" t="inlineStr">
        <is>
          <t>Kontrol GEÇTİ veremez; BLOKE/HATA üretir</t>
        </is>
      </c>
      <c r="D11" s="176" t="inlineStr">
        <is>
          <t>Hata taraması</t>
        </is>
      </c>
      <c r="E11" s="176" t="inlineStr">
        <is>
          <t>Hata + GEÇTİ birlikte</t>
        </is>
      </c>
      <c r="F11" s="196" t="inlineStr">
        <is>
          <t>HATA</t>
        </is>
      </c>
    </row>
    <row r="12">
      <c r="A12" s="195" t="inlineStr">
        <is>
          <t>Karar motoru</t>
        </is>
      </c>
      <c r="B12" s="176" t="inlineStr">
        <is>
          <t>Ne oldu, neden oldu?</t>
        </is>
      </c>
      <c r="C12" s="176" t="inlineStr">
        <is>
          <t>Sorun + neden + parasal etki + aksiyon + son tarih</t>
        </is>
      </c>
      <c r="D12" s="176" t="inlineStr">
        <is>
          <t>Karar tablosu</t>
        </is>
      </c>
      <c r="E12" s="176" t="inlineStr">
        <is>
          <t>Boş sayfa / isim düzeyi modül</t>
        </is>
      </c>
      <c r="F12" s="196" t="inlineStr">
        <is>
          <t>HATA</t>
        </is>
      </c>
    </row>
    <row r="13">
      <c r="A13" s="195" t="inlineStr">
        <is>
          <t>Yönetici özeti</t>
        </is>
      </c>
      <c r="B13" s="176" t="inlineStr">
        <is>
          <t>5 saniyede ne görmeliyim?</t>
        </is>
      </c>
      <c r="C13" s="176" t="inlineStr">
        <is>
          <t>Bugün / ne değişti / ne bozulacak / neden / ne yapmalıyım / güven</t>
        </is>
      </c>
      <c r="D13" s="176" t="inlineStr">
        <is>
          <t>Yönetici özeti ekranı</t>
        </is>
      </c>
      <c r="E13" s="176" t="inlineStr">
        <is>
          <t>KPI kutusu yığını</t>
        </is>
      </c>
      <c r="F13" s="196" t="inlineStr">
        <is>
          <t>HATA</t>
        </is>
      </c>
    </row>
    <row r="14">
      <c r="A14" s="195" t="inlineStr">
        <is>
          <t>Teklif</t>
        </is>
      </c>
      <c r="B14" s="176" t="inlineStr">
        <is>
          <t>Neden satın almalıyım?</t>
        </is>
      </c>
      <c r="C14" s="176" t="inlineStr">
        <is>
          <t>Dosya özellikleri yerine sonuç ve kaçınılan maliyet sunulur</t>
        </is>
      </c>
      <c r="D14" s="176" t="inlineStr">
        <is>
          <t>Ürün sayfası kanıt eşlemesi</t>
        </is>
      </c>
      <c r="E14" s="176" t="inlineStr">
        <is>
          <t>Özellik listesiyle satış</t>
        </is>
      </c>
      <c r="F14" s="196" t="inlineStr">
        <is>
          <t>HATA</t>
        </is>
      </c>
    </row>
    <row r="15">
      <c r="A15" s="195" t="inlineStr">
        <is>
          <t>Dağıtım</t>
        </is>
      </c>
      <c r="B15" s="176" t="inlineStr">
        <is>
          <t>Beni nasıl bulacaklar?</t>
        </is>
      </c>
      <c r="C15" s="176" t="inlineStr">
        <is>
          <t>Sorun niyetine göre SEO sayfaları, iç bağlantı, temiz yapı, taranabilir metin</t>
        </is>
      </c>
      <c r="D15" s="176" t="inlineStr">
        <is>
          <t>Arama niyeti haritası</t>
        </is>
      </c>
      <c r="E15" s="176" t="inlineStr">
        <is>
          <t>Tek ürün sayfasına bağımlılık</t>
        </is>
      </c>
      <c r="F15" s="196" t="inlineStr">
        <is>
          <t>UYARI</t>
        </is>
      </c>
    </row>
    <row r="16" ht="28" customHeight="1">
      <c r="A16" s="195" t="inlineStr">
        <is>
          <t>LLM görünürlüğü</t>
        </is>
      </c>
      <c r="B16" s="176" t="inlineStr">
        <is>
          <t>AI ürünümü anlayabiliyor mu?</t>
        </is>
      </c>
      <c r="C16" s="176" t="inlineStr">
        <is>
          <t>Ürün tanımı, hedef kullanıcı, girdi/çıktı, metodoloji, sınırlar, SSS açık metindir</t>
        </is>
      </c>
      <c r="D16" s="176" t="inlineStr">
        <is>
          <t>Taranabilir ürün içeriği</t>
        </is>
      </c>
      <c r="E16" s="176" t="inlineStr">
        <is>
          <t>'AI SEO' iddiası</t>
        </is>
      </c>
      <c r="F16" s="196" t="inlineStr">
        <is>
          <t>UYARI</t>
        </is>
      </c>
    </row>
    <row r="17">
      <c r="A17" s="195" t="inlineStr">
        <is>
          <t>Satış kanalı</t>
        </is>
      </c>
      <c r="B17" s="176" t="inlineStr">
        <is>
          <t>Nerede satılmalı?</t>
        </is>
      </c>
      <c r="C17" s="176" t="inlineStr">
        <is>
          <t>Arama, LinkedIn, uzman/partner, demo/video; ürüne göre kanal seçilir</t>
        </is>
      </c>
      <c r="D17" s="176" t="inlineStr">
        <is>
          <t>Kanal matrisi</t>
        </is>
      </c>
      <c r="E17" s="176" t="inlineStr">
        <is>
          <t>Her ürüne aynı kanal</t>
        </is>
      </c>
      <c r="F17" s="196" t="inlineStr">
        <is>
          <t>UYARI</t>
        </is>
      </c>
    </row>
    <row r="18">
      <c r="A18" s="195" t="inlineStr">
        <is>
          <t>Fiyat</t>
        </is>
      </c>
      <c r="B18" s="176" t="inlineStr">
        <is>
          <t>Bu fiyat neden mantıklı?</t>
        </is>
      </c>
      <c r="C18" s="176" t="inlineStr">
        <is>
          <t>Fiyat, ekonomik karar değerine ve kanıtlanmış ürün derinliğine bağlanır</t>
        </is>
      </c>
      <c r="D18" s="176" t="inlineStr">
        <is>
          <t>Değer haritası + demo</t>
        </is>
      </c>
      <c r="E18" s="176" t="inlineStr">
        <is>
          <t>Sırf sayfa/formül sayısı</t>
        </is>
      </c>
      <c r="F18" s="196" t="inlineStr">
        <is>
          <t>HATA</t>
        </is>
      </c>
    </row>
    <row r="19">
      <c r="A19" s="195" t="inlineStr">
        <is>
          <t>Pazar kanıtı</t>
        </is>
      </c>
      <c r="B19" s="176" t="inlineStr">
        <is>
          <t>Piyasa gerçekten ödüyor mu?</t>
        </is>
      </c>
      <c r="C19" s="176" t="inlineStr">
        <is>
          <t>Satış/pilot/LOI/fiyat kabulü olmadan pazar doğrulandı yazılmaz</t>
        </is>
      </c>
      <c r="D19" s="176" t="inlineStr">
        <is>
          <t>Gerçek işlem kanıtı</t>
        </is>
      </c>
      <c r="E19" s="176" t="inlineStr">
        <is>
          <t>Tahmini talep = satış kabulü</t>
        </is>
      </c>
      <c r="F19" s="196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KAPAK — GES Yatırım Fizibilite Simülatörü</t>
        </is>
      </c>
    </row>
    <row r="3" ht="22" customHeight="1">
      <c r="A3" s="226" t="inlineStr">
        <is>
          <t>GES Yatırım Fizibilite Simülatörü</t>
        </is>
      </c>
    </row>
    <row r="4">
      <c r="A4" s="4" t="inlineStr">
        <is>
          <t>Çatı veya saha GES kapasitesi, tüketim eşleştirme, CAPEX/OPEX ve tarife girdilerini işleyin; NPV/IRR aralığı ile YATIRIM YAPILIR / YATIRIM YAPMA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Tüketim eşleştirmeli gelir: öz tüketim tasarrufu + şebeke satış</t>
        </is>
      </c>
    </row>
    <row r="8">
      <c r="A8" s="6" t="inlineStr">
        <is>
          <t>• CAPEX / OPEX ayrımı + yıllık degradasyonlu nakit akışı</t>
        </is>
      </c>
    </row>
    <row r="9">
      <c r="A9" s="6" t="inlineStr">
        <is>
          <t>• Öz kaynak / kredi finansman senaryosu (F01)</t>
        </is>
      </c>
    </row>
    <row r="10">
      <c r="A10" s="6" t="inlineStr">
        <is>
          <t>• NPV / IRR aralık + tornado; kötümser YATIRIM YAPMA yolu (F04–F05)</t>
        </is>
      </c>
    </row>
    <row r="11">
      <c r="A11" s="6" t="inlineStr">
        <is>
          <t>• Varsayım kaynak+güven ve KANIT_RAPORU (banka/yatırımcı)</t>
        </is>
      </c>
    </row>
    <row r="13">
      <c r="A13" s="5" t="inlineStr">
        <is>
          <t>Kimler için?</t>
        </is>
      </c>
    </row>
    <row r="14">
      <c r="A14" s="7" t="inlineStr">
        <is>
          <t>• Tesis sahibi / mühendis — kapasite ve tüketim eşleştirmesini girmek</t>
        </is>
      </c>
    </row>
    <row r="15">
      <c r="A15" s="7" t="inlineStr">
        <is>
          <t>• Yatırımcı / CFO — NPV/IRR ile yatırım kararı vermek</t>
        </is>
      </c>
    </row>
    <row r="16">
      <c r="A16" s="7" t="inlineStr">
        <is>
          <t>• Banka kredi komitesi — imzalı fizibilite kanıtını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PANO/KARAR → 4) KANIT_RAPORU yazdır.</t>
        </is>
      </c>
    </row>
    <row r="21">
      <c r="A21" s="8" t="inlineStr">
        <is>
          <t>Sürüm 1.0.0 | 2026 | ExcelArşiv | Lisans: Tek kullanıcı | Kod: GYF-PRO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8:AD8"/>
    <mergeCell ref="A7:AD7"/>
    <mergeCell ref="A1:I1"/>
    <mergeCell ref="A4:P4"/>
    <mergeCell ref="A11:AD11"/>
    <mergeCell ref="A10:AD10"/>
    <mergeCell ref="A3:I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26.5" customWidth="1" min="1" max="1"/>
    <col width="9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HIZLI BASLANGIC — GES Yatırım Fizibilite Simülatörü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GIRDI'de proje tipi, kWp, özgül üretim, öz tüketim ve tarifeleri sarı hücrelere girin.</t>
        </is>
      </c>
    </row>
    <row r="6">
      <c r="A6" s="10" t="inlineStr">
        <is>
          <t>Adım 2 — Karar</t>
        </is>
      </c>
      <c r="B6" s="6" t="inlineStr">
        <is>
          <t>PANO ve KARAR'da NPV/IRR aralığı ve YATIRIM YAPILIR / YATIRIM YAPMA görün.</t>
        </is>
      </c>
    </row>
    <row r="7">
      <c r="A7" s="10" t="inlineStr">
        <is>
          <t>Adım 3 — Kanıt</t>
        </is>
      </c>
      <c r="B7" s="6" t="inlineStr">
        <is>
          <t>KANIT_RAPORU'nu yazdırın; FINANSMAN ve SENARYO ile doğrulayın.</t>
        </is>
      </c>
    </row>
    <row r="9">
      <c r="A9" s="10" t="inlineStr">
        <is>
          <t>Formüller</t>
        </is>
      </c>
    </row>
    <row r="10">
      <c r="A10" s="6" t="inlineStr">
        <is>
          <t>Üretim = kWp × özgül × (1−degradasyon)^yıl | Gelir = öz tüketim×perakende + satış×şebeke | NPV = Σ(net/(1+WACC)^t) − CAPEX</t>
        </is>
      </c>
    </row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9.5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GIRDI — GES Yatırım Fizibilite Simülatörü</t>
        </is>
      </c>
    </row>
    <row r="3" ht="22" customHeight="1">
      <c r="A3" s="227" t="inlineStr">
        <is>
          <t>GES proje girdileri</t>
        </is>
      </c>
    </row>
    <row r="4">
      <c r="A4" s="4" t="inlineStr">
        <is>
          <t>Sarı hücreler manuel giriştir. Tarifeler KURALLAR'dan ayna ile doğrulanır.</t>
        </is>
      </c>
    </row>
    <row r="5">
      <c r="A5" s="11" t="inlineStr">
        <is>
          <t>Alan</t>
        </is>
      </c>
      <c r="B5" s="11" t="inlineStr">
        <is>
          <t>Değer</t>
        </is>
      </c>
      <c r="C5" s="11" t="inlineStr">
        <is>
          <t>Birim</t>
        </is>
      </c>
    </row>
    <row r="6">
      <c r="A6" s="7" t="inlineStr">
        <is>
          <t>Şirket / Proje</t>
        </is>
      </c>
      <c r="B6" s="12" t="inlineStr">
        <is>
          <t>Örnek Enerji Yatırım A.Ş.</t>
        </is>
      </c>
      <c r="C6" s="13" t="inlineStr">
        <is>
          <t>metin</t>
        </is>
      </c>
    </row>
    <row r="7">
      <c r="A7" s="7" t="inlineStr">
        <is>
          <t>Dönem</t>
        </is>
      </c>
      <c r="B7" s="12" t="inlineStr">
        <is>
          <t>2026-Q3</t>
        </is>
      </c>
      <c r="C7" s="13" t="inlineStr">
        <is>
          <t>metin</t>
        </is>
      </c>
    </row>
    <row r="8">
      <c r="A8" s="7" t="inlineStr">
        <is>
          <t>Hesap Yılı</t>
        </is>
      </c>
      <c r="B8" s="14" t="n">
        <v>2026</v>
      </c>
      <c r="C8" s="13" t="inlineStr">
        <is>
          <t>yıl</t>
        </is>
      </c>
    </row>
    <row r="9">
      <c r="A9" s="7" t="inlineStr">
        <is>
          <t>Proje Tipi</t>
        </is>
      </c>
      <c r="B9" s="12" t="inlineStr">
        <is>
          <t>CATI</t>
        </is>
      </c>
      <c r="C9" s="13" t="inlineStr">
        <is>
          <t>metin</t>
        </is>
      </c>
    </row>
    <row r="10">
      <c r="A10" s="7" t="inlineStr">
        <is>
          <t>Kurulu güç [kWp]</t>
        </is>
      </c>
      <c r="B10" s="14" t="n">
        <v>100</v>
      </c>
      <c r="C10" s="13" t="inlineStr">
        <is>
          <t>kWp</t>
        </is>
      </c>
    </row>
    <row r="11">
      <c r="A11" s="7" t="inlineStr">
        <is>
          <t>Özgül üretim [kWh/kWp]</t>
        </is>
      </c>
      <c r="B11" s="14" t="n">
        <v>1400</v>
      </c>
      <c r="C11" s="13" t="inlineStr">
        <is>
          <t>kWh</t>
        </is>
      </c>
    </row>
    <row r="12">
      <c r="A12" s="7" t="inlineStr">
        <is>
          <t>Degradasyon [%/yıl]</t>
        </is>
      </c>
      <c r="B12" s="15" t="n">
        <v>0.005</v>
      </c>
      <c r="C12" s="13" t="inlineStr">
        <is>
          <t>%</t>
        </is>
      </c>
    </row>
    <row r="13">
      <c r="A13" s="7" t="inlineStr">
        <is>
          <t>Öz tüketim oranı [%]</t>
        </is>
      </c>
      <c r="B13" s="15" t="n">
        <v>0.7</v>
      </c>
      <c r="C13" s="13" t="inlineStr">
        <is>
          <t>%</t>
        </is>
      </c>
    </row>
    <row r="14">
      <c r="A14" s="7" t="inlineStr">
        <is>
          <t>Yıllık tüketim [kWh]</t>
        </is>
      </c>
      <c r="B14" s="14" t="n">
        <v>200000</v>
      </c>
      <c r="C14" s="13" t="inlineStr">
        <is>
          <t>kWh</t>
        </is>
      </c>
    </row>
    <row r="15">
      <c r="A15" s="7" t="inlineStr">
        <is>
          <t>Perakende tarife [₺/kWh]</t>
        </is>
      </c>
      <c r="B15" s="16" t="n">
        <v>3.5</v>
      </c>
      <c r="C15" s="13" t="inlineStr">
        <is>
          <t>₺/kWh</t>
        </is>
      </c>
    </row>
    <row r="16">
      <c r="A16" s="7" t="inlineStr">
        <is>
          <t>Şebeke satış tarife [₺/kWh]</t>
        </is>
      </c>
      <c r="B16" s="16" t="n">
        <v>1.2</v>
      </c>
      <c r="C16" s="13" t="inlineStr">
        <is>
          <t>₺/kWh</t>
        </is>
      </c>
    </row>
    <row r="17">
      <c r="A17" s="7" t="inlineStr">
        <is>
          <t>CAPEX birim [₺/kWp]</t>
        </is>
      </c>
      <c r="B17" s="17" t="n">
        <v>12000</v>
      </c>
      <c r="C17" s="13" t="inlineStr">
        <is>
          <t>₺</t>
        </is>
      </c>
    </row>
    <row r="18">
      <c r="A18" s="7" t="inlineStr">
        <is>
          <t>OPEX oranı [% CAPEX]</t>
        </is>
      </c>
      <c r="B18" s="15" t="n">
        <v>0.015</v>
      </c>
      <c r="C18" s="13" t="inlineStr">
        <is>
          <t>%</t>
        </is>
      </c>
    </row>
    <row r="19">
      <c r="A19" s="7" t="inlineStr">
        <is>
          <t>WACC [%]</t>
        </is>
      </c>
      <c r="B19" s="15" t="n">
        <v>0.18</v>
      </c>
      <c r="C19" s="13" t="inlineStr">
        <is>
          <t>%</t>
        </is>
      </c>
    </row>
    <row r="20">
      <c r="A20" s="7" t="inlineStr">
        <is>
          <t>NPV dönem [yıl]</t>
        </is>
      </c>
      <c r="B20" s="14" t="n">
        <v>25</v>
      </c>
      <c r="C20" s="13" t="inlineStr">
        <is>
          <t>yıl</t>
        </is>
      </c>
    </row>
    <row r="21">
      <c r="A21" s="7" t="inlineStr">
        <is>
          <t>Kredi faiz oranı [%]</t>
        </is>
      </c>
      <c r="B21" s="15" t="n">
        <v>0.28</v>
      </c>
      <c r="C21" s="13" t="inlineStr">
        <is>
          <t>%</t>
        </is>
      </c>
    </row>
    <row r="22">
      <c r="A22" s="7" t="inlineStr">
        <is>
          <t>Öz kaynak oranı [%]</t>
        </is>
      </c>
      <c r="B22" s="15" t="n">
        <v>0.4</v>
      </c>
      <c r="C22" s="13" t="inlineStr">
        <is>
          <t>%</t>
        </is>
      </c>
    </row>
    <row r="24">
      <c r="A24" s="10" t="inlineStr">
        <is>
          <t>CAPEX / YATIRIM toplam (ayna)</t>
        </is>
      </c>
      <c r="B24" s="18">
        <f>IFERROR(gyf_capexToplam,0)</f>
        <v/>
      </c>
    </row>
    <row r="25">
      <c r="A25" s="10" t="inlineStr">
        <is>
          <t>OPEX / ISLETME yıllık (ayna)</t>
        </is>
      </c>
      <c r="B25" s="19">
        <f>IFERROR(gyf_opexYillik,0)</f>
        <v/>
      </c>
    </row>
    <row r="26">
      <c r="A26" s="10" t="inlineStr">
        <is>
          <t>Yıllık gelir (ayna)</t>
        </is>
      </c>
      <c r="B26" s="18">
        <f>IFERROR(gyf_yillikGelir,0)</f>
        <v/>
      </c>
    </row>
    <row r="27">
      <c r="A27" s="10" t="inlineStr">
        <is>
          <t>Giriş doluluk</t>
        </is>
      </c>
      <c r="B27" s="20">
        <f>IFERROR(IF(OR(COUNTA(B6:B22)=0,gyf_girisBeklenen=0),0,ROUND(COUNTA(B6:B22)/gyf_girisBeklenen*100,0)),0)</f>
        <v/>
      </c>
    </row>
    <row r="29">
      <c r="A29" s="10" t="inlineStr">
        <is>
          <t>Giriş tablosu (otomasyon / boş-mod)</t>
        </is>
      </c>
    </row>
    <row r="30" ht="30" customHeight="1">
      <c r="A30" s="21" t="inlineStr">
        <is>
          <t>Alan Anahtarı</t>
        </is>
      </c>
      <c r="B30" s="21" t="inlineStr">
        <is>
          <t>Değer</t>
        </is>
      </c>
      <c r="C30" s="21" t="inlineStr">
        <is>
          <t>Birim</t>
        </is>
      </c>
      <c r="D30" s="21" t="inlineStr">
        <is>
          <t>Zorunlu</t>
        </is>
      </c>
      <c r="E30" s="21" t="inlineStr">
        <is>
          <t>Kaynak</t>
        </is>
      </c>
      <c r="F30" s="21" t="inlineStr">
        <is>
          <t>Kontrol</t>
        </is>
      </c>
    </row>
    <row r="31">
      <c r="A31" s="22" t="inlineStr">
        <is>
          <t>sirket_adi</t>
        </is>
      </c>
      <c r="B31" s="22" t="inlineStr">
        <is>
          <t>Örnek Enerji Yatırım A.Ş.</t>
        </is>
      </c>
      <c r="C31" s="22" t="inlineStr">
        <is>
          <t>metin</t>
        </is>
      </c>
      <c r="D31" s="22" t="inlineStr">
        <is>
          <t>Evet</t>
        </is>
      </c>
      <c r="E31" s="22" t="inlineStr">
        <is>
          <t>GIRDI</t>
        </is>
      </c>
      <c r="F31" s="23">
        <f>IF($A31="","",IF($B31="","EKSİK","TAM"))</f>
        <v/>
      </c>
    </row>
    <row r="32">
      <c r="A32" s="22" t="inlineStr">
        <is>
          <t>donem</t>
        </is>
      </c>
      <c r="B32" s="22" t="inlineStr">
        <is>
          <t>2026-Q3</t>
        </is>
      </c>
      <c r="C32" s="22" t="inlineStr">
        <is>
          <t>metin</t>
        </is>
      </c>
      <c r="D32" s="22" t="inlineStr">
        <is>
          <t>Evet</t>
        </is>
      </c>
      <c r="E32" s="22" t="inlineStr">
        <is>
          <t>GIRDI</t>
        </is>
      </c>
      <c r="F32" s="23">
        <f>IF($A32="","",IF($B32="","EKSİK","TAM"))</f>
        <v/>
      </c>
    </row>
    <row r="33">
      <c r="A33" s="22" t="inlineStr">
        <is>
          <t>hesapYili</t>
        </is>
      </c>
      <c r="B33" s="24" t="n">
        <v>2026</v>
      </c>
      <c r="C33" s="22" t="inlineStr">
        <is>
          <t>yıl</t>
        </is>
      </c>
      <c r="D33" s="22" t="inlineStr">
        <is>
          <t>Evet</t>
        </is>
      </c>
      <c r="E33" s="22" t="inlineStr">
        <is>
          <t>GIRDI</t>
        </is>
      </c>
      <c r="F33" s="23">
        <f>IF($A33="","",IF($B33="","EKSİK","TAM"))</f>
        <v/>
      </c>
    </row>
    <row r="34">
      <c r="A34" s="22" t="inlineStr">
        <is>
          <t>proje_tipi</t>
        </is>
      </c>
      <c r="B34" s="22" t="inlineStr">
        <is>
          <t>CATI</t>
        </is>
      </c>
      <c r="C34" s="22" t="inlineStr">
        <is>
          <t>kod</t>
        </is>
      </c>
      <c r="D34" s="22" t="inlineStr">
        <is>
          <t>Evet</t>
        </is>
      </c>
      <c r="E34" s="22" t="inlineStr">
        <is>
          <t>GIRDI</t>
        </is>
      </c>
      <c r="F34" s="23">
        <f>IF($A34="","",IF($B34="","EKSİK","TAM"))</f>
        <v/>
      </c>
    </row>
    <row r="35">
      <c r="A35" s="22" t="inlineStr">
        <is>
          <t>kurulu_guc</t>
        </is>
      </c>
      <c r="B35" s="24" t="n">
        <v>100</v>
      </c>
      <c r="C35" s="22" t="inlineStr">
        <is>
          <t>kWp</t>
        </is>
      </c>
      <c r="D35" s="22" t="inlineStr">
        <is>
          <t>Evet</t>
        </is>
      </c>
      <c r="E35" s="22" t="inlineStr">
        <is>
          <t>GIRDI</t>
        </is>
      </c>
      <c r="F35" s="23">
        <f>IF($A35="","",IF($B35="","EKSİK","TAM"))</f>
        <v/>
      </c>
    </row>
    <row r="36">
      <c r="A36" s="22" t="inlineStr">
        <is>
          <t>spesifik_uretim</t>
        </is>
      </c>
      <c r="B36" s="24" t="n">
        <v>1400</v>
      </c>
      <c r="C36" s="22" t="inlineStr">
        <is>
          <t>kWh/kWp</t>
        </is>
      </c>
      <c r="D36" s="22" t="inlineStr">
        <is>
          <t>Evet</t>
        </is>
      </c>
      <c r="E36" s="22" t="inlineStr">
        <is>
          <t>GIRDI</t>
        </is>
      </c>
      <c r="F36" s="23">
        <f>IF($A36="","",IF($B36="","EKSİK","TAM"))</f>
        <v/>
      </c>
    </row>
    <row r="37">
      <c r="A37" s="22" t="inlineStr">
        <is>
          <t>degradasyon</t>
        </is>
      </c>
      <c r="B37" s="25" t="n">
        <v>0.005</v>
      </c>
      <c r="C37" s="22" t="inlineStr">
        <is>
          <t>oran</t>
        </is>
      </c>
      <c r="D37" s="22" t="inlineStr">
        <is>
          <t>Evet</t>
        </is>
      </c>
      <c r="E37" s="22" t="inlineStr">
        <is>
          <t>GIRDI</t>
        </is>
      </c>
      <c r="F37" s="23">
        <f>IF($A37="","",IF($B37="","EKSİK","TAM"))</f>
        <v/>
      </c>
    </row>
    <row r="38">
      <c r="A38" s="22" t="inlineStr">
        <is>
          <t>oz_tuketim</t>
        </is>
      </c>
      <c r="B38" s="25" t="n">
        <v>0.7</v>
      </c>
      <c r="C38" s="22" t="inlineStr">
        <is>
          <t>oran</t>
        </is>
      </c>
      <c r="D38" s="22" t="inlineStr">
        <is>
          <t>Evet</t>
        </is>
      </c>
      <c r="E38" s="22" t="inlineStr">
        <is>
          <t>GIRDI</t>
        </is>
      </c>
      <c r="F38" s="23">
        <f>IF($A38="","",IF($B38="","EKSİK","TAM"))</f>
        <v/>
      </c>
    </row>
    <row r="39">
      <c r="A39" s="22" t="inlineStr">
        <is>
          <t>yillik_tuketim</t>
        </is>
      </c>
      <c r="B39" s="24" t="n">
        <v>200000</v>
      </c>
      <c r="C39" s="22" t="inlineStr">
        <is>
          <t>kWh</t>
        </is>
      </c>
      <c r="D39" s="22" t="inlineStr">
        <is>
          <t>Evet</t>
        </is>
      </c>
      <c r="E39" s="22" t="inlineStr">
        <is>
          <t>GIRDI</t>
        </is>
      </c>
      <c r="F39" s="23">
        <f>IF($A39="","",IF($B39="","EKSİK","TAM"))</f>
        <v/>
      </c>
    </row>
    <row r="40">
      <c r="A40" s="22" t="inlineStr">
        <is>
          <t>perakende_tarife</t>
        </is>
      </c>
      <c r="B40" s="26" t="n">
        <v>3.5</v>
      </c>
      <c r="C40" s="22" t="inlineStr">
        <is>
          <t>TL/kWh</t>
        </is>
      </c>
      <c r="D40" s="22" t="inlineStr">
        <is>
          <t>Evet</t>
        </is>
      </c>
      <c r="E40" s="22" t="inlineStr">
        <is>
          <t>GIRDI</t>
        </is>
      </c>
      <c r="F40" s="23">
        <f>IF($A40="","",IF($B40="","EKSİK","TAM"))</f>
        <v/>
      </c>
    </row>
    <row r="41">
      <c r="A41" s="22" t="inlineStr">
        <is>
          <t>satis_tarife</t>
        </is>
      </c>
      <c r="B41" s="26" t="n">
        <v>1.2</v>
      </c>
      <c r="C41" s="22" t="inlineStr">
        <is>
          <t>TL/kWh</t>
        </is>
      </c>
      <c r="D41" s="22" t="inlineStr">
        <is>
          <t>Evet</t>
        </is>
      </c>
      <c r="E41" s="22" t="inlineStr">
        <is>
          <t>GIRDI</t>
        </is>
      </c>
      <c r="F41" s="23">
        <f>IF($A41="","",IF($B41="","EKSİK","TAM"))</f>
        <v/>
      </c>
    </row>
    <row r="42">
      <c r="A42" s="22" t="inlineStr">
        <is>
          <t>capex_birim</t>
        </is>
      </c>
      <c r="B42" s="27" t="n">
        <v>12000</v>
      </c>
      <c r="C42" s="22" t="inlineStr">
        <is>
          <t>TL/kWp</t>
        </is>
      </c>
      <c r="D42" s="22" t="inlineStr">
        <is>
          <t>Evet</t>
        </is>
      </c>
      <c r="E42" s="22" t="inlineStr">
        <is>
          <t>GIRDI</t>
        </is>
      </c>
      <c r="F42" s="23">
        <f>IF($A42="","",IF($B42="","EKSİK","TAM"))</f>
        <v/>
      </c>
    </row>
    <row r="43">
      <c r="A43" s="22" t="inlineStr">
        <is>
          <t>opex_oran</t>
        </is>
      </c>
      <c r="B43" s="25" t="n">
        <v>0.015</v>
      </c>
      <c r="C43" s="22" t="inlineStr">
        <is>
          <t>oran</t>
        </is>
      </c>
      <c r="D43" s="22" t="inlineStr">
        <is>
          <t>Evet</t>
        </is>
      </c>
      <c r="E43" s="22" t="inlineStr">
        <is>
          <t>GIRDI</t>
        </is>
      </c>
      <c r="F43" s="23">
        <f>IF($A43="","",IF($B43="","EKSİK","TAM"))</f>
        <v/>
      </c>
    </row>
    <row r="44">
      <c r="A44" s="22" t="inlineStr">
        <is>
          <t>wacc</t>
        </is>
      </c>
      <c r="B44" s="25" t="n">
        <v>0.18</v>
      </c>
      <c r="C44" s="22" t="inlineStr">
        <is>
          <t>oran</t>
        </is>
      </c>
      <c r="D44" s="22" t="inlineStr">
        <is>
          <t>Evet</t>
        </is>
      </c>
      <c r="E44" s="22" t="inlineStr">
        <is>
          <t>GIRDI</t>
        </is>
      </c>
      <c r="F44" s="23">
        <f>IF($A44="","",IF($B44="","EKSİK","TAM"))</f>
        <v/>
      </c>
    </row>
    <row r="45">
      <c r="A45" s="22" t="inlineStr">
        <is>
          <t>npv_donem</t>
        </is>
      </c>
      <c r="B45" s="24" t="n">
        <v>25</v>
      </c>
      <c r="C45" s="22" t="inlineStr">
        <is>
          <t>yıl</t>
        </is>
      </c>
      <c r="D45" s="22" t="inlineStr">
        <is>
          <t>Evet</t>
        </is>
      </c>
      <c r="E45" s="22" t="inlineStr">
        <is>
          <t>GIRDI</t>
        </is>
      </c>
      <c r="F45" s="23">
        <f>IF($A45="","",IF($B45="","EKSİK","TAM"))</f>
        <v/>
      </c>
    </row>
    <row r="46">
      <c r="A46" s="22" t="inlineStr">
        <is>
          <t>kredi_orani</t>
        </is>
      </c>
      <c r="B46" s="25" t="n">
        <v>0.28</v>
      </c>
      <c r="C46" s="22" t="inlineStr">
        <is>
          <t>oran</t>
        </is>
      </c>
      <c r="D46" s="22" t="inlineStr">
        <is>
          <t>Evet</t>
        </is>
      </c>
      <c r="E46" s="22" t="inlineStr">
        <is>
          <t>GIRDI</t>
        </is>
      </c>
      <c r="F46" s="23">
        <f>IF($A46="","",IF($B46="","EKSİK","TAM"))</f>
        <v/>
      </c>
    </row>
    <row r="47">
      <c r="A47" s="22" t="inlineStr">
        <is>
          <t>oz_kaynak_oran</t>
        </is>
      </c>
      <c r="B47" s="25" t="n">
        <v>0.4</v>
      </c>
      <c r="C47" s="22" t="inlineStr">
        <is>
          <t>oran</t>
        </is>
      </c>
      <c r="D47" s="22" t="inlineStr">
        <is>
          <t>Evet</t>
        </is>
      </c>
      <c r="E47" s="22" t="inlineStr">
        <is>
          <t>GIRDI</t>
        </is>
      </c>
      <c r="F47" s="23">
        <f>IF($A47="","",IF($B47="","EKSİK","TAM"))</f>
        <v/>
      </c>
    </row>
    <row r="48">
      <c r="F48" s="23">
        <f>IF($A48="","",IF($B48="","EKSİK","TAM"))</f>
        <v/>
      </c>
    </row>
    <row r="49">
      <c r="F49" s="23">
        <f>IF($A49="","",IF($B49="","EKSİK","TAM"))</f>
        <v/>
      </c>
    </row>
    <row r="50">
      <c r="F50" s="23">
        <f>IF($A50="","",IF($B50="","EKSİK","TAM"))</f>
        <v/>
      </c>
    </row>
    <row r="51">
      <c r="F51" s="23">
        <f>IF($A51="","",IF($B51="","EKSİK","TAM"))</f>
        <v/>
      </c>
    </row>
    <row r="52">
      <c r="F52" s="23">
        <f>IF($A52="","",IF($B52="","EKSİK","TAM"))</f>
        <v/>
      </c>
    </row>
    <row r="53">
      <c r="F53" s="23">
        <f>IF($A53="","",IF($B53="","EKSİK","TAM"))</f>
        <v/>
      </c>
    </row>
    <row r="54">
      <c r="F54" s="23">
        <f>IF($A54="","",IF($B54="","EKSİK","TAM"))</f>
        <v/>
      </c>
    </row>
    <row r="55">
      <c r="F55" s="23">
        <f>IF($A55="","",IF($B55="","EKSİK","TAM"))</f>
        <v/>
      </c>
    </row>
    <row r="56">
      <c r="F56" s="23">
        <f>IF($A56="","",IF($B56="","EKSİK","TAM"))</f>
        <v/>
      </c>
    </row>
    <row r="57">
      <c r="F57" s="23">
        <f>IF($A57="","",IF($B57="","EKSİK","TAM"))</f>
        <v/>
      </c>
    </row>
    <row r="58">
      <c r="F58" s="23">
        <f>IF($A58="","",IF($B58="","EKSİK","TAM"))</f>
        <v/>
      </c>
    </row>
    <row r="59">
      <c r="F59" s="23">
        <f>IF($A59="","",IF($B59="","EKSİK","TAM"))</f>
        <v/>
      </c>
    </row>
    <row r="60">
      <c r="F60" s="23">
        <f>IF($A60="","",IF($B60="","EKSİK","TAM"))</f>
        <v/>
      </c>
    </row>
    <row r="61">
      <c r="F61" s="23">
        <f>IF($A61="","",IF($B61="","EKSİK","TAM"))</f>
        <v/>
      </c>
    </row>
    <row r="62">
      <c r="F62" s="23">
        <f>IF($A62="","",IF($B62="","EKSİK","TAM"))</f>
        <v/>
      </c>
    </row>
    <row r="63">
      <c r="F63" s="23">
        <f>IF($A63="","",IF($B63="","EKSİK","TAM"))</f>
        <v/>
      </c>
    </row>
    <row r="64">
      <c r="F64" s="23">
        <f>IF($A64="","",IF($B64="","EKSİK","TAM"))</f>
        <v/>
      </c>
    </row>
    <row r="65">
      <c r="F65" s="23">
        <f>IF($A65="","",IF($B65="","EKSİK","TAM"))</f>
        <v/>
      </c>
    </row>
    <row r="66">
      <c r="F66" s="23">
        <f>IF($A66="","",IF($B66="","EKSİK","TAM"))</f>
        <v/>
      </c>
    </row>
    <row r="67">
      <c r="F67" s="23">
        <f>IF($A67="","",IF($B67="","EKSİK","TAM"))</f>
        <v/>
      </c>
    </row>
    <row r="68">
      <c r="F68" s="23">
        <f>IF($A68="","",IF($B68="","EKSİK","TAM"))</f>
        <v/>
      </c>
    </row>
    <row r="69">
      <c r="F69" s="23">
        <f>IF($A69="","",IF($B69="","EKSİK","TAM"))</f>
        <v/>
      </c>
    </row>
    <row r="70">
      <c r="F70" s="23">
        <f>IF($A70="","",IF($B70="","EKSİK","TAM"))</f>
        <v/>
      </c>
    </row>
    <row r="71">
      <c r="F71" s="23">
        <f>IF($A71="","",IF($B71="","EKSİK","TAM"))</f>
        <v/>
      </c>
    </row>
    <row r="72">
      <c r="F72" s="23">
        <f>IF($A72="","",IF($B72="","EKSİK","TAM"))</f>
        <v/>
      </c>
    </row>
    <row r="73">
      <c r="F73" s="23">
        <f>IF($A73="","",IF($B73="","EKSİK","TAM"))</f>
        <v/>
      </c>
    </row>
    <row r="74">
      <c r="F74" s="23">
        <f>IF($A74="","",IF($B74="","EKSİK","TAM"))</f>
        <v/>
      </c>
    </row>
    <row r="75">
      <c r="F75" s="23">
        <f>IF($A75="","",IF($B75="","EKSİK","TAM"))</f>
        <v/>
      </c>
    </row>
    <row r="76">
      <c r="F76" s="23">
        <f>IF($A76="","",IF($B76="","EKSİK","TAM"))</f>
        <v/>
      </c>
    </row>
    <row r="77">
      <c r="F77" s="23">
        <f>IF($A77="","",IF($B77="","EKSİK","TAM"))</f>
        <v/>
      </c>
    </row>
    <row r="78">
      <c r="F78" s="23">
        <f>IF($A78="","",IF($B78="","EKSİK","TAM"))</f>
        <v/>
      </c>
    </row>
    <row r="79">
      <c r="F79" s="23">
        <f>IF($A79="","",IF($B79="","EKSİK","TAM"))</f>
        <v/>
      </c>
    </row>
    <row r="80">
      <c r="F80" s="23">
        <f>IF($A80="","",IF($B80="","EKSİK","TAM"))</f>
        <v/>
      </c>
    </row>
    <row r="81">
      <c r="F81" s="23">
        <f>IF($A81="","",IF($B81="","EKSİK","TAM"))</f>
        <v/>
      </c>
    </row>
    <row r="82">
      <c r="F82" s="23">
        <f>IF($A82="","",IF($B82="","EKSİK","TAM"))</f>
        <v/>
      </c>
    </row>
    <row r="83">
      <c r="F83" s="23">
        <f>IF($A83="","",IF($B83="","EKSİK","TAM"))</f>
        <v/>
      </c>
    </row>
    <row r="84">
      <c r="F84" s="23">
        <f>IF($A84="","",IF($B84="","EKSİK","TAM"))</f>
        <v/>
      </c>
    </row>
    <row r="85">
      <c r="F85" s="23">
        <f>IF($A85="","",IF($B85="","EKSİK","TAM"))</f>
        <v/>
      </c>
    </row>
    <row r="86">
      <c r="F86" s="23">
        <f>IF($A86="","",IF($B86="","EKSİK","TAM"))</f>
        <v/>
      </c>
    </row>
    <row r="87">
      <c r="F87" s="23">
        <f>IF($A87="","",IF($B87="","EKSİK","TAM"))</f>
        <v/>
      </c>
    </row>
    <row r="88">
      <c r="F88" s="23">
        <f>IF($A88="","",IF($B88="","EKSİK","TAM"))</f>
        <v/>
      </c>
    </row>
    <row r="89">
      <c r="F89" s="23">
        <f>IF($A89="","",IF($B89="","EKSİK","TAM"))</f>
        <v/>
      </c>
    </row>
    <row r="90">
      <c r="F90" s="23">
        <f>IF($A90="","",IF($B90="","EKSİK","TAM"))</f>
        <v/>
      </c>
    </row>
    <row r="91">
      <c r="F91" s="23">
        <f>IF($A91="","",IF($B91="","EKSİK","TAM"))</f>
        <v/>
      </c>
    </row>
    <row r="92">
      <c r="F92" s="23">
        <f>IF($A92="","",IF($B92="","EKSİK","TAM"))</f>
        <v/>
      </c>
    </row>
    <row r="93">
      <c r="F93" s="23">
        <f>IF($A93="","",IF($B93="","EKSİK","TAM"))</f>
        <v/>
      </c>
    </row>
    <row r="94">
      <c r="F94" s="23">
        <f>IF($A94="","",IF($B94="","EKSİK","TAM"))</f>
        <v/>
      </c>
    </row>
    <row r="95">
      <c r="F95" s="23">
        <f>IF($A95="","",IF($B95="","EKSİK","TAM"))</f>
        <v/>
      </c>
    </row>
    <row r="96">
      <c r="F96" s="23">
        <f>IF($A96="","",IF($B96="","EKSİK","TAM"))</f>
        <v/>
      </c>
    </row>
    <row r="97">
      <c r="F97" s="23">
        <f>IF($A97="","",IF($B97="","EKSİK","TAM"))</f>
        <v/>
      </c>
    </row>
    <row r="98">
      <c r="F98" s="23">
        <f>IF($A98="","",IF($B98="","EKSİK","TAM"))</f>
        <v/>
      </c>
    </row>
    <row r="99">
      <c r="F99" s="23">
        <f>IF($A99="","",IF($B99="","EKSİK","TAM"))</f>
        <v/>
      </c>
    </row>
    <row r="100">
      <c r="F100" s="23">
        <f>IF($A100="","",IF($B100="","EKSİK","TAM"))</f>
        <v/>
      </c>
    </row>
    <row r="101">
      <c r="F101" s="23">
        <f>IF($A101="","",IF($B101="","EKSİK","TAM"))</f>
        <v/>
      </c>
    </row>
    <row r="102">
      <c r="F102" s="23">
        <f>IF($A102="","",IF($B102="","EKSİK","TAM"))</f>
        <v/>
      </c>
    </row>
    <row r="103">
      <c r="F103" s="23">
        <f>IF($A103="","",IF($B103="","EKSİK","TAM"))</f>
        <v/>
      </c>
    </row>
    <row r="104">
      <c r="F104" s="23">
        <f>IF($A104="","",IF($B104="","EKSİK","TAM"))</f>
        <v/>
      </c>
    </row>
    <row r="105">
      <c r="F105" s="23">
        <f>IF($A105="","",IF($B105="","EKSİK","TAM"))</f>
        <v/>
      </c>
    </row>
    <row r="106">
      <c r="F106" s="23">
        <f>IF($A106="","",IF($B106="","EKSİK","TAM"))</f>
        <v/>
      </c>
    </row>
    <row r="107">
      <c r="F107" s="23">
        <f>IF($A107="","",IF($B107="","EKSİK","TAM"))</f>
        <v/>
      </c>
    </row>
    <row r="108">
      <c r="F108" s="23">
        <f>IF($A108="","",IF($B108="","EKSİK","TAM"))</f>
        <v/>
      </c>
    </row>
    <row r="109">
      <c r="F109" s="23">
        <f>IF($A109="","",IF($B109="","EKSİK","TAM"))</f>
        <v/>
      </c>
    </row>
    <row r="110">
      <c r="F110" s="23">
        <f>IF($A110="","",IF($B110="","EKSİK","TAM"))</f>
        <v/>
      </c>
    </row>
    <row r="111">
      <c r="F111" s="23">
        <f>IF($A111="","",IF($B111="","EKSİK","TAM"))</f>
        <v/>
      </c>
    </row>
    <row r="112">
      <c r="F112" s="23">
        <f>IF($A112="","",IF($B112="","EKSİK","TAM"))</f>
        <v/>
      </c>
    </row>
    <row r="113">
      <c r="F113" s="23">
        <f>IF($A113="","",IF($B113="","EKSİK","TAM"))</f>
        <v/>
      </c>
    </row>
    <row r="114">
      <c r="F114" s="23">
        <f>IF($A114="","",IF($B114="","EKSİK","TAM"))</f>
        <v/>
      </c>
    </row>
    <row r="115">
      <c r="F115" s="23">
        <f>IF($A115="","",IF($B115="","EKSİK","TAM"))</f>
        <v/>
      </c>
    </row>
    <row r="116">
      <c r="F116" s="23">
        <f>IF($A116="","",IF($B116="","EKSİK","TAM"))</f>
        <v/>
      </c>
    </row>
    <row r="117">
      <c r="F117" s="23">
        <f>IF($A117="","",IF($B117="","EKSİK","TAM"))</f>
        <v/>
      </c>
    </row>
    <row r="118">
      <c r="F118" s="23">
        <f>IF($A118="","",IF($B118="","EKSİK","TAM"))</f>
        <v/>
      </c>
    </row>
    <row r="119">
      <c r="F119" s="23">
        <f>IF($A119="","",IF($B119="","EKSİK","TAM"))</f>
        <v/>
      </c>
    </row>
    <row r="120">
      <c r="F120" s="23">
        <f>IF($A120="","",IF($B120="","EKSİK","TAM"))</f>
        <v/>
      </c>
    </row>
    <row r="121">
      <c r="F121" s="23">
        <f>IF($A121="","",IF($B121="","EKSİK","TAM"))</f>
        <v/>
      </c>
    </row>
    <row r="122">
      <c r="F122" s="23">
        <f>IF($A122="","",IF($B122="","EKSİK","TAM"))</f>
        <v/>
      </c>
    </row>
    <row r="123">
      <c r="F123" s="23">
        <f>IF($A123="","",IF($B123="","EKSİK","TAM"))</f>
        <v/>
      </c>
    </row>
    <row r="124">
      <c r="F124" s="23">
        <f>IF($A124="","",IF($B124="","EKSİK","TAM"))</f>
        <v/>
      </c>
    </row>
    <row r="125">
      <c r="F125" s="23">
        <f>IF($A125="","",IF($B125="","EKSİK","TAM"))</f>
        <v/>
      </c>
    </row>
    <row r="126">
      <c r="F126" s="23">
        <f>IF($A126="","",IF($B126="","EKSİK","TAM"))</f>
        <v/>
      </c>
    </row>
    <row r="127">
      <c r="F127" s="23">
        <f>IF($A127="","",IF($B127="","EKSİK","TAM"))</f>
        <v/>
      </c>
    </row>
    <row r="128">
      <c r="F128" s="23">
        <f>IF($A128="","",IF($B128="","EKSİK","TAM"))</f>
        <v/>
      </c>
    </row>
    <row r="129">
      <c r="F129" s="23">
        <f>IF($A129="","",IF($B129="","EKSİK","TAM"))</f>
        <v/>
      </c>
    </row>
    <row r="130">
      <c r="F130" s="23">
        <f>IF($A130="","",IF($B130="","EKSİK","TAM"))</f>
        <v/>
      </c>
    </row>
    <row r="131">
      <c r="F131" s="23">
        <f>IF($A131="","",IF($B131="","EKSİK","TAM"))</f>
        <v/>
      </c>
    </row>
    <row r="132">
      <c r="F132" s="23">
        <f>IF($A132="","",IF($B132="","EKSİK","TAM"))</f>
        <v/>
      </c>
    </row>
    <row r="133">
      <c r="F133" s="23">
        <f>IF($A133="","",IF($B133="","EKSİK","TAM"))</f>
        <v/>
      </c>
    </row>
    <row r="134">
      <c r="F134" s="23">
        <f>IF($A134="","",IF($B134="","EKSİK","TAM"))</f>
        <v/>
      </c>
    </row>
    <row r="135">
      <c r="F135" s="23">
        <f>IF($A135="","",IF($B135="","EKSİK","TAM"))</f>
        <v/>
      </c>
    </row>
    <row r="136">
      <c r="F136" s="23">
        <f>IF($A136="","",IF($B136="","EKSİK","TAM"))</f>
        <v/>
      </c>
    </row>
    <row r="137">
      <c r="F137" s="23">
        <f>IF($A137="","",IF($B137="","EKSİK","TAM"))</f>
        <v/>
      </c>
    </row>
    <row r="138">
      <c r="F138" s="23">
        <f>IF($A138="","",IF($B138="","EKSİK","TAM"))</f>
        <v/>
      </c>
    </row>
    <row r="139">
      <c r="F139" s="23">
        <f>IF($A139="","",IF($B139="","EKSİK","TAM"))</f>
        <v/>
      </c>
    </row>
    <row r="140">
      <c r="F140" s="23">
        <f>IF($A140="","",IF($B140="","EKSİK","TAM"))</f>
        <v/>
      </c>
    </row>
    <row r="141">
      <c r="F141" s="23">
        <f>IF($A141="","",IF($B141="","EKSİK","TAM"))</f>
        <v/>
      </c>
    </row>
    <row r="142">
      <c r="F142" s="23">
        <f>IF($A142="","",IF($B142="","EKSİK","TAM"))</f>
        <v/>
      </c>
    </row>
    <row r="143">
      <c r="F143" s="23">
        <f>IF($A143="","",IF($B143="","EKSİK","TAM"))</f>
        <v/>
      </c>
    </row>
    <row r="144">
      <c r="F144" s="23">
        <f>IF($A144="","",IF($B144="","EKSİK","TAM"))</f>
        <v/>
      </c>
    </row>
    <row r="145">
      <c r="F145" s="23">
        <f>IF($A145="","",IF($B145="","EKSİK","TAM"))</f>
        <v/>
      </c>
    </row>
    <row r="146">
      <c r="F146" s="23">
        <f>IF($A146="","",IF($B146="","EKSİK","TAM"))</f>
        <v/>
      </c>
    </row>
    <row r="147">
      <c r="F147" s="23">
        <f>IF($A147="","",IF($B147="","EKSİK","TAM"))</f>
        <v/>
      </c>
    </row>
    <row r="148">
      <c r="F148" s="23">
        <f>IF($A148="","",IF($B148="","EKSİK","TAM"))</f>
        <v/>
      </c>
    </row>
    <row r="149">
      <c r="F149" s="23">
        <f>IF($A149="","",IF($B149="","EKSİK","TAM"))</f>
        <v/>
      </c>
    </row>
    <row r="150">
      <c r="F150" s="23">
        <f>IF($A150="","",IF($B150="","EKSİK","TAM"))</f>
        <v/>
      </c>
    </row>
    <row r="151">
      <c r="F151" s="23">
        <f>IF($A151="","",IF($B151="","EKSİK","TAM"))</f>
        <v/>
      </c>
    </row>
    <row r="152">
      <c r="F152" s="23">
        <f>IF($A152="","",IF($B152="","EKSİK","TAM"))</f>
        <v/>
      </c>
    </row>
    <row r="153">
      <c r="F153" s="23">
        <f>IF($A153="","",IF($B153="","EKSİK","TAM"))</f>
        <v/>
      </c>
    </row>
    <row r="154">
      <c r="F154" s="23">
        <f>IF($A154="","",IF($B154="","EKSİK","TAM"))</f>
        <v/>
      </c>
    </row>
    <row r="155">
      <c r="F155" s="23">
        <f>IF($A155="","",IF($B155="","EKSİK","TAM"))</f>
        <v/>
      </c>
    </row>
    <row r="156">
      <c r="F156" s="23">
        <f>IF($A156="","",IF($B156="","EKSİK","TAM"))</f>
        <v/>
      </c>
    </row>
    <row r="157">
      <c r="F157" s="23">
        <f>IF($A157="","",IF($B157="","EKSİK","TAM"))</f>
        <v/>
      </c>
    </row>
    <row r="158">
      <c r="F158" s="23">
        <f>IF($A158="","",IF($B158="","EKSİK","TAM"))</f>
        <v/>
      </c>
    </row>
    <row r="159">
      <c r="F159" s="23">
        <f>IF($A159="","",IF($B159="","EKSİK","TAM"))</f>
        <v/>
      </c>
    </row>
    <row r="160">
      <c r="F160" s="23">
        <f>IF($A160="","",IF($B160="","EKSİK","TAM"))</f>
        <v/>
      </c>
    </row>
    <row r="161">
      <c r="F161" s="23">
        <f>IF($A161="","",IF($B161="","EKSİK","TAM"))</f>
        <v/>
      </c>
    </row>
    <row r="162">
      <c r="F162" s="23">
        <f>IF($A162="","",IF($B162="","EKSİK","TAM"))</f>
        <v/>
      </c>
    </row>
    <row r="163">
      <c r="F163" s="23">
        <f>IF($A163="","",IF($B163="","EKSİK","TAM"))</f>
        <v/>
      </c>
    </row>
    <row r="164">
      <c r="F164" s="23">
        <f>IF($A164="","",IF($B164="","EKSİK","TAM"))</f>
        <v/>
      </c>
    </row>
    <row r="165">
      <c r="F165" s="23">
        <f>IF($A165="","",IF($B165="","EKSİK","TAM"))</f>
        <v/>
      </c>
    </row>
    <row r="166">
      <c r="F166" s="23">
        <f>IF($A166="","",IF($B166="","EKSİK","TAM"))</f>
        <v/>
      </c>
    </row>
    <row r="167">
      <c r="F167" s="23">
        <f>IF($A167="","",IF($B167="","EKSİK","TAM"))</f>
        <v/>
      </c>
    </row>
    <row r="168">
      <c r="F168" s="23">
        <f>IF($A168="","",IF($B168="","EKSİK","TAM"))</f>
        <v/>
      </c>
    </row>
    <row r="169">
      <c r="F169" s="23">
        <f>IF($A169="","",IF($B169="","EKSİK","TAM"))</f>
        <v/>
      </c>
    </row>
    <row r="170">
      <c r="F170" s="23">
        <f>IF($A170="","",IF($B170="","EKSİK","TAM"))</f>
        <v/>
      </c>
    </row>
    <row r="171">
      <c r="F171" s="23">
        <f>IF($A171="","",IF($B171="","EKSİK","TAM"))</f>
        <v/>
      </c>
    </row>
    <row r="172">
      <c r="F172" s="23">
        <f>IF($A172="","",IF($B172="","EKSİK","TAM"))</f>
        <v/>
      </c>
    </row>
    <row r="173">
      <c r="F173" s="23">
        <f>IF($A173="","",IF($B173="","EKSİK","TAM"))</f>
        <v/>
      </c>
    </row>
    <row r="174">
      <c r="F174" s="23">
        <f>IF($A174="","",IF($B174="","EKSİK","TAM"))</f>
        <v/>
      </c>
    </row>
    <row r="175">
      <c r="F175" s="23">
        <f>IF($A175="","",IF($B175="","EKSİK","TAM"))</f>
        <v/>
      </c>
    </row>
    <row r="176">
      <c r="F176" s="23">
        <f>IF($A176="","",IF($B176="","EKSİK","TAM"))</f>
        <v/>
      </c>
    </row>
    <row r="177">
      <c r="F177" s="23">
        <f>IF($A177="","",IF($B177="","EKSİK","TAM"))</f>
        <v/>
      </c>
    </row>
    <row r="178">
      <c r="F178" s="23">
        <f>IF($A178="","",IF($B178="","EKSİK","TAM"))</f>
        <v/>
      </c>
    </row>
    <row r="179">
      <c r="F179" s="23">
        <f>IF($A179="","",IF($B179="","EKSİK","TAM"))</f>
        <v/>
      </c>
    </row>
    <row r="180">
      <c r="F180" s="23">
        <f>IF($A180="","",IF($B180="","EKSİK","TAM"))</f>
        <v/>
      </c>
    </row>
    <row r="181">
      <c r="F181" s="23">
        <f>IF($A181="","",IF($B181="","EKSİK","TAM"))</f>
        <v/>
      </c>
    </row>
    <row r="182">
      <c r="F182" s="23">
        <f>IF($A182="","",IF($B182="","EKSİK","TAM"))</f>
        <v/>
      </c>
    </row>
    <row r="183">
      <c r="F183" s="23">
        <f>IF($A183="","",IF($B183="","EKSİK","TAM"))</f>
        <v/>
      </c>
    </row>
    <row r="184">
      <c r="F184" s="23">
        <f>IF($A184="","",IF($B184="","EKSİK","TAM"))</f>
        <v/>
      </c>
    </row>
    <row r="185">
      <c r="F185" s="23">
        <f>IF($A185="","",IF($B185="","EKSİK","TAM"))</f>
        <v/>
      </c>
    </row>
    <row r="186">
      <c r="F186" s="23">
        <f>IF($A186="","",IF($B186="","EKSİK","TAM"))</f>
        <v/>
      </c>
    </row>
    <row r="187">
      <c r="F187" s="23">
        <f>IF($A187="","",IF($B187="","EKSİK","TAM"))</f>
        <v/>
      </c>
    </row>
    <row r="188">
      <c r="F188" s="23">
        <f>IF($A188="","",IF($B188="","EKSİK","TAM"))</f>
        <v/>
      </c>
    </row>
    <row r="189">
      <c r="F189" s="23">
        <f>IF($A189="","",IF($B189="","EKSİK","TAM"))</f>
        <v/>
      </c>
    </row>
    <row r="190">
      <c r="F190" s="23">
        <f>IF($A190="","",IF($B190="","EKSİK","TAM"))</f>
        <v/>
      </c>
    </row>
    <row r="191">
      <c r="F191" s="23">
        <f>IF($A191="","",IF($B191="","EKSİK","TAM"))</f>
        <v/>
      </c>
    </row>
    <row r="192">
      <c r="F192" s="23">
        <f>IF($A192="","",IF($B192="","EKSİK","TAM"))</f>
        <v/>
      </c>
    </row>
    <row r="193">
      <c r="F193" s="23">
        <f>IF($A193="","",IF($B193="","EKSİK","TAM"))</f>
        <v/>
      </c>
    </row>
    <row r="194">
      <c r="F194" s="23">
        <f>IF($A194="","",IF($B194="","EKSİK","TAM"))</f>
        <v/>
      </c>
    </row>
    <row r="195">
      <c r="F195" s="23">
        <f>IF($A195="","",IF($B195="","EKSİK","TAM"))</f>
        <v/>
      </c>
    </row>
    <row r="196">
      <c r="F196" s="23">
        <f>IF($A196="","",IF($B196="","EKSİK","TAM"))</f>
        <v/>
      </c>
    </row>
    <row r="197">
      <c r="F197" s="23">
        <f>IF($A197="","",IF($B197="","EKSİK","TAM"))</f>
        <v/>
      </c>
    </row>
    <row r="198">
      <c r="F198" s="23">
        <f>IF($A198="","",IF($B198="","EKSİK","TAM"))</f>
        <v/>
      </c>
    </row>
    <row r="199">
      <c r="F199" s="23">
        <f>IF($A199="","",IF($B199="","EKSİK","TAM"))</f>
        <v/>
      </c>
    </row>
    <row r="200">
      <c r="F200" s="23">
        <f>IF($A200="","",IF($B200="","EKSİK","TAM"))</f>
        <v/>
      </c>
    </row>
    <row r="201">
      <c r="F201" s="23">
        <f>IF($A201="","",IF($B201="","EKSİK","TAM"))</f>
        <v/>
      </c>
    </row>
    <row r="202">
      <c r="F202" s="23">
        <f>IF($A202="","",IF($B202="","EKSİK","TAM"))</f>
        <v/>
      </c>
    </row>
    <row r="203">
      <c r="F203" s="23">
        <f>IF($A203="","",IF($B203="","EKSİK","TAM"))</f>
        <v/>
      </c>
    </row>
    <row r="204">
      <c r="F204" s="23">
        <f>IF($A204="","",IF($B204="","EKSİK","TAM"))</f>
        <v/>
      </c>
    </row>
    <row r="205">
      <c r="F205" s="23">
        <f>IF($A205="","",IF($B205="","EKSİK","TAM"))</f>
        <v/>
      </c>
    </row>
    <row r="206">
      <c r="F206" s="23">
        <f>IF($A206="","",IF($B206="","EKSİK","TAM"))</f>
        <v/>
      </c>
    </row>
    <row r="207">
      <c r="F207" s="23">
        <f>IF($A207="","",IF($B207="","EKSİK","TAM"))</f>
        <v/>
      </c>
    </row>
    <row r="208">
      <c r="F208" s="23">
        <f>IF($A208="","",IF($B208="","EKSİK","TAM"))</f>
        <v/>
      </c>
    </row>
    <row r="209">
      <c r="F209" s="23">
        <f>IF($A209="","",IF($B209="","EKSİK","TAM"))</f>
        <v/>
      </c>
    </row>
    <row r="210">
      <c r="F210" s="23">
        <f>IF($A210="","",IF($B210="","EKSİK","TAM"))</f>
        <v/>
      </c>
    </row>
    <row r="211">
      <c r="F211" s="23">
        <f>IF($A211="","",IF($B211="","EKSİK","TAM"))</f>
        <v/>
      </c>
    </row>
    <row r="212">
      <c r="F212" s="23">
        <f>IF($A212="","",IF($B212="","EKSİK","TAM"))</f>
        <v/>
      </c>
    </row>
    <row r="213">
      <c r="F213" s="23">
        <f>IF($A213="","",IF($B213="","EKSİK","TAM"))</f>
        <v/>
      </c>
    </row>
    <row r="214">
      <c r="F214" s="23">
        <f>IF($A214="","",IF($B214="","EKSİK","TAM"))</f>
        <v/>
      </c>
    </row>
    <row r="215">
      <c r="F215" s="23">
        <f>IF($A215="","",IF($B215="","EKSİK","TAM"))</f>
        <v/>
      </c>
    </row>
    <row r="216">
      <c r="F216" s="23">
        <f>IF($A216="","",IF($B216="","EKSİK","TAM"))</f>
        <v/>
      </c>
    </row>
    <row r="217">
      <c r="F217" s="23">
        <f>IF($A217="","",IF($B217="","EKSİK","TAM"))</f>
        <v/>
      </c>
    </row>
    <row r="218">
      <c r="F218" s="23">
        <f>IF($A218="","",IF($B218="","EKSİK","TAM"))</f>
        <v/>
      </c>
    </row>
    <row r="219">
      <c r="F219" s="23">
        <f>IF($A219="","",IF($B219="","EKSİK","TAM"))</f>
        <v/>
      </c>
    </row>
    <row r="220">
      <c r="F220" s="23">
        <f>IF($A220="","",IF($B220="","EKSİK","TAM"))</f>
        <v/>
      </c>
    </row>
    <row r="221">
      <c r="F221" s="23">
        <f>IF($A221="","",IF($B221="","EKSİK","TAM"))</f>
        <v/>
      </c>
    </row>
    <row r="222">
      <c r="F222" s="23">
        <f>IF($A222="","",IF($B222="","EKSİK","TAM"))</f>
        <v/>
      </c>
    </row>
    <row r="223">
      <c r="F223" s="23">
        <f>IF($A223="","",IF($B223="","EKSİK","TAM"))</f>
        <v/>
      </c>
    </row>
    <row r="224">
      <c r="F224" s="23">
        <f>IF($A224="","",IF($B224="","EKSİK","TAM"))</f>
        <v/>
      </c>
    </row>
    <row r="225">
      <c r="F225" s="23">
        <f>IF($A225="","",IF($B225="","EKSİK","TAM"))</f>
        <v/>
      </c>
    </row>
    <row r="226">
      <c r="F226" s="23">
        <f>IF($A226="","",IF($B226="","EKSİK","TAM"))</f>
        <v/>
      </c>
    </row>
    <row r="227">
      <c r="F227" s="23">
        <f>IF($A227="","",IF($B227="","EKSİK","TAM"))</f>
        <v/>
      </c>
    </row>
    <row r="228">
      <c r="F228" s="23">
        <f>IF($A228="","",IF($B228="","EKSİK","TAM"))</f>
        <v/>
      </c>
    </row>
    <row r="229">
      <c r="F229" s="23">
        <f>IF($A229="","",IF($B229="","EKSİK","TAM"))</f>
        <v/>
      </c>
    </row>
    <row r="230">
      <c r="F230" s="23">
        <f>IF($A230="","",IF($B230="","EKSİK","TAM"))</f>
        <v/>
      </c>
    </row>
    <row r="231">
      <c r="F231" s="23">
        <f>IF($A231="","",IF($B231="","EKSİK","TAM"))</f>
        <v/>
      </c>
    </row>
    <row r="232">
      <c r="F232" s="23">
        <f>IF($A232="","",IF($B232="","EKSİK","TAM"))</f>
        <v/>
      </c>
    </row>
    <row r="233">
      <c r="F233" s="23">
        <f>IF($A233="","",IF($B233="","EKSİK","TAM"))</f>
        <v/>
      </c>
    </row>
    <row r="234">
      <c r="F234" s="23">
        <f>IF($A234="","",IF($B234="","EKSİK","TAM"))</f>
        <v/>
      </c>
    </row>
    <row r="235">
      <c r="F235" s="23">
        <f>IF($A235="","",IF($B235="","EKSİK","TAM"))</f>
        <v/>
      </c>
    </row>
    <row r="236">
      <c r="F236" s="23">
        <f>IF($A236="","",IF($B236="","EKSİK","TAM"))</f>
        <v/>
      </c>
    </row>
    <row r="237">
      <c r="F237" s="23">
        <f>IF($A237="","",IF($B237="","EKSİK","TAM"))</f>
        <v/>
      </c>
    </row>
    <row r="238">
      <c r="F238" s="23">
        <f>IF($A238="","",IF($B238="","EKSİK","TAM"))</f>
        <v/>
      </c>
    </row>
    <row r="239">
      <c r="F239" s="23">
        <f>IF($A239="","",IF($B239="","EKSİK","TAM"))</f>
        <v/>
      </c>
    </row>
    <row r="240">
      <c r="F240" s="23">
        <f>IF($A240="","",IF($B240="","EKSİK","TAM"))</f>
        <v/>
      </c>
    </row>
    <row r="241">
      <c r="F241" s="23">
        <f>IF($A241="","",IF($B241="","EKSİK","TAM"))</f>
        <v/>
      </c>
    </row>
    <row r="242">
      <c r="F242" s="23">
        <f>IF($A242="","",IF($B242="","EKSİK","TAM"))</f>
        <v/>
      </c>
    </row>
    <row r="243">
      <c r="F243" s="23">
        <f>IF($A243="","",IF($B243="","EKSİK","TAM"))</f>
        <v/>
      </c>
    </row>
    <row r="244">
      <c r="F244" s="23">
        <f>IF($A244="","",IF($B244="","EKSİK","TAM"))</f>
        <v/>
      </c>
    </row>
    <row r="245">
      <c r="F245" s="23">
        <f>IF($A245="","",IF($B245="","EKSİK","TAM"))</f>
        <v/>
      </c>
    </row>
    <row r="246">
      <c r="F246" s="23">
        <f>IF($A246="","",IF($B246="","EKSİK","TAM"))</f>
        <v/>
      </c>
    </row>
    <row r="247">
      <c r="F247" s="23">
        <f>IF($A247="","",IF($B247="","EKSİK","TAM"))</f>
        <v/>
      </c>
    </row>
    <row r="248">
      <c r="F248" s="23">
        <f>IF($A248="","",IF($B248="","EKSİK","TAM"))</f>
        <v/>
      </c>
    </row>
    <row r="249">
      <c r="F249" s="23">
        <f>IF($A249="","",IF($B249="","EKSİK","TAM"))</f>
        <v/>
      </c>
    </row>
    <row r="250">
      <c r="F250" s="23">
        <f>IF($A250="","",IF($B250="","EKSİK","TAM"))</f>
        <v/>
      </c>
    </row>
    <row r="251">
      <c r="F251" s="23">
        <f>IF($A251="","",IF($B251="","EKSİK","TAM"))</f>
        <v/>
      </c>
    </row>
    <row r="252">
      <c r="F252" s="23">
        <f>IF($A252="","",IF($B252="","EKSİK","TAM"))</f>
        <v/>
      </c>
    </row>
    <row r="253">
      <c r="F253" s="23">
        <f>IF($A253="","",IF($B253="","EKSİK","TAM"))</f>
        <v/>
      </c>
    </row>
    <row r="254">
      <c r="F254" s="23">
        <f>IF($A254="","",IF($B254="","EKSİK","TAM"))</f>
        <v/>
      </c>
    </row>
    <row r="255">
      <c r="F255" s="23">
        <f>IF($A255="","",IF($B255="","EKSİK","TAM"))</f>
        <v/>
      </c>
    </row>
    <row r="256">
      <c r="F256" s="23">
        <f>IF($A256="","",IF($B256="","EKSİK","TAM"))</f>
        <v/>
      </c>
    </row>
    <row r="257">
      <c r="F257" s="23">
        <f>IF($A257="","",IF($B257="","EKSİK","TAM"))</f>
        <v/>
      </c>
    </row>
    <row r="258">
      <c r="F258" s="23">
        <f>IF($A258="","",IF($B258="","EKSİK","TAM"))</f>
        <v/>
      </c>
    </row>
    <row r="259">
      <c r="F259" s="23">
        <f>IF($A259="","",IF($B259="","EKSİK","TAM"))</f>
        <v/>
      </c>
    </row>
    <row r="260">
      <c r="F260" s="23">
        <f>IF($A260="","",IF($B260="","EKSİK","TAM"))</f>
        <v/>
      </c>
    </row>
    <row r="261">
      <c r="F261" s="23">
        <f>IF($A261="","",IF($B261="","EKSİK","TAM"))</f>
        <v/>
      </c>
    </row>
    <row r="262">
      <c r="F262" s="23">
        <f>IF($A262="","",IF($B262="","EKSİK","TAM"))</f>
        <v/>
      </c>
    </row>
    <row r="263">
      <c r="F263" s="23">
        <f>IF($A263="","",IF($B263="","EKSİK","TAM"))</f>
        <v/>
      </c>
    </row>
    <row r="264">
      <c r="F264" s="23">
        <f>IF($A264="","",IF($B264="","EKSİK","TAM"))</f>
        <v/>
      </c>
    </row>
    <row r="265">
      <c r="F265" s="23">
        <f>IF($A265="","",IF($B265="","EKSİK","TAM"))</f>
        <v/>
      </c>
    </row>
    <row r="266">
      <c r="F266" s="23">
        <f>IF($A266="","",IF($B266="","EKSİK","TAM"))</f>
        <v/>
      </c>
    </row>
    <row r="267">
      <c r="F267" s="23">
        <f>IF($A267="","",IF($B267="","EKSİK","TAM"))</f>
        <v/>
      </c>
    </row>
    <row r="268">
      <c r="F268" s="23">
        <f>IF($A268="","",IF($B268="","EKSİK","TAM"))</f>
        <v/>
      </c>
    </row>
    <row r="269">
      <c r="F269" s="23">
        <f>IF($A269="","",IF($B269="","EKSİK","TAM"))</f>
        <v/>
      </c>
    </row>
    <row r="270">
      <c r="F270" s="23">
        <f>IF($A270="","",IF($B270="","EKSİK","TAM"))</f>
        <v/>
      </c>
    </row>
    <row r="271">
      <c r="F271" s="23">
        <f>IF($A271="","",IF($B271="","EKSİK","TAM"))</f>
        <v/>
      </c>
    </row>
    <row r="272">
      <c r="F272" s="23">
        <f>IF($A272="","",IF($B272="","EKSİK","TAM"))</f>
        <v/>
      </c>
    </row>
    <row r="273">
      <c r="F273" s="23">
        <f>IF($A273="","",IF($B273="","EKSİK","TAM"))</f>
        <v/>
      </c>
    </row>
    <row r="274">
      <c r="F274" s="23">
        <f>IF($A274="","",IF($B274="","EKSİK","TAM"))</f>
        <v/>
      </c>
    </row>
    <row r="275">
      <c r="F275" s="23">
        <f>IF($A275="","",IF($B275="","EKSİK","TAM"))</f>
        <v/>
      </c>
    </row>
    <row r="276">
      <c r="F276" s="23">
        <f>IF($A276="","",IF($B276="","EKSİK","TAM"))</f>
        <v/>
      </c>
    </row>
    <row r="277">
      <c r="F277" s="23">
        <f>IF($A277="","",IF($B277="","EKSİK","TAM"))</f>
        <v/>
      </c>
    </row>
    <row r="278">
      <c r="F278" s="23">
        <f>IF($A278="","",IF($B278="","EKSİK","TAM"))</f>
        <v/>
      </c>
    </row>
    <row r="279">
      <c r="F279" s="23">
        <f>IF($A279="","",IF($B279="","EKSİK","TAM"))</f>
        <v/>
      </c>
    </row>
    <row r="280">
      <c r="F280" s="23">
        <f>IF($A280="","",IF($B280="","EKSİK","TAM"))</f>
        <v/>
      </c>
    </row>
    <row r="281">
      <c r="F281" s="23">
        <f>IF($A281="","",IF($B281="","EKSİK","TAM"))</f>
        <v/>
      </c>
    </row>
    <row r="282">
      <c r="F282" s="23">
        <f>IF($A282="","",IF($B282="","EKSİK","TAM"))</f>
        <v/>
      </c>
    </row>
    <row r="283">
      <c r="F283" s="23">
        <f>IF($A283="","",IF($B283="","EKSİK","TAM"))</f>
        <v/>
      </c>
    </row>
    <row r="284">
      <c r="F284" s="23">
        <f>IF($A284="","",IF($B284="","EKSİK","TAM"))</f>
        <v/>
      </c>
    </row>
    <row r="285">
      <c r="F285" s="23">
        <f>IF($A285="","",IF($B285="","EKSİK","TAM"))</f>
        <v/>
      </c>
    </row>
    <row r="286">
      <c r="F286" s="23">
        <f>IF($A286="","",IF($B286="","EKSİK","TAM"))</f>
        <v/>
      </c>
    </row>
    <row r="287">
      <c r="F287" s="23">
        <f>IF($A287="","",IF($B287="","EKSİK","TAM"))</f>
        <v/>
      </c>
    </row>
    <row r="288">
      <c r="F288" s="23">
        <f>IF($A288="","",IF($B288="","EKSİK","TAM"))</f>
        <v/>
      </c>
    </row>
    <row r="289">
      <c r="F289" s="23">
        <f>IF($A289="","",IF($B289="","EKSİK","TAM"))</f>
        <v/>
      </c>
    </row>
    <row r="290">
      <c r="F290" s="23">
        <f>IF($A290="","",IF($B290="","EKSİK","TAM"))</f>
        <v/>
      </c>
    </row>
    <row r="291">
      <c r="F291" s="23">
        <f>IF($A291="","",IF($B291="","EKSİK","TAM"))</f>
        <v/>
      </c>
    </row>
    <row r="292">
      <c r="F292" s="23">
        <f>IF($A292="","",IF($B292="","EKSİK","TAM"))</f>
        <v/>
      </c>
    </row>
    <row r="293">
      <c r="F293" s="23">
        <f>IF($A293="","",IF($B293="","EKSİK","TAM"))</f>
        <v/>
      </c>
    </row>
    <row r="294">
      <c r="F294" s="23">
        <f>IF($A294="","",IF($B294="","EKSİK","TAM"))</f>
        <v/>
      </c>
    </row>
    <row r="295">
      <c r="F295" s="23">
        <f>IF($A295="","",IF($B295="","EKSİK","TAM"))</f>
        <v/>
      </c>
    </row>
    <row r="296">
      <c r="F296" s="23">
        <f>IF($A296="","",IF($B296="","EKSİK","TAM"))</f>
        <v/>
      </c>
    </row>
    <row r="297">
      <c r="F297" s="23">
        <f>IF($A297="","",IF($B297="","EKSİK","TAM"))</f>
        <v/>
      </c>
    </row>
    <row r="298">
      <c r="F298" s="23">
        <f>IF($A298="","",IF($B298="","EKSİK","TAM"))</f>
        <v/>
      </c>
    </row>
    <row r="299">
      <c r="F299" s="23">
        <f>IF($A299="","",IF($B299="","EKSİK","TAM"))</f>
        <v/>
      </c>
    </row>
    <row r="300">
      <c r="F300" s="23">
        <f>IF($A300="","",IF($B300="","EKSİK","TAM"))</f>
        <v/>
      </c>
    </row>
    <row r="301">
      <c r="F301" s="23">
        <f>IF($A301="","",IF($B301="","EKSİK","TAM"))</f>
        <v/>
      </c>
    </row>
    <row r="302">
      <c r="F302" s="23">
        <f>IF($A302="","",IF($B302="","EKSİK","TAM"))</f>
        <v/>
      </c>
    </row>
    <row r="303">
      <c r="F303" s="23">
        <f>IF($A303="","",IF($B303="","EKSİK","TAM"))</f>
        <v/>
      </c>
    </row>
    <row r="304">
      <c r="F304" s="23">
        <f>IF($A304="","",IF($B304="","EKSİK","TAM"))</f>
        <v/>
      </c>
    </row>
    <row r="305">
      <c r="F305" s="23">
        <f>IF($A305="","",IF($B305="","EKSİK","TAM"))</f>
        <v/>
      </c>
    </row>
    <row r="306">
      <c r="F306" s="23">
        <f>IF($A306="","",IF($B306="","EKSİK","TAM"))</f>
        <v/>
      </c>
    </row>
    <row r="307">
      <c r="F307" s="23">
        <f>IF($A307="","",IF($B307="","EKSİK","TAM"))</f>
        <v/>
      </c>
    </row>
    <row r="308">
      <c r="F308" s="23">
        <f>IF($A308="","",IF($B308="","EKSİK","TAM"))</f>
        <v/>
      </c>
    </row>
    <row r="309">
      <c r="F309" s="23">
        <f>IF($A309="","",IF($B309="","EKSİK","TAM"))</f>
        <v/>
      </c>
    </row>
    <row r="310">
      <c r="F310" s="23">
        <f>IF($A310="","",IF($B310="","EKSİK","TAM"))</f>
        <v/>
      </c>
    </row>
    <row r="311">
      <c r="F311" s="23">
        <f>IF($A311="","",IF($B311="","EKSİK","TAM"))</f>
        <v/>
      </c>
    </row>
    <row r="312">
      <c r="F312" s="23">
        <f>IF($A312="","",IF($B312="","EKSİK","TAM"))</f>
        <v/>
      </c>
    </row>
    <row r="313">
      <c r="F313" s="23">
        <f>IF($A313="","",IF($B313="","EKSİK","TAM"))</f>
        <v/>
      </c>
    </row>
    <row r="314">
      <c r="F314" s="23">
        <f>IF($A314="","",IF($B314="","EKSİK","TAM"))</f>
        <v/>
      </c>
    </row>
    <row r="315">
      <c r="F315" s="23">
        <f>IF($A315="","",IF($B315="","EKSİK","TAM"))</f>
        <v/>
      </c>
    </row>
    <row r="316">
      <c r="F316" s="23">
        <f>IF($A316="","",IF($B316="","EKSİK","TAM"))</f>
        <v/>
      </c>
    </row>
    <row r="317">
      <c r="F317" s="23">
        <f>IF($A317="","",IF($B317="","EKSİK","TAM"))</f>
        <v/>
      </c>
    </row>
    <row r="318">
      <c r="F318" s="23">
        <f>IF($A318="","",IF($B318="","EKSİK","TAM"))</f>
        <v/>
      </c>
    </row>
    <row r="319">
      <c r="F319" s="23">
        <f>IF($A319="","",IF($B319="","EKSİK","TAM"))</f>
        <v/>
      </c>
    </row>
    <row r="320">
      <c r="F320" s="23">
        <f>IF($A320="","",IF($B320="","EKSİK","TAM"))</f>
        <v/>
      </c>
    </row>
    <row r="321">
      <c r="F321" s="23">
        <f>IF($A321="","",IF($B321="","EKSİK","TAM"))</f>
        <v/>
      </c>
    </row>
    <row r="322">
      <c r="F322" s="23">
        <f>IF($A322="","",IF($B322="","EKSİK","TAM"))</f>
        <v/>
      </c>
    </row>
    <row r="323">
      <c r="F323" s="23">
        <f>IF($A323="","",IF($B323="","EKSİK","TAM"))</f>
        <v/>
      </c>
    </row>
    <row r="324">
      <c r="F324" s="23">
        <f>IF($A324="","",IF($B324="","EKSİK","TAM"))</f>
        <v/>
      </c>
    </row>
    <row r="325">
      <c r="F325" s="23">
        <f>IF($A325="","",IF($B325="","EKSİK","TAM"))</f>
        <v/>
      </c>
    </row>
    <row r="326">
      <c r="F326" s="23">
        <f>IF($A326="","",IF($B326="","EKSİK","TAM"))</f>
        <v/>
      </c>
    </row>
    <row r="327">
      <c r="F327" s="23">
        <f>IF($A327="","",IF($B327="","EKSİK","TAM"))</f>
        <v/>
      </c>
    </row>
    <row r="328">
      <c r="F328" s="23">
        <f>IF($A328="","",IF($B328="","EKSİK","TAM"))</f>
        <v/>
      </c>
    </row>
    <row r="329">
      <c r="F329" s="23">
        <f>IF($A329="","",IF($B329="","EKSİK","TAM"))</f>
        <v/>
      </c>
    </row>
    <row r="330">
      <c r="F330" s="23">
        <f>IF($A330="","",IF($B330="","EKSİK","TAM"))</f>
        <v/>
      </c>
    </row>
    <row r="331">
      <c r="F331" s="23">
        <f>IF($A331="","",IF($B331="","EKSİK","TAM"))</f>
        <v/>
      </c>
    </row>
    <row r="332">
      <c r="F332" s="23">
        <f>IF($A332="","",IF($B332="","EKSİK","TAM"))</f>
        <v/>
      </c>
    </row>
    <row r="333">
      <c r="F333" s="23">
        <f>IF($A333="","",IF($B333="","EKSİK","TAM"))</f>
        <v/>
      </c>
    </row>
    <row r="334">
      <c r="F334" s="23">
        <f>IF($A334="","",IF($B334="","EKSİK","TAM"))</f>
        <v/>
      </c>
    </row>
    <row r="335">
      <c r="F335" s="23">
        <f>IF($A335="","",IF($B335="","EKSİK","TAM"))</f>
        <v/>
      </c>
    </row>
    <row r="336">
      <c r="F336" s="23">
        <f>IF($A336="","",IF($B336="","EKSİK","TAM"))</f>
        <v/>
      </c>
    </row>
    <row r="337">
      <c r="F337" s="23">
        <f>IF($A337="","",IF($B337="","EKSİK","TAM"))</f>
        <v/>
      </c>
    </row>
    <row r="338">
      <c r="F338" s="23">
        <f>IF($A338="","",IF($B338="","EKSİK","TAM"))</f>
        <v/>
      </c>
    </row>
    <row r="339">
      <c r="F339" s="23">
        <f>IF($A339="","",IF($B339="","EKSİK","TAM"))</f>
        <v/>
      </c>
    </row>
    <row r="340">
      <c r="F340" s="23">
        <f>IF($A340="","",IF($B340="","EKSİK","TAM"))</f>
        <v/>
      </c>
    </row>
    <row r="341">
      <c r="F341" s="23">
        <f>IF($A341="","",IF($B341="","EKSİK","TAM"))</f>
        <v/>
      </c>
    </row>
    <row r="342">
      <c r="F342" s="23">
        <f>IF($A342="","",IF($B342="","EKSİK","TAM"))</f>
        <v/>
      </c>
    </row>
    <row r="343">
      <c r="F343" s="23">
        <f>IF($A343="","",IF($B343="","EKSİK","TAM"))</f>
        <v/>
      </c>
    </row>
    <row r="344">
      <c r="F344" s="23">
        <f>IF($A344="","",IF($B344="","EKSİK","TAM"))</f>
        <v/>
      </c>
    </row>
    <row r="345">
      <c r="F345" s="23">
        <f>IF($A345="","",IF($B345="","EKSİK","TAM"))</f>
        <v/>
      </c>
    </row>
    <row r="346">
      <c r="F346" s="23">
        <f>IF($A346="","",IF($B346="","EKSİK","TAM"))</f>
        <v/>
      </c>
    </row>
    <row r="347">
      <c r="F347" s="23">
        <f>IF($A347="","",IF($B347="","EKSİK","TAM"))</f>
        <v/>
      </c>
    </row>
    <row r="348">
      <c r="F348" s="23">
        <f>IF($A348="","",IF($B348="","EKSİK","TAM"))</f>
        <v/>
      </c>
    </row>
    <row r="349">
      <c r="F349" s="23">
        <f>IF($A349="","",IF($B349="","EKSİK","TAM"))</f>
        <v/>
      </c>
    </row>
    <row r="350">
      <c r="F350" s="23">
        <f>IF($A350="","",IF($B350="","EKSİK","TAM"))</f>
        <v/>
      </c>
    </row>
    <row r="351">
      <c r="F351" s="23">
        <f>IF($A351="","",IF($B351="","EKSİK","TAM"))</f>
        <v/>
      </c>
    </row>
    <row r="352">
      <c r="F352" s="23">
        <f>IF($A352="","",IF($B352="","EKSİK","TAM"))</f>
        <v/>
      </c>
    </row>
    <row r="353">
      <c r="F353" s="23">
        <f>IF($A353="","",IF($B353="","EKSİK","TAM"))</f>
        <v/>
      </c>
    </row>
    <row r="354">
      <c r="F354" s="23">
        <f>IF($A354="","",IF($B354="","EKSİK","TAM"))</f>
        <v/>
      </c>
    </row>
    <row r="355">
      <c r="F355" s="23">
        <f>IF($A355="","",IF($B355="","EKSİK","TAM"))</f>
        <v/>
      </c>
    </row>
    <row r="356">
      <c r="F356" s="23">
        <f>IF($A356="","",IF($B356="","EKSİK","TAM"))</f>
        <v/>
      </c>
    </row>
    <row r="357">
      <c r="F357" s="23">
        <f>IF($A357="","",IF($B357="","EKSİK","TAM"))</f>
        <v/>
      </c>
    </row>
    <row r="358">
      <c r="F358" s="23">
        <f>IF($A358="","",IF($B358="","EKSİK","TAM"))</f>
        <v/>
      </c>
    </row>
    <row r="359">
      <c r="F359" s="23">
        <f>IF($A359="","",IF($B359="","EKSİK","TAM"))</f>
        <v/>
      </c>
    </row>
    <row r="360">
      <c r="F360" s="23">
        <f>IF($A360="","",IF($B360="","EKSİK","TAM"))</f>
        <v/>
      </c>
    </row>
    <row r="361">
      <c r="F361" s="23">
        <f>IF($A361="","",IF($B361="","EKSİK","TAM"))</f>
        <v/>
      </c>
    </row>
    <row r="362">
      <c r="F362" s="23">
        <f>IF($A362="","",IF($B362="","EKSİK","TAM"))</f>
        <v/>
      </c>
    </row>
    <row r="363">
      <c r="F363" s="23">
        <f>IF($A363="","",IF($B363="","EKSİK","TAM"))</f>
        <v/>
      </c>
    </row>
    <row r="364">
      <c r="F364" s="23">
        <f>IF($A364="","",IF($B364="","EKSİK","TAM"))</f>
        <v/>
      </c>
    </row>
    <row r="365">
      <c r="F365" s="23">
        <f>IF($A365="","",IF($B365="","EKSİK","TAM"))</f>
        <v/>
      </c>
    </row>
    <row r="366">
      <c r="F366" s="23">
        <f>IF($A366="","",IF($B366="","EKSİK","TAM"))</f>
        <v/>
      </c>
    </row>
    <row r="367">
      <c r="F367" s="23">
        <f>IF($A367="","",IF($B367="","EKSİK","TAM"))</f>
        <v/>
      </c>
    </row>
    <row r="368">
      <c r="F368" s="23">
        <f>IF($A368="","",IF($B368="","EKSİK","TAM"))</f>
        <v/>
      </c>
    </row>
    <row r="369">
      <c r="F369" s="23">
        <f>IF($A369="","",IF($B369="","EKSİK","TAM"))</f>
        <v/>
      </c>
    </row>
    <row r="370">
      <c r="F370" s="23">
        <f>IF($A370="","",IF($B370="","EKSİK","TAM"))</f>
        <v/>
      </c>
    </row>
    <row r="371">
      <c r="F371" s="23">
        <f>IF($A371="","",IF($B371="","EKSİK","TAM"))</f>
        <v/>
      </c>
    </row>
    <row r="372">
      <c r="F372" s="23">
        <f>IF($A372="","",IF($B372="","EKSİK","TAM"))</f>
        <v/>
      </c>
    </row>
    <row r="373">
      <c r="F373" s="23">
        <f>IF($A373="","",IF($B373="","EKSİK","TAM"))</f>
        <v/>
      </c>
    </row>
    <row r="374">
      <c r="F374" s="23">
        <f>IF($A374="","",IF($B374="","EKSİK","TAM"))</f>
        <v/>
      </c>
    </row>
    <row r="375">
      <c r="F375" s="23">
        <f>IF($A375="","",IF($B375="","EKSİK","TAM"))</f>
        <v/>
      </c>
    </row>
    <row r="376">
      <c r="F376" s="23">
        <f>IF($A376="","",IF($B376="","EKSİK","TAM"))</f>
        <v/>
      </c>
    </row>
    <row r="377">
      <c r="F377" s="23">
        <f>IF($A377="","",IF($B377="","EKSİK","TAM"))</f>
        <v/>
      </c>
    </row>
    <row r="378">
      <c r="F378" s="23">
        <f>IF($A378="","",IF($B378="","EKSİK","TAM"))</f>
        <v/>
      </c>
    </row>
    <row r="379">
      <c r="F379" s="23">
        <f>IF($A379="","",IF($B379="","EKSİK","TAM"))</f>
        <v/>
      </c>
    </row>
    <row r="380">
      <c r="F380" s="23">
        <f>IF($A380="","",IF($B380="","EKSİK","TAM"))</f>
        <v/>
      </c>
    </row>
    <row r="381">
      <c r="F381" s="23">
        <f>IF($A381="","",IF($B381="","EKSİK","TAM"))</f>
        <v/>
      </c>
    </row>
    <row r="382">
      <c r="F382" s="23">
        <f>IF($A382="","",IF($B382="","EKSİK","TAM"))</f>
        <v/>
      </c>
    </row>
    <row r="383">
      <c r="F383" s="23">
        <f>IF($A383="","",IF($B383="","EKSİK","TAM"))</f>
        <v/>
      </c>
    </row>
    <row r="384">
      <c r="F384" s="23">
        <f>IF($A384="","",IF($B384="","EKSİK","TAM"))</f>
        <v/>
      </c>
    </row>
    <row r="385">
      <c r="F385" s="23">
        <f>IF($A385="","",IF($B385="","EKSİK","TAM"))</f>
        <v/>
      </c>
    </row>
    <row r="386">
      <c r="F386" s="23">
        <f>IF($A386="","",IF($B386="","EKSİK","TAM"))</f>
        <v/>
      </c>
    </row>
    <row r="387">
      <c r="F387" s="23">
        <f>IF($A387="","",IF($B387="","EKSİK","TAM"))</f>
        <v/>
      </c>
    </row>
    <row r="388">
      <c r="F388" s="23">
        <f>IF($A388="","",IF($B388="","EKSİK","TAM"))</f>
        <v/>
      </c>
    </row>
    <row r="389">
      <c r="F389" s="23">
        <f>IF($A389="","",IF($B389="","EKSİK","TAM"))</f>
        <v/>
      </c>
    </row>
    <row r="390">
      <c r="F390" s="23">
        <f>IF($A390="","",IF($B390="","EKSİK","TAM"))</f>
        <v/>
      </c>
    </row>
    <row r="391">
      <c r="F391" s="23">
        <f>IF($A391="","",IF($B391="","EKSİK","TAM"))</f>
        <v/>
      </c>
    </row>
    <row r="392">
      <c r="F392" s="23">
        <f>IF($A392="","",IF($B392="","EKSİK","TAM"))</f>
        <v/>
      </c>
    </row>
    <row r="393">
      <c r="F393" s="23">
        <f>IF($A393="","",IF($B393="","EKSİK","TAM"))</f>
        <v/>
      </c>
    </row>
    <row r="394">
      <c r="F394" s="23">
        <f>IF($A394="","",IF($B394="","EKSİK","TAM"))</f>
        <v/>
      </c>
    </row>
    <row r="395">
      <c r="F395" s="23">
        <f>IF($A395="","",IF($B395="","EKSİK","TAM"))</f>
        <v/>
      </c>
    </row>
    <row r="396">
      <c r="F396" s="23">
        <f>IF($A396="","",IF($B396="","EKSİK","TAM"))</f>
        <v/>
      </c>
    </row>
    <row r="397">
      <c r="F397" s="23">
        <f>IF($A397="","",IF($B397="","EKSİK","TAM"))</f>
        <v/>
      </c>
    </row>
    <row r="398">
      <c r="F398" s="23">
        <f>IF($A398="","",IF($B398="","EKSİK","TAM"))</f>
        <v/>
      </c>
    </row>
    <row r="399">
      <c r="F399" s="23">
        <f>IF($A399="","",IF($B399="","EKSİK","TAM"))</f>
        <v/>
      </c>
    </row>
    <row r="400">
      <c r="F400" s="23">
        <f>IF($A400="","",IF($B400="","EKSİK","TAM"))</f>
        <v/>
      </c>
    </row>
    <row r="401">
      <c r="F401" s="23">
        <f>IF($A401="","",IF($B401="","EKSİK","TAM"))</f>
        <v/>
      </c>
    </row>
    <row r="402">
      <c r="F402" s="23">
        <f>IF($A402="","",IF($B402="","EKSİK","TAM"))</f>
        <v/>
      </c>
    </row>
    <row r="403">
      <c r="F403" s="23">
        <f>IF($A403="","",IF($B403="","EKSİK","TAM"))</f>
        <v/>
      </c>
    </row>
    <row r="404">
      <c r="F404" s="23">
        <f>IF($A404="","",IF($B404="","EKSİK","TAM"))</f>
        <v/>
      </c>
    </row>
    <row r="405">
      <c r="F405" s="23">
        <f>IF($A405="","",IF($B405="","EKSİK","TAM"))</f>
        <v/>
      </c>
    </row>
    <row r="406">
      <c r="F406" s="23">
        <f>IF($A406="","",IF($B406="","EKSİK","TAM"))</f>
        <v/>
      </c>
    </row>
    <row r="407">
      <c r="F407" s="23">
        <f>IF($A407="","",IF($B407="","EKSİK","TAM"))</f>
        <v/>
      </c>
    </row>
    <row r="408">
      <c r="F408" s="23">
        <f>IF($A408="","",IF($B408="","EKSİK","TAM"))</f>
        <v/>
      </c>
    </row>
    <row r="409">
      <c r="F409" s="23">
        <f>IF($A409="","",IF($B409="","EKSİK","TAM"))</f>
        <v/>
      </c>
    </row>
    <row r="410">
      <c r="F410" s="23">
        <f>IF($A410="","",IF($B410="","EKSİK","TAM"))</f>
        <v/>
      </c>
    </row>
    <row r="411">
      <c r="F411" s="23">
        <f>IF($A411="","",IF($B411="","EKSİK","TAM"))</f>
        <v/>
      </c>
    </row>
    <row r="412">
      <c r="F412" s="23">
        <f>IF($A412="","",IF($B412="","EKSİK","TAM"))</f>
        <v/>
      </c>
    </row>
    <row r="413">
      <c r="F413" s="23">
        <f>IF($A413="","",IF($B413="","EKSİK","TAM"))</f>
        <v/>
      </c>
    </row>
    <row r="414">
      <c r="F414" s="23">
        <f>IF($A414="","",IF($B414="","EKSİK","TAM"))</f>
        <v/>
      </c>
    </row>
    <row r="415">
      <c r="F415" s="23">
        <f>IF($A415="","",IF($B415="","EKSİK","TAM"))</f>
        <v/>
      </c>
    </row>
    <row r="416">
      <c r="F416" s="23">
        <f>IF($A416="","",IF($B416="","EKSİK","TAM"))</f>
        <v/>
      </c>
    </row>
    <row r="417">
      <c r="F417" s="23">
        <f>IF($A417="","",IF($B417="","EKSİK","TAM"))</f>
        <v/>
      </c>
    </row>
    <row r="418">
      <c r="F418" s="23">
        <f>IF($A418="","",IF($B418="","EKSİK","TAM"))</f>
        <v/>
      </c>
    </row>
    <row r="419">
      <c r="F419" s="23">
        <f>IF($A419="","",IF($B419="","EKSİK","TAM"))</f>
        <v/>
      </c>
    </row>
    <row r="420">
      <c r="F420" s="23">
        <f>IF($A420="","",IF($B420="","EKSİK","TAM"))</f>
        <v/>
      </c>
    </row>
    <row r="421">
      <c r="F421" s="23">
        <f>IF($A421="","",IF($B421="","EKSİK","TAM"))</f>
        <v/>
      </c>
    </row>
    <row r="422">
      <c r="F422" s="23">
        <f>IF($A422="","",IF($B422="","EKSİK","TAM"))</f>
        <v/>
      </c>
    </row>
    <row r="423">
      <c r="F423" s="23">
        <f>IF($A423="","",IF($B423="","EKSİK","TAM"))</f>
        <v/>
      </c>
    </row>
    <row r="424">
      <c r="F424" s="23">
        <f>IF($A424="","",IF($B424="","EKSİK","TAM"))</f>
        <v/>
      </c>
    </row>
    <row r="425">
      <c r="F425" s="23">
        <f>IF($A425="","",IF($B425="","EKSİK","TAM"))</f>
        <v/>
      </c>
    </row>
    <row r="426">
      <c r="F426" s="23">
        <f>IF($A426="","",IF($B426="","EKSİK","TAM"))</f>
        <v/>
      </c>
    </row>
    <row r="427">
      <c r="F427" s="23">
        <f>IF($A427="","",IF($B427="","EKSİK","TAM"))</f>
        <v/>
      </c>
    </row>
    <row r="428">
      <c r="F428" s="23">
        <f>IF($A428="","",IF($B428="","EKSİK","TAM"))</f>
        <v/>
      </c>
    </row>
    <row r="429">
      <c r="F429" s="23">
        <f>IF($A429="","",IF($B429="","EKSİK","TAM"))</f>
        <v/>
      </c>
    </row>
    <row r="430">
      <c r="F430" s="23">
        <f>IF($A430="","",IF($B430="","EKSİK","TAM"))</f>
        <v/>
      </c>
    </row>
    <row r="431">
      <c r="F431" s="23">
        <f>IF($A431="","",IF($B431="","EKSİK","TAM"))</f>
        <v/>
      </c>
    </row>
    <row r="432">
      <c r="F432" s="23">
        <f>IF($A432="","",IF($B432="","EKSİK","TAM"))</f>
        <v/>
      </c>
    </row>
    <row r="433">
      <c r="F433" s="23">
        <f>IF($A433="","",IF($B433="","EKSİK","TAM"))</f>
        <v/>
      </c>
    </row>
    <row r="434">
      <c r="F434" s="23">
        <f>IF($A434="","",IF($B434="","EKSİK","TAM"))</f>
        <v/>
      </c>
    </row>
    <row r="435">
      <c r="F435" s="23">
        <f>IF($A435="","",IF($B435="","EKSİK","TAM"))</f>
        <v/>
      </c>
    </row>
    <row r="436">
      <c r="F436" s="23">
        <f>IF($A436="","",IF($B436="","EKSİK","TAM"))</f>
        <v/>
      </c>
    </row>
    <row r="437">
      <c r="F437" s="23">
        <f>IF($A437="","",IF($B437="","EKSİK","TAM"))</f>
        <v/>
      </c>
    </row>
    <row r="438">
      <c r="F438" s="23">
        <f>IF($A438="","",IF($B438="","EKSİK","TAM"))</f>
        <v/>
      </c>
    </row>
    <row r="439">
      <c r="F439" s="23">
        <f>IF($A439="","",IF($B439="","EKSİK","TAM"))</f>
        <v/>
      </c>
    </row>
    <row r="440">
      <c r="F440" s="23">
        <f>IF($A440="","",IF($B440="","EKSİK","TAM"))</f>
        <v/>
      </c>
    </row>
    <row r="441">
      <c r="F441" s="23">
        <f>IF($A441="","",IF($B441="","EKSİK","TAM"))</f>
        <v/>
      </c>
    </row>
    <row r="442">
      <c r="F442" s="23">
        <f>IF($A442="","",IF($B442="","EKSİK","TAM"))</f>
        <v/>
      </c>
    </row>
    <row r="443">
      <c r="F443" s="23">
        <f>IF($A443="","",IF($B443="","EKSİK","TAM"))</f>
        <v/>
      </c>
    </row>
    <row r="444">
      <c r="F444" s="23">
        <f>IF($A444="","",IF($B444="","EKSİK","TAM"))</f>
        <v/>
      </c>
    </row>
    <row r="445">
      <c r="F445" s="23">
        <f>IF($A445="","",IF($B445="","EKSİK","TAM"))</f>
        <v/>
      </c>
    </row>
    <row r="446">
      <c r="F446" s="23">
        <f>IF($A446="","",IF($B446="","EKSİK","TAM"))</f>
        <v/>
      </c>
    </row>
    <row r="447">
      <c r="F447" s="23">
        <f>IF($A447="","",IF($B447="","EKSİK","TAM"))</f>
        <v/>
      </c>
    </row>
    <row r="448">
      <c r="F448" s="23">
        <f>IF($A448="","",IF($B448="","EKSİK","TAM"))</f>
        <v/>
      </c>
    </row>
    <row r="449">
      <c r="F449" s="23">
        <f>IF($A449="","",IF($B449="","EKSİK","TAM"))</f>
        <v/>
      </c>
    </row>
    <row r="450">
      <c r="F450" s="23">
        <f>IF($A450="","",IF($B450="","EKSİK","TAM"))</f>
        <v/>
      </c>
    </row>
    <row r="451">
      <c r="F451" s="23">
        <f>IF($A451="","",IF($B451="","EKSİK","TAM"))</f>
        <v/>
      </c>
    </row>
    <row r="452">
      <c r="F452" s="23">
        <f>IF($A452="","",IF($B452="","EKSİK","TAM"))</f>
        <v/>
      </c>
    </row>
    <row r="453">
      <c r="F453" s="23">
        <f>IF($A453="","",IF($B453="","EKSİK","TAM"))</f>
        <v/>
      </c>
    </row>
    <row r="454">
      <c r="F454" s="23">
        <f>IF($A454="","",IF($B454="","EKSİK","TAM"))</f>
        <v/>
      </c>
    </row>
    <row r="455">
      <c r="F455" s="23">
        <f>IF($A455="","",IF($B455="","EKSİK","TAM"))</f>
        <v/>
      </c>
    </row>
    <row r="456">
      <c r="F456" s="23">
        <f>IF($A456="","",IF($B456="","EKSİK","TAM"))</f>
        <v/>
      </c>
    </row>
    <row r="457">
      <c r="F457" s="23">
        <f>IF($A457="","",IF($B457="","EKSİK","TAM"))</f>
        <v/>
      </c>
    </row>
    <row r="458">
      <c r="F458" s="23">
        <f>IF($A458="","",IF($B458="","EKSİK","TAM"))</f>
        <v/>
      </c>
    </row>
    <row r="459">
      <c r="F459" s="23">
        <f>IF($A459="","",IF($B459="","EKSİK","TAM"))</f>
        <v/>
      </c>
    </row>
    <row r="460">
      <c r="F460" s="23">
        <f>IF($A460="","",IF($B460="","EKSİK","TAM"))</f>
        <v/>
      </c>
    </row>
    <row r="461">
      <c r="F461" s="23">
        <f>IF($A461="","",IF($B461="","EKSİK","TAM"))</f>
        <v/>
      </c>
    </row>
    <row r="462">
      <c r="F462" s="23">
        <f>IF($A462="","",IF($B462="","EKSİK","TAM"))</f>
        <v/>
      </c>
    </row>
    <row r="463">
      <c r="F463" s="23">
        <f>IF($A463="","",IF($B463="","EKSİK","TAM"))</f>
        <v/>
      </c>
    </row>
    <row r="464">
      <c r="F464" s="23">
        <f>IF($A464="","",IF($B464="","EKSİK","TAM"))</f>
        <v/>
      </c>
    </row>
    <row r="465">
      <c r="F465" s="23">
        <f>IF($A465="","",IF($B465="","EKSİK","TAM"))</f>
        <v/>
      </c>
    </row>
    <row r="466">
      <c r="F466" s="23">
        <f>IF($A466="","",IF($B466="","EKSİK","TAM"))</f>
        <v/>
      </c>
    </row>
    <row r="467">
      <c r="F467" s="23">
        <f>IF($A467="","",IF($B467="","EKSİK","TAM"))</f>
        <v/>
      </c>
    </row>
    <row r="468">
      <c r="F468" s="23">
        <f>IF($A468="","",IF($B468="","EKSİK","TAM"))</f>
        <v/>
      </c>
    </row>
    <row r="469">
      <c r="F469" s="23">
        <f>IF($A469="","",IF($B469="","EKSİK","TAM"))</f>
        <v/>
      </c>
    </row>
    <row r="470">
      <c r="F470" s="23">
        <f>IF($A470="","",IF($B470="","EKSİK","TAM"))</f>
        <v/>
      </c>
    </row>
    <row r="471">
      <c r="F471" s="23">
        <f>IF($A471="","",IF($B471="","EKSİK","TAM"))</f>
        <v/>
      </c>
    </row>
    <row r="472">
      <c r="F472" s="23">
        <f>IF($A472="","",IF($B472="","EKSİK","TAM"))</f>
        <v/>
      </c>
    </row>
    <row r="473">
      <c r="F473" s="23">
        <f>IF($A473="","",IF($B473="","EKSİK","TAM"))</f>
        <v/>
      </c>
    </row>
    <row r="474">
      <c r="F474" s="23">
        <f>IF($A474="","",IF($B474="","EKSİK","TAM"))</f>
        <v/>
      </c>
    </row>
    <row r="475">
      <c r="F475" s="23">
        <f>IF($A475="","",IF($B475="","EKSİK","TAM"))</f>
        <v/>
      </c>
    </row>
    <row r="476">
      <c r="F476" s="23">
        <f>IF($A476="","",IF($B476="","EKSİK","TAM"))</f>
        <v/>
      </c>
    </row>
    <row r="477">
      <c r="F477" s="23">
        <f>IF($A477="","",IF($B477="","EKSİK","TAM"))</f>
        <v/>
      </c>
    </row>
    <row r="478">
      <c r="F478" s="23">
        <f>IF($A478="","",IF($B478="","EKSİK","TAM"))</f>
        <v/>
      </c>
    </row>
    <row r="479">
      <c r="F479" s="23">
        <f>IF($A479="","",IF($B479="","EKSİK","TAM"))</f>
        <v/>
      </c>
    </row>
    <row r="480">
      <c r="F480" s="23">
        <f>IF($A480="","",IF($B480="","EKSİK","TAM"))</f>
        <v/>
      </c>
    </row>
    <row r="481">
      <c r="F481" s="23">
        <f>IF($A481="","",IF($B481="","EKSİK","TAM"))</f>
        <v/>
      </c>
    </row>
    <row r="482">
      <c r="F482" s="23">
        <f>IF($A482="","",IF($B482="","EKSİK","TAM"))</f>
        <v/>
      </c>
    </row>
    <row r="483">
      <c r="F483" s="23">
        <f>IF($A483="","",IF($B483="","EKSİK","TAM"))</f>
        <v/>
      </c>
    </row>
    <row r="484">
      <c r="F484" s="23">
        <f>IF($A484="","",IF($B484="","EKSİK","TAM"))</f>
        <v/>
      </c>
    </row>
    <row r="485">
      <c r="F485" s="23">
        <f>IF($A485="","",IF($B485="","EKSİK","TAM"))</f>
        <v/>
      </c>
    </row>
    <row r="486">
      <c r="F486" s="23">
        <f>IF($A486="","",IF($B486="","EKSİK","TAM"))</f>
        <v/>
      </c>
    </row>
    <row r="487">
      <c r="F487" s="23">
        <f>IF($A487="","",IF($B487="","EKSİK","TAM"))</f>
        <v/>
      </c>
    </row>
    <row r="488">
      <c r="F488" s="23">
        <f>IF($A488="","",IF($B488="","EKSİK","TAM"))</f>
        <v/>
      </c>
    </row>
    <row r="489">
      <c r="F489" s="23">
        <f>IF($A489="","",IF($B489="","EKSİK","TAM"))</f>
        <v/>
      </c>
    </row>
    <row r="490">
      <c r="F490" s="23">
        <f>IF($A490="","",IF($B490="","EKSİK","TAM"))</f>
        <v/>
      </c>
    </row>
    <row r="491">
      <c r="F491" s="23">
        <f>IF($A491="","",IF($B491="","EKSİK","TAM"))</f>
        <v/>
      </c>
    </row>
    <row r="492">
      <c r="F492" s="23">
        <f>IF($A492="","",IF($B492="","EKSİK","TAM"))</f>
        <v/>
      </c>
    </row>
    <row r="493">
      <c r="F493" s="23">
        <f>IF($A493="","",IF($B493="","EKSİK","TAM"))</f>
        <v/>
      </c>
    </row>
    <row r="494">
      <c r="F494" s="23">
        <f>IF($A494="","",IF($B494="","EKSİK","TAM"))</f>
        <v/>
      </c>
    </row>
    <row r="495">
      <c r="F495" s="23">
        <f>IF($A495="","",IF($B495="","EKSİK","TAM"))</f>
        <v/>
      </c>
    </row>
    <row r="496">
      <c r="F496" s="23">
        <f>IF($A496="","",IF($B496="","EKSİK","TAM"))</f>
        <v/>
      </c>
    </row>
    <row r="497">
      <c r="F497" s="23">
        <f>IF($A497="","",IF($B497="","EKSİK","TAM"))</f>
        <v/>
      </c>
    </row>
    <row r="498">
      <c r="F498" s="23">
        <f>IF($A498="","",IF($B498="","EKSİK","TAM"))</f>
        <v/>
      </c>
    </row>
    <row r="499">
      <c r="F499" s="23">
        <f>IF($A499="","",IF($B499="","EKSİK","TAM"))</f>
        <v/>
      </c>
    </row>
    <row r="500">
      <c r="F500" s="23">
        <f>IF($A500="","",IF($B500="","EKSİK","TAM"))</f>
        <v/>
      </c>
    </row>
    <row r="501">
      <c r="F501" s="23">
        <f>IF($A501="","",IF($B501="","EKSİK","TAM"))</f>
        <v/>
      </c>
    </row>
    <row r="502">
      <c r="F502" s="23">
        <f>IF($A502="","",IF($B502="","EKSİK","TAM"))</f>
        <v/>
      </c>
    </row>
    <row r="503">
      <c r="F503" s="23">
        <f>IF($A503="","",IF($B503="","EKSİK","TAM"))</f>
        <v/>
      </c>
    </row>
    <row r="504">
      <c r="F504" s="23">
        <f>IF($A504="","",IF($B504="","EKSİK","TAM"))</f>
        <v/>
      </c>
    </row>
    <row r="505">
      <c r="F505" s="23">
        <f>IF($A505="","",IF($B505="","EKSİK","TAM"))</f>
        <v/>
      </c>
    </row>
    <row r="506">
      <c r="F506" s="23">
        <f>IF($A506="","",IF($B506="","EKSİK","TAM"))</f>
        <v/>
      </c>
    </row>
    <row r="507">
      <c r="F507" s="23">
        <f>IF($A507="","",IF($B507="","EKSİK","TAM"))</f>
        <v/>
      </c>
    </row>
    <row r="508">
      <c r="F508" s="23">
        <f>IF($A508="","",IF($B508="","EKSİK","TAM"))</f>
        <v/>
      </c>
    </row>
    <row r="509">
      <c r="F509" s="23">
        <f>IF($A509="","",IF($B509="","EKSİK","TAM"))</f>
        <v/>
      </c>
    </row>
    <row r="510">
      <c r="F510" s="23">
        <f>IF($A510="","",IF($B510="","EKSİK","TAM"))</f>
        <v/>
      </c>
    </row>
    <row r="511">
      <c r="F511" s="23">
        <f>IF($A511="","",IF($B511="","EKSİK","TAM"))</f>
        <v/>
      </c>
    </row>
    <row r="512">
      <c r="F512" s="23">
        <f>IF($A512="","",IF($B512="","EKSİK","TAM"))</f>
        <v/>
      </c>
    </row>
    <row r="513">
      <c r="F513" s="23">
        <f>IF($A513="","",IF($B513="","EKSİK","TAM"))</f>
        <v/>
      </c>
    </row>
    <row r="514">
      <c r="F514" s="23">
        <f>IF($A514="","",IF($B514="","EKSİK","TAM"))</f>
        <v/>
      </c>
    </row>
    <row r="515">
      <c r="F515" s="23">
        <f>IF($A515="","",IF($B515="","EKSİK","TAM"))</f>
        <v/>
      </c>
    </row>
    <row r="516">
      <c r="F516" s="23">
        <f>IF($A516="","",IF($B516="","EKSİK","TAM"))</f>
        <v/>
      </c>
    </row>
    <row r="517">
      <c r="F517" s="23">
        <f>IF($A517="","",IF($B517="","EKSİK","TAM"))</f>
        <v/>
      </c>
    </row>
    <row r="518">
      <c r="F518" s="23">
        <f>IF($A518="","",IF($B518="","EKSİK","TAM"))</f>
        <v/>
      </c>
    </row>
    <row r="519">
      <c r="F519" s="23">
        <f>IF($A519="","",IF($B519="","EKSİK","TAM"))</f>
        <v/>
      </c>
    </row>
    <row r="520">
      <c r="F520" s="23">
        <f>IF($A520="","",IF($B520="","EKSİK","TAM"))</f>
        <v/>
      </c>
    </row>
    <row r="521">
      <c r="F521" s="23">
        <f>IF($A521="","",IF($B521="","EKSİK","TAM"))</f>
        <v/>
      </c>
    </row>
    <row r="522">
      <c r="F522" s="23">
        <f>IF($A522="","",IF($B522="","EKSİK","TAM"))</f>
        <v/>
      </c>
    </row>
    <row r="523">
      <c r="F523" s="23">
        <f>IF($A523="","",IF($B523="","EKSİK","TAM"))</f>
        <v/>
      </c>
    </row>
    <row r="524">
      <c r="F524" s="23">
        <f>IF($A524="","",IF($B524="","EKSİK","TAM"))</f>
        <v/>
      </c>
    </row>
    <row r="525">
      <c r="F525" s="23">
        <f>IF($A525="","",IF($B525="","EKSİK","TAM"))</f>
        <v/>
      </c>
    </row>
    <row r="526">
      <c r="F526" s="23">
        <f>IF($A526="","",IF($B526="","EKSİK","TAM"))</f>
        <v/>
      </c>
    </row>
    <row r="527">
      <c r="F527" s="23">
        <f>IF($A527="","",IF($B527="","EKSİK","TAM"))</f>
        <v/>
      </c>
    </row>
    <row r="528">
      <c r="F528" s="23">
        <f>IF($A528="","",IF($B528="","EKSİK","TAM"))</f>
        <v/>
      </c>
    </row>
    <row r="529">
      <c r="F529" s="23">
        <f>IF($A529="","",IF($B529="","EKSİK","TAM"))</f>
        <v/>
      </c>
    </row>
    <row r="530">
      <c r="F530" s="23">
        <f>IF($A530="","",IF($B530="","EKSİK","TAM"))</f>
        <v/>
      </c>
    </row>
    <row r="531">
      <c r="F531" s="23">
        <f>IF($A531="","",IF($B531="","EKSİK","TAM"))</f>
        <v/>
      </c>
    </row>
    <row r="532">
      <c r="F532" s="23">
        <f>IF($A532="","",IF($B532="","EKSİK","TAM"))</f>
        <v/>
      </c>
    </row>
    <row r="533">
      <c r="F533" s="23">
        <f>IF($A533="","",IF($B533="","EKSİK","TAM"))</f>
        <v/>
      </c>
    </row>
    <row r="534">
      <c r="F534" s="23">
        <f>IF($A534="","",IF($B534="","EKSİK","TAM"))</f>
        <v/>
      </c>
    </row>
    <row r="535">
      <c r="F535" s="23">
        <f>IF($A535="","",IF($B535="","EKSİK","TAM"))</f>
        <v/>
      </c>
    </row>
    <row r="536">
      <c r="F536" s="23">
        <f>IF($A536="","",IF($B536="","EKSİK","TAM"))</f>
        <v/>
      </c>
    </row>
    <row r="537">
      <c r="F537" s="23">
        <f>IF($A537="","",IF($B537="","EKSİK","TAM"))</f>
        <v/>
      </c>
    </row>
    <row r="538">
      <c r="F538" s="23">
        <f>IF($A538="","",IF($B538="","EKSİK","TAM"))</f>
        <v/>
      </c>
    </row>
    <row r="539">
      <c r="F539" s="23">
        <f>IF($A539="","",IF($B539="","EKSİK","TAM"))</f>
        <v/>
      </c>
    </row>
    <row r="540">
      <c r="F540" s="23">
        <f>IF($A540="","",IF($B540="","EKSİK","TAM"))</f>
        <v/>
      </c>
    </row>
    <row r="541">
      <c r="F541" s="23">
        <f>IF($A541="","",IF($B541="","EKSİK","TAM"))</f>
        <v/>
      </c>
    </row>
    <row r="542">
      <c r="F542" s="23">
        <f>IF($A542="","",IF($B542="","EKSİK","TAM"))</f>
        <v/>
      </c>
    </row>
    <row r="543">
      <c r="F543" s="23">
        <f>IF($A543="","",IF($B543="","EKSİK","TAM"))</f>
        <v/>
      </c>
    </row>
    <row r="544">
      <c r="F544" s="23">
        <f>IF($A544="","",IF($B544="","EKSİK","TAM"))</f>
        <v/>
      </c>
    </row>
    <row r="545">
      <c r="F545" s="23">
        <f>IF($A545="","",IF($B545="","EKSİK","TAM"))</f>
        <v/>
      </c>
    </row>
    <row r="546">
      <c r="F546" s="23">
        <f>IF($A546="","",IF($B546="","EKSİK","TAM"))</f>
        <v/>
      </c>
    </row>
    <row r="547">
      <c r="F547" s="23">
        <f>IF($A547="","",IF($B547="","EKSİK","TAM"))</f>
        <v/>
      </c>
    </row>
    <row r="548">
      <c r="F548" s="23">
        <f>IF($A548="","",IF($B548="","EKSİK","TAM"))</f>
        <v/>
      </c>
    </row>
    <row r="549">
      <c r="F549" s="23">
        <f>IF($A549="","",IF($B549="","EKSİK","TAM"))</f>
        <v/>
      </c>
    </row>
    <row r="550">
      <c r="F550" s="23">
        <f>IF($A550="","",IF($B550="","EKSİK","TAM"))</f>
        <v/>
      </c>
    </row>
    <row r="551">
      <c r="F551" s="23">
        <f>IF($A551="","",IF($B551="","EKSİK","TAM"))</f>
        <v/>
      </c>
    </row>
    <row r="552">
      <c r="F552" s="23">
        <f>IF($A552="","",IF($B552="","EKSİK","TAM"))</f>
        <v/>
      </c>
    </row>
    <row r="553">
      <c r="F553" s="23">
        <f>IF($A553="","",IF($B553="","EKSİK","TAM"))</f>
        <v/>
      </c>
    </row>
    <row r="554">
      <c r="F554" s="23">
        <f>IF($A554="","",IF($B554="","EKSİK","TAM"))</f>
        <v/>
      </c>
    </row>
    <row r="555">
      <c r="F555" s="23">
        <f>IF($A555="","",IF($B555="","EKSİK","TAM"))</f>
        <v/>
      </c>
    </row>
    <row r="556">
      <c r="F556" s="23">
        <f>IF($A556="","",IF($B556="","EKSİK","TAM"))</f>
        <v/>
      </c>
    </row>
    <row r="557">
      <c r="F557" s="23">
        <f>IF($A557="","",IF($B557="","EKSİK","TAM"))</f>
        <v/>
      </c>
    </row>
    <row r="558">
      <c r="F558" s="23">
        <f>IF($A558="","",IF($B558="","EKSİK","TAM"))</f>
        <v/>
      </c>
    </row>
    <row r="559">
      <c r="F559" s="23">
        <f>IF($A559="","",IF($B559="","EKSİK","TAM"))</f>
        <v/>
      </c>
    </row>
    <row r="560">
      <c r="F560" s="23">
        <f>IF($A560="","",IF($B560="","EKSİK","TAM"))</f>
        <v/>
      </c>
    </row>
    <row r="561">
      <c r="F561" s="23">
        <f>IF($A561="","",IF($B561="","EKSİK","TAM"))</f>
        <v/>
      </c>
    </row>
    <row r="562">
      <c r="F562" s="23">
        <f>IF($A562="","",IF($B562="","EKSİK","TAM"))</f>
        <v/>
      </c>
    </row>
    <row r="563">
      <c r="F563" s="23">
        <f>IF($A563="","",IF($B563="","EKSİK","TAM"))</f>
        <v/>
      </c>
    </row>
    <row r="564">
      <c r="F564" s="23">
        <f>IF($A564="","",IF($B564="","EKSİK","TAM"))</f>
        <v/>
      </c>
    </row>
    <row r="565">
      <c r="F565" s="23">
        <f>IF($A565="","",IF($B565="","EKSİK","TAM"))</f>
        <v/>
      </c>
    </row>
    <row r="566">
      <c r="F566" s="23">
        <f>IF($A566="","",IF($B566="","EKSİK","TAM"))</f>
        <v/>
      </c>
    </row>
    <row r="567">
      <c r="F567" s="23">
        <f>IF($A567="","",IF($B567="","EKSİK","TAM"))</f>
        <v/>
      </c>
    </row>
    <row r="568">
      <c r="F568" s="23">
        <f>IF($A568="","",IF($B568="","EKSİK","TAM"))</f>
        <v/>
      </c>
    </row>
    <row r="569">
      <c r="F569" s="23">
        <f>IF($A569="","",IF($B569="","EKSİK","TAM"))</f>
        <v/>
      </c>
    </row>
    <row r="570">
      <c r="F570" s="23">
        <f>IF($A570="","",IF($B570="","EKSİK","TAM"))</f>
        <v/>
      </c>
    </row>
    <row r="571">
      <c r="F571" s="23">
        <f>IF($A571="","",IF($B571="","EKSİK","TAM"))</f>
        <v/>
      </c>
    </row>
    <row r="572">
      <c r="F572" s="23">
        <f>IF($A572="","",IF($B572="","EKSİK","TAM"))</f>
        <v/>
      </c>
    </row>
    <row r="573">
      <c r="F573" s="23">
        <f>IF($A573="","",IF($B573="","EKSİK","TAM"))</f>
        <v/>
      </c>
    </row>
    <row r="574">
      <c r="F574" s="23">
        <f>IF($A574="","",IF($B574="","EKSİK","TAM"))</f>
        <v/>
      </c>
    </row>
    <row r="575">
      <c r="F575" s="23">
        <f>IF($A575="","",IF($B575="","EKSİK","TAM"))</f>
        <v/>
      </c>
    </row>
    <row r="576">
      <c r="F576" s="23">
        <f>IF($A576="","",IF($B576="","EKSİK","TAM"))</f>
        <v/>
      </c>
    </row>
    <row r="577">
      <c r="F577" s="23">
        <f>IF($A577="","",IF($B577="","EKSİK","TAM"))</f>
        <v/>
      </c>
    </row>
    <row r="578">
      <c r="F578" s="23">
        <f>IF($A578="","",IF($B578="","EKSİK","TAM"))</f>
        <v/>
      </c>
    </row>
    <row r="579">
      <c r="F579" s="23">
        <f>IF($A579="","",IF($B579="","EKSİK","TAM"))</f>
        <v/>
      </c>
    </row>
    <row r="580">
      <c r="F580" s="23">
        <f>IF($A580="","",IF($B580="","EKSİK","TAM"))</f>
        <v/>
      </c>
    </row>
    <row r="581">
      <c r="F581" s="23">
        <f>IF($A581="","",IF($B581="","EKSİK","TAM"))</f>
        <v/>
      </c>
    </row>
    <row r="582">
      <c r="F582" s="23">
        <f>IF($A582="","",IF($B582="","EKSİK","TAM"))</f>
        <v/>
      </c>
    </row>
    <row r="583">
      <c r="F583" s="23">
        <f>IF($A583="","",IF($B583="","EKSİK","TAM"))</f>
        <v/>
      </c>
    </row>
    <row r="584">
      <c r="F584" s="23">
        <f>IF($A584="","",IF($B584="","EKSİK","TAM"))</f>
        <v/>
      </c>
    </row>
    <row r="585">
      <c r="F585" s="23">
        <f>IF($A585="","",IF($B585="","EKSİK","TAM"))</f>
        <v/>
      </c>
    </row>
    <row r="586">
      <c r="F586" s="23">
        <f>IF($A586="","",IF($B586="","EKSİK","TAM"))</f>
        <v/>
      </c>
    </row>
    <row r="587">
      <c r="F587" s="23">
        <f>IF($A587="","",IF($B587="","EKSİK","TAM"))</f>
        <v/>
      </c>
    </row>
    <row r="588">
      <c r="F588" s="23">
        <f>IF($A588="","",IF($B588="","EKSİK","TAM"))</f>
        <v/>
      </c>
    </row>
    <row r="589">
      <c r="F589" s="23">
        <f>IF($A589="","",IF($B589="","EKSİK","TAM"))</f>
        <v/>
      </c>
    </row>
    <row r="590">
      <c r="F590" s="23">
        <f>IF($A590="","",IF($B590="","EKSİK","TAM"))</f>
        <v/>
      </c>
    </row>
    <row r="591">
      <c r="F591" s="23">
        <f>IF($A591="","",IF($B591="","EKSİK","TAM"))</f>
        <v/>
      </c>
    </row>
    <row r="592">
      <c r="F592" s="23">
        <f>IF($A592="","",IF($B592="","EKSİK","TAM"))</f>
        <v/>
      </c>
    </row>
    <row r="593">
      <c r="F593" s="23">
        <f>IF($A593="","",IF($B593="","EKSİK","TAM"))</f>
        <v/>
      </c>
    </row>
    <row r="594">
      <c r="F594" s="23">
        <f>IF($A594="","",IF($B594="","EKSİK","TAM"))</f>
        <v/>
      </c>
    </row>
    <row r="595">
      <c r="F595" s="23">
        <f>IF($A595="","",IF($B595="","EKSİK","TAM"))</f>
        <v/>
      </c>
    </row>
    <row r="596">
      <c r="F596" s="23">
        <f>IF($A596="","",IF($B596="","EKSİK","TAM"))</f>
        <v/>
      </c>
    </row>
    <row r="597">
      <c r="F597" s="23">
        <f>IF($A597="","",IF($B597="","EKSİK","TAM"))</f>
        <v/>
      </c>
    </row>
    <row r="598">
      <c r="F598" s="23">
        <f>IF($A598="","",IF($B598="","EKSİK","TAM"))</f>
        <v/>
      </c>
    </row>
    <row r="599">
      <c r="F599" s="23">
        <f>IF($A599="","",IF($B599="","EKSİK","TAM"))</f>
        <v/>
      </c>
    </row>
    <row r="600">
      <c r="F600" s="23">
        <f>IF($A600="","",IF($B600="","EKSİK","TAM"))</f>
        <v/>
      </c>
    </row>
    <row r="601">
      <c r="F601" s="23">
        <f>IF($A601="","",IF($B601="","EKSİK","TAM"))</f>
        <v/>
      </c>
    </row>
    <row r="602">
      <c r="F602" s="23">
        <f>IF($A602="","",IF($B602="","EKSİK","TAM"))</f>
        <v/>
      </c>
    </row>
    <row r="603">
      <c r="F603" s="23">
        <f>IF($A603="","",IF($B603="","EKSİK","TAM"))</f>
        <v/>
      </c>
    </row>
    <row r="604">
      <c r="F604" s="23">
        <f>IF($A604="","",IF($B604="","EKSİK","TAM"))</f>
        <v/>
      </c>
    </row>
    <row r="605">
      <c r="F605" s="23">
        <f>IF($A605="","",IF($B605="","EKSİK","TAM"))</f>
        <v/>
      </c>
    </row>
    <row r="606">
      <c r="F606" s="23">
        <f>IF($A606="","",IF($B606="","EKSİK","TAM"))</f>
        <v/>
      </c>
    </row>
    <row r="607">
      <c r="F607" s="23">
        <f>IF($A607="","",IF($B607="","EKSİK","TAM"))</f>
        <v/>
      </c>
    </row>
    <row r="608">
      <c r="F608" s="23">
        <f>IF($A608="","",IF($B608="","EKSİK","TAM"))</f>
        <v/>
      </c>
    </row>
    <row r="609">
      <c r="F609" s="23">
        <f>IF($A609="","",IF($B609="","EKSİK","TAM"))</f>
        <v/>
      </c>
    </row>
    <row r="610">
      <c r="F610" s="23">
        <f>IF($A610="","",IF($B610="","EKSİK","TAM"))</f>
        <v/>
      </c>
    </row>
    <row r="611">
      <c r="F611" s="23">
        <f>IF($A611="","",IF($B611="","EKSİK","TAM"))</f>
        <v/>
      </c>
    </row>
    <row r="612">
      <c r="F612" s="23">
        <f>IF($A612="","",IF($B612="","EKSİK","TAM"))</f>
        <v/>
      </c>
    </row>
    <row r="613">
      <c r="F613" s="23">
        <f>IF($A613="","",IF($B613="","EKSİK","TAM"))</f>
        <v/>
      </c>
    </row>
    <row r="614">
      <c r="F614" s="23">
        <f>IF($A614="","",IF($B614="","EKSİK","TAM"))</f>
        <v/>
      </c>
    </row>
    <row r="615">
      <c r="F615" s="23">
        <f>IF($A615="","",IF($B615="","EKSİK","TAM"))</f>
        <v/>
      </c>
    </row>
    <row r="616">
      <c r="F616" s="23">
        <f>IF($A616="","",IF($B616="","EKSİK","TAM"))</f>
        <v/>
      </c>
    </row>
    <row r="617">
      <c r="F617" s="23">
        <f>IF($A617="","",IF($B617="","EKSİK","TAM"))</f>
        <v/>
      </c>
    </row>
    <row r="618">
      <c r="F618" s="23">
        <f>IF($A618="","",IF($B618="","EKSİK","TAM"))</f>
        <v/>
      </c>
    </row>
    <row r="619">
      <c r="F619" s="23">
        <f>IF($A619="","",IF($B619="","EKSİK","TAM"))</f>
        <v/>
      </c>
    </row>
    <row r="620">
      <c r="F620" s="23">
        <f>IF($A620="","",IF($B620="","EKSİK","TAM"))</f>
        <v/>
      </c>
    </row>
    <row r="621">
      <c r="F621" s="23">
        <f>IF($A621="","",IF($B621="","EKSİK","TAM"))</f>
        <v/>
      </c>
    </row>
    <row r="622">
      <c r="F622" s="23">
        <f>IF($A622="","",IF($B622="","EKSİK","TAM"))</f>
        <v/>
      </c>
    </row>
    <row r="623">
      <c r="F623" s="23">
        <f>IF($A623="","",IF($B623="","EKSİK","TAM"))</f>
        <v/>
      </c>
    </row>
    <row r="624">
      <c r="F624" s="23">
        <f>IF($A624="","",IF($B624="","EKSİK","TAM"))</f>
        <v/>
      </c>
    </row>
    <row r="625">
      <c r="F625" s="23">
        <f>IF($A625="","",IF($B625="","EKSİK","TAM"))</f>
        <v/>
      </c>
    </row>
    <row r="626">
      <c r="F626" s="23">
        <f>IF($A626="","",IF($B626="","EKSİK","TAM"))</f>
        <v/>
      </c>
    </row>
    <row r="627">
      <c r="F627" s="23">
        <f>IF($A627="","",IF($B627="","EKSİK","TAM"))</f>
        <v/>
      </c>
    </row>
    <row r="628">
      <c r="F628" s="23">
        <f>IF($A628="","",IF($B628="","EKSİK","TAM"))</f>
        <v/>
      </c>
    </row>
    <row r="629">
      <c r="F629" s="23">
        <f>IF($A629="","",IF($B629="","EKSİK","TAM"))</f>
        <v/>
      </c>
    </row>
    <row r="630">
      <c r="F630" s="23">
        <f>IF($A630="","",IF($B630="","EKSİK","TAM"))</f>
        <v/>
      </c>
    </row>
    <row r="631">
      <c r="F631" s="23">
        <f>IF($A631="","",IF($B631="","EKSİK","TAM"))</f>
        <v/>
      </c>
    </row>
    <row r="632">
      <c r="F632" s="23">
        <f>IF($A632="","",IF($B632="","EKSİK","TAM"))</f>
        <v/>
      </c>
    </row>
    <row r="633">
      <c r="F633" s="23">
        <f>IF($A633="","",IF($B633="","EKSİK","TAM"))</f>
        <v/>
      </c>
    </row>
    <row r="634">
      <c r="F634" s="23">
        <f>IF($A634="","",IF($B634="","EKSİK","TAM"))</f>
        <v/>
      </c>
    </row>
    <row r="635">
      <c r="F635" s="23">
        <f>IF($A635="","",IF($B635="","EKSİK","TAM"))</f>
        <v/>
      </c>
    </row>
    <row r="636">
      <c r="F636" s="23">
        <f>IF($A636="","",IF($B636="","EKSİK","TAM"))</f>
        <v/>
      </c>
    </row>
    <row r="637">
      <c r="F637" s="23">
        <f>IF($A637="","",IF($B637="","EKSİK","TAM"))</f>
        <v/>
      </c>
    </row>
    <row r="638">
      <c r="F638" s="23">
        <f>IF($A638="","",IF($B638="","EKSİK","TAM"))</f>
        <v/>
      </c>
    </row>
    <row r="639">
      <c r="F639" s="23">
        <f>IF($A639="","",IF($B639="","EKSİK","TAM"))</f>
        <v/>
      </c>
    </row>
    <row r="640">
      <c r="F640" s="23">
        <f>IF($A640="","",IF($B640="","EKSİK","TAM"))</f>
        <v/>
      </c>
    </row>
    <row r="641">
      <c r="F641" s="23">
        <f>IF($A641="","",IF($B641="","EKSİK","TAM"))</f>
        <v/>
      </c>
    </row>
    <row r="642">
      <c r="F642" s="23">
        <f>IF($A642="","",IF($B642="","EKSİK","TAM"))</f>
        <v/>
      </c>
    </row>
    <row r="643">
      <c r="F643" s="23">
        <f>IF($A643="","",IF($B643="","EKSİK","TAM"))</f>
        <v/>
      </c>
    </row>
    <row r="644">
      <c r="F644" s="23">
        <f>IF($A644="","",IF($B644="","EKSİK","TAM"))</f>
        <v/>
      </c>
    </row>
    <row r="645">
      <c r="F645" s="23">
        <f>IF($A645="","",IF($B645="","EKSİK","TAM"))</f>
        <v/>
      </c>
    </row>
    <row r="646">
      <c r="F646" s="23">
        <f>IF($A646="","",IF($B646="","EKSİK","TAM"))</f>
        <v/>
      </c>
    </row>
    <row r="647">
      <c r="F647" s="23">
        <f>IF($A647="","",IF($B647="","EKSİK","TAM"))</f>
        <v/>
      </c>
    </row>
    <row r="648">
      <c r="F648" s="23">
        <f>IF($A648="","",IF($B648="","EKSİK","TAM"))</f>
        <v/>
      </c>
    </row>
    <row r="649">
      <c r="F649" s="23">
        <f>IF($A649="","",IF($B649="","EKSİK","TAM"))</f>
        <v/>
      </c>
    </row>
    <row r="650">
      <c r="F650" s="23">
        <f>IF($A650="","",IF($B650="","EKSİK","TAM"))</f>
        <v/>
      </c>
    </row>
    <row r="651">
      <c r="F651" s="23">
        <f>IF($A651="","",IF($B651="","EKSİK","TAM"))</f>
        <v/>
      </c>
    </row>
    <row r="652">
      <c r="F652" s="23">
        <f>IF($A652="","",IF($B652="","EKSİK","TAM"))</f>
        <v/>
      </c>
    </row>
    <row r="653">
      <c r="F653" s="23">
        <f>IF($A653="","",IF($B653="","EKSİK","TAM"))</f>
        <v/>
      </c>
    </row>
    <row r="654">
      <c r="F654" s="23">
        <f>IF($A654="","",IF($B654="","EKSİK","TAM"))</f>
        <v/>
      </c>
    </row>
    <row r="655">
      <c r="F655" s="23">
        <f>IF($A655="","",IF($B655="","EKSİK","TAM"))</f>
        <v/>
      </c>
    </row>
    <row r="656">
      <c r="F656" s="23">
        <f>IF($A656="","",IF($B656="","EKSİK","TAM"))</f>
        <v/>
      </c>
    </row>
    <row r="657">
      <c r="F657" s="23">
        <f>IF($A657="","",IF($B657="","EKSİK","TAM"))</f>
        <v/>
      </c>
    </row>
    <row r="658">
      <c r="F658" s="23">
        <f>IF($A658="","",IF($B658="","EKSİK","TAM"))</f>
        <v/>
      </c>
    </row>
    <row r="659">
      <c r="F659" s="23">
        <f>IF($A659="","",IF($B659="","EKSİK","TAM"))</f>
        <v/>
      </c>
    </row>
    <row r="660">
      <c r="F660" s="23">
        <f>IF($A660="","",IF($B660="","EKSİK","TAM"))</f>
        <v/>
      </c>
    </row>
    <row r="661">
      <c r="F661" s="23">
        <f>IF($A661="","",IF($B661="","EKSİK","TAM"))</f>
        <v/>
      </c>
    </row>
    <row r="662">
      <c r="F662" s="23">
        <f>IF($A662="","",IF($B662="","EKSİK","TAM"))</f>
        <v/>
      </c>
    </row>
    <row r="663">
      <c r="F663" s="23">
        <f>IF($A663="","",IF($B663="","EKSİK","TAM"))</f>
        <v/>
      </c>
    </row>
    <row r="664">
      <c r="F664" s="23">
        <f>IF($A664="","",IF($B664="","EKSİK","TAM"))</f>
        <v/>
      </c>
    </row>
    <row r="665">
      <c r="F665" s="23">
        <f>IF($A665="","",IF($B665="","EKSİK","TAM"))</f>
        <v/>
      </c>
    </row>
    <row r="666">
      <c r="F666" s="23">
        <f>IF($A666="","",IF($B666="","EKSİK","TAM"))</f>
        <v/>
      </c>
    </row>
    <row r="667">
      <c r="F667" s="23">
        <f>IF($A667="","",IF($B667="","EKSİK","TAM"))</f>
        <v/>
      </c>
    </row>
    <row r="668">
      <c r="F668" s="23">
        <f>IF($A668="","",IF($B668="","EKSİK","TAM"))</f>
        <v/>
      </c>
    </row>
    <row r="669">
      <c r="F669" s="23">
        <f>IF($A669="","",IF($B669="","EKSİK","TAM"))</f>
        <v/>
      </c>
    </row>
    <row r="670">
      <c r="F670" s="23">
        <f>IF($A670="","",IF($B670="","EKSİK","TAM"))</f>
        <v/>
      </c>
    </row>
    <row r="671">
      <c r="F671" s="23">
        <f>IF($A671="","",IF($B671="","EKSİK","TAM"))</f>
        <v/>
      </c>
    </row>
    <row r="672">
      <c r="F672" s="23">
        <f>IF($A672="","",IF($B672="","EKSİK","TAM"))</f>
        <v/>
      </c>
    </row>
    <row r="673">
      <c r="F673" s="23">
        <f>IF($A673="","",IF($B673="","EKSİK","TAM"))</f>
        <v/>
      </c>
    </row>
    <row r="674">
      <c r="F674" s="23">
        <f>IF($A674="","",IF($B674="","EKSİK","TAM"))</f>
        <v/>
      </c>
    </row>
    <row r="675">
      <c r="F675" s="23">
        <f>IF($A675="","",IF($B675="","EKSİK","TAM"))</f>
        <v/>
      </c>
    </row>
    <row r="676">
      <c r="F676" s="23">
        <f>IF($A676="","",IF($B676="","EKSİK","TAM"))</f>
        <v/>
      </c>
    </row>
    <row r="677">
      <c r="F677" s="23">
        <f>IF($A677="","",IF($B677="","EKSİK","TAM"))</f>
        <v/>
      </c>
    </row>
    <row r="678">
      <c r="F678" s="23">
        <f>IF($A678="","",IF($B678="","EKSİK","TAM"))</f>
        <v/>
      </c>
    </row>
    <row r="679">
      <c r="F679" s="23">
        <f>IF($A679="","",IF($B679="","EKSİK","TAM"))</f>
        <v/>
      </c>
    </row>
    <row r="680">
      <c r="F680" s="23">
        <f>IF($A680="","",IF($B680="","EKSİK","TAM"))</f>
        <v/>
      </c>
    </row>
    <row r="681">
      <c r="F681" s="23">
        <f>IF($A681="","",IF($B681="","EKSİK","TAM"))</f>
        <v/>
      </c>
    </row>
    <row r="682">
      <c r="F682" s="23">
        <f>IF($A682="","",IF($B682="","EKSİK","TAM"))</f>
        <v/>
      </c>
    </row>
    <row r="683">
      <c r="F683" s="23">
        <f>IF($A683="","",IF($B683="","EKSİK","TAM"))</f>
        <v/>
      </c>
    </row>
    <row r="684">
      <c r="F684" s="23">
        <f>IF($A684="","",IF($B684="","EKSİK","TAM"))</f>
        <v/>
      </c>
    </row>
    <row r="685">
      <c r="F685" s="23">
        <f>IF($A685="","",IF($B685="","EKSİK","TAM"))</f>
        <v/>
      </c>
    </row>
    <row r="686">
      <c r="F686" s="23">
        <f>IF($A686="","",IF($B686="","EKSİK","TAM"))</f>
        <v/>
      </c>
    </row>
    <row r="687">
      <c r="F687" s="23">
        <f>IF($A687="","",IF($B687="","EKSİK","TAM"))</f>
        <v/>
      </c>
    </row>
    <row r="688">
      <c r="F688" s="23">
        <f>IF($A688="","",IF($B688="","EKSİK","TAM"))</f>
        <v/>
      </c>
    </row>
    <row r="689">
      <c r="F689" s="23">
        <f>IF($A689="","",IF($B689="","EKSİK","TAM"))</f>
        <v/>
      </c>
    </row>
    <row r="690">
      <c r="F690" s="23">
        <f>IF($A690="","",IF($B690="","EKSİK","TAM"))</f>
        <v/>
      </c>
    </row>
    <row r="691">
      <c r="F691" s="23">
        <f>IF($A691="","",IF($B691="","EKSİK","TAM"))</f>
        <v/>
      </c>
    </row>
    <row r="692">
      <c r="F692" s="23">
        <f>IF($A692="","",IF($B692="","EKSİK","TAM"))</f>
        <v/>
      </c>
    </row>
    <row r="693">
      <c r="F693" s="23">
        <f>IF($A693="","",IF($B693="","EKSİK","TAM"))</f>
        <v/>
      </c>
    </row>
    <row r="694">
      <c r="F694" s="23">
        <f>IF($A694="","",IF($B694="","EKSİK","TAM"))</f>
        <v/>
      </c>
    </row>
    <row r="695">
      <c r="F695" s="23">
        <f>IF($A695="","",IF($B695="","EKSİK","TAM"))</f>
        <v/>
      </c>
    </row>
    <row r="696">
      <c r="F696" s="23">
        <f>IF($A696="","",IF($B696="","EKSİK","TAM"))</f>
        <v/>
      </c>
    </row>
    <row r="697">
      <c r="F697" s="23">
        <f>IF($A697="","",IF($B697="","EKSİK","TAM"))</f>
        <v/>
      </c>
    </row>
    <row r="698">
      <c r="F698" s="23">
        <f>IF($A698="","",IF($B698="","EKSİK","TAM"))</f>
        <v/>
      </c>
    </row>
    <row r="699">
      <c r="F699" s="23">
        <f>IF($A699="","",IF($B699="","EKSİK","TAM"))</f>
        <v/>
      </c>
    </row>
    <row r="700">
      <c r="F700" s="23">
        <f>IF($A700="","",IF($B700="","EKSİK","TAM"))</f>
        <v/>
      </c>
    </row>
    <row r="701">
      <c r="F701" s="23">
        <f>IF($A701="","",IF($B701="","EKSİK","TAM"))</f>
        <v/>
      </c>
    </row>
    <row r="702">
      <c r="F702" s="23">
        <f>IF($A702="","",IF($B702="","EKSİK","TAM"))</f>
        <v/>
      </c>
    </row>
    <row r="703">
      <c r="F703" s="23">
        <f>IF($A703="","",IF($B703="","EKSİK","TAM"))</f>
        <v/>
      </c>
    </row>
    <row r="704">
      <c r="F704" s="23">
        <f>IF($A704="","",IF($B704="","EKSİK","TAM"))</f>
        <v/>
      </c>
    </row>
    <row r="705">
      <c r="F705" s="23">
        <f>IF($A705="","",IF($B705="","EKSİK","TAM"))</f>
        <v/>
      </c>
    </row>
    <row r="706">
      <c r="F706" s="23">
        <f>IF($A706="","",IF($B706="","EKSİK","TAM"))</f>
        <v/>
      </c>
    </row>
    <row r="707">
      <c r="F707" s="23">
        <f>IF($A707="","",IF($B707="","EKSİK","TAM"))</f>
        <v/>
      </c>
    </row>
    <row r="708">
      <c r="F708" s="23">
        <f>IF($A708="","",IF($B708="","EKSİK","TAM"))</f>
        <v/>
      </c>
    </row>
    <row r="709">
      <c r="F709" s="23">
        <f>IF($A709="","",IF($B709="","EKSİK","TAM"))</f>
        <v/>
      </c>
    </row>
    <row r="710">
      <c r="F710" s="23">
        <f>IF($A710="","",IF($B710="","EKSİK","TAM"))</f>
        <v/>
      </c>
    </row>
    <row r="711">
      <c r="F711" s="23">
        <f>IF($A711="","",IF($B711="","EKSİK","TAM"))</f>
        <v/>
      </c>
    </row>
    <row r="712">
      <c r="F712" s="23">
        <f>IF($A712="","",IF($B712="","EKSİK","TAM"))</f>
        <v/>
      </c>
    </row>
    <row r="713">
      <c r="F713" s="23">
        <f>IF($A713="","",IF($B713="","EKSİK","TAM"))</f>
        <v/>
      </c>
    </row>
    <row r="714">
      <c r="F714" s="23">
        <f>IF($A714="","",IF($B714="","EKSİK","TAM"))</f>
        <v/>
      </c>
    </row>
    <row r="715">
      <c r="F715" s="23">
        <f>IF($A715="","",IF($B715="","EKSİK","TAM"))</f>
        <v/>
      </c>
    </row>
    <row r="716">
      <c r="F716" s="23">
        <f>IF($A716="","",IF($B716="","EKSİK","TAM"))</f>
        <v/>
      </c>
    </row>
    <row r="717">
      <c r="F717" s="23">
        <f>IF($A717="","",IF($B717="","EKSİK","TAM"))</f>
        <v/>
      </c>
    </row>
    <row r="718">
      <c r="F718" s="23">
        <f>IF($A718="","",IF($B718="","EKSİK","TAM"))</f>
        <v/>
      </c>
    </row>
    <row r="719">
      <c r="F719" s="23">
        <f>IF($A719="","",IF($B719="","EKSİK","TAM"))</f>
        <v/>
      </c>
    </row>
    <row r="720">
      <c r="F720" s="23">
        <f>IF($A720="","",IF($B720="","EKSİK","TAM"))</f>
        <v/>
      </c>
    </row>
    <row r="721">
      <c r="F721" s="23">
        <f>IF($A721="","",IF($B721="","EKSİK","TAM"))</f>
        <v/>
      </c>
    </row>
    <row r="722">
      <c r="F722" s="23">
        <f>IF($A722="","",IF($B722="","EKSİK","TAM"))</f>
        <v/>
      </c>
    </row>
    <row r="723">
      <c r="F723" s="23">
        <f>IF($A723="","",IF($B723="","EKSİK","TAM"))</f>
        <v/>
      </c>
    </row>
    <row r="724">
      <c r="F724" s="23">
        <f>IF($A724="","",IF($B724="","EKSİK","TAM"))</f>
        <v/>
      </c>
    </row>
    <row r="725">
      <c r="F725" s="23">
        <f>IF($A725="","",IF($B725="","EKSİK","TAM"))</f>
        <v/>
      </c>
    </row>
    <row r="726">
      <c r="F726" s="23">
        <f>IF($A726="","",IF($B726="","EKSİK","TAM"))</f>
        <v/>
      </c>
    </row>
    <row r="727">
      <c r="F727" s="23">
        <f>IF($A727="","",IF($B727="","EKSİK","TAM"))</f>
        <v/>
      </c>
    </row>
    <row r="728">
      <c r="F728" s="23">
        <f>IF($A728="","",IF($B728="","EKSİK","TAM"))</f>
        <v/>
      </c>
    </row>
    <row r="729">
      <c r="F729" s="23">
        <f>IF($A729="","",IF($B729="","EKSİK","TAM"))</f>
        <v/>
      </c>
    </row>
    <row r="730">
      <c r="F730" s="23">
        <f>IF($A730="","",IF($B730="","EKSİK","TAM"))</f>
        <v/>
      </c>
    </row>
    <row r="731">
      <c r="F731" s="23">
        <f>IF($A731="","",IF($B731="","EKSİK","TAM"))</f>
        <v/>
      </c>
    </row>
    <row r="732">
      <c r="F732" s="23">
        <f>IF($A732="","",IF($B732="","EKSİK","TAM"))</f>
        <v/>
      </c>
    </row>
    <row r="733">
      <c r="F733" s="23">
        <f>IF($A733="","",IF($B733="","EKSİK","TAM"))</f>
        <v/>
      </c>
    </row>
    <row r="734">
      <c r="F734" s="23">
        <f>IF($A734="","",IF($B734="","EKSİK","TAM"))</f>
        <v/>
      </c>
    </row>
    <row r="735">
      <c r="F735" s="23">
        <f>IF($A735="","",IF($B735="","EKSİK","TAM"))</f>
        <v/>
      </c>
    </row>
    <row r="736">
      <c r="F736" s="23">
        <f>IF($A736="","",IF($B736="","EKSİK","TAM"))</f>
        <v/>
      </c>
    </row>
    <row r="737">
      <c r="F737" s="23">
        <f>IF($A737="","",IF($B737="","EKSİK","TAM"))</f>
        <v/>
      </c>
    </row>
    <row r="738">
      <c r="F738" s="23">
        <f>IF($A738="","",IF($B738="","EKSİK","TAM"))</f>
        <v/>
      </c>
    </row>
    <row r="739">
      <c r="F739" s="23">
        <f>IF($A739="","",IF($B739="","EKSİK","TAM"))</f>
        <v/>
      </c>
    </row>
    <row r="740">
      <c r="F740" s="23">
        <f>IF($A740="","",IF($B740="","EKSİK","TAM"))</f>
        <v/>
      </c>
    </row>
    <row r="741">
      <c r="F741" s="23">
        <f>IF($A741="","",IF($B741="","EKSİK","TAM"))</f>
        <v/>
      </c>
    </row>
    <row r="742">
      <c r="F742" s="23">
        <f>IF($A742="","",IF($B742="","EKSİK","TAM"))</f>
        <v/>
      </c>
    </row>
    <row r="743">
      <c r="F743" s="23">
        <f>IF($A743="","",IF($B743="","EKSİK","TAM"))</f>
        <v/>
      </c>
    </row>
    <row r="744">
      <c r="F744" s="23">
        <f>IF($A744="","",IF($B744="","EKSİK","TAM"))</f>
        <v/>
      </c>
    </row>
    <row r="745">
      <c r="F745" s="23">
        <f>IF($A745="","",IF($B745="","EKSİK","TAM"))</f>
        <v/>
      </c>
    </row>
    <row r="746">
      <c r="F746" s="23">
        <f>IF($A746="","",IF($B746="","EKSİK","TAM"))</f>
        <v/>
      </c>
    </row>
    <row r="747">
      <c r="F747" s="23">
        <f>IF($A747="","",IF($B747="","EKSİK","TAM"))</f>
        <v/>
      </c>
    </row>
    <row r="748">
      <c r="F748" s="23">
        <f>IF($A748="","",IF($B748="","EKSİK","TAM"))</f>
        <v/>
      </c>
    </row>
    <row r="749">
      <c r="F749" s="23">
        <f>IF($A749="","",IF($B749="","EKSİK","TAM"))</f>
        <v/>
      </c>
    </row>
    <row r="750">
      <c r="F750" s="23">
        <f>IF($A750="","",IF($B750="","EKSİK","TAM"))</f>
        <v/>
      </c>
    </row>
    <row r="751">
      <c r="F751" s="23">
        <f>IF($A751="","",IF($B751="","EKSİK","TAM"))</f>
        <v/>
      </c>
    </row>
    <row r="752">
      <c r="F752" s="23">
        <f>IF($A752="","",IF($B752="","EKSİK","TAM"))</f>
        <v/>
      </c>
    </row>
    <row r="753">
      <c r="F753" s="23">
        <f>IF($A753="","",IF($B753="","EKSİK","TAM"))</f>
        <v/>
      </c>
    </row>
    <row r="754">
      <c r="F754" s="23">
        <f>IF($A754="","",IF($B754="","EKSİK","TAM"))</f>
        <v/>
      </c>
    </row>
    <row r="755">
      <c r="F755" s="23">
        <f>IF($A755="","",IF($B755="","EKSİK","TAM"))</f>
        <v/>
      </c>
    </row>
    <row r="756">
      <c r="F756" s="23">
        <f>IF($A756="","",IF($B756="","EKSİK","TAM"))</f>
        <v/>
      </c>
    </row>
    <row r="757">
      <c r="F757" s="23">
        <f>IF($A757="","",IF($B757="","EKSİK","TAM"))</f>
        <v/>
      </c>
    </row>
    <row r="758">
      <c r="F758" s="23">
        <f>IF($A758="","",IF($B758="","EKSİK","TAM"))</f>
        <v/>
      </c>
    </row>
    <row r="759">
      <c r="F759" s="23">
        <f>IF($A759="","",IF($B759="","EKSİK","TAM"))</f>
        <v/>
      </c>
    </row>
    <row r="760">
      <c r="F760" s="23">
        <f>IF($A760="","",IF($B760="","EKSİK","TAM"))</f>
        <v/>
      </c>
    </row>
    <row r="761">
      <c r="F761" s="23">
        <f>IF($A761="","",IF($B761="","EKSİK","TAM"))</f>
        <v/>
      </c>
    </row>
    <row r="762">
      <c r="F762" s="23">
        <f>IF($A762="","",IF($B762="","EKSİK","TAM"))</f>
        <v/>
      </c>
    </row>
    <row r="763">
      <c r="F763" s="23">
        <f>IF($A763="","",IF($B763="","EKSİK","TAM"))</f>
        <v/>
      </c>
    </row>
    <row r="764">
      <c r="F764" s="23">
        <f>IF($A764="","",IF($B764="","EKSİK","TAM"))</f>
        <v/>
      </c>
    </row>
    <row r="765">
      <c r="F765" s="23">
        <f>IF($A765="","",IF($B765="","EKSİK","TAM"))</f>
        <v/>
      </c>
    </row>
    <row r="766">
      <c r="F766" s="23">
        <f>IF($A766="","",IF($B766="","EKSİK","TAM"))</f>
        <v/>
      </c>
    </row>
    <row r="767">
      <c r="F767" s="23">
        <f>IF($A767="","",IF($B767="","EKSİK","TAM"))</f>
        <v/>
      </c>
    </row>
    <row r="768">
      <c r="F768" s="23">
        <f>IF($A768="","",IF($B768="","EKSİK","TAM"))</f>
        <v/>
      </c>
    </row>
    <row r="769">
      <c r="F769" s="23">
        <f>IF($A769="","",IF($B769="","EKSİK","TAM"))</f>
        <v/>
      </c>
    </row>
    <row r="770">
      <c r="F770" s="23">
        <f>IF($A770="","",IF($B770="","EKSİK","TAM"))</f>
        <v/>
      </c>
    </row>
    <row r="771">
      <c r="F771" s="23">
        <f>IF($A771="","",IF($B771="","EKSİK","TAM"))</f>
        <v/>
      </c>
    </row>
    <row r="772">
      <c r="F772" s="23">
        <f>IF($A772="","",IF($B772="","EKSİK","TAM"))</f>
        <v/>
      </c>
    </row>
    <row r="773">
      <c r="F773" s="23">
        <f>IF($A773="","",IF($B773="","EKSİK","TAM"))</f>
        <v/>
      </c>
    </row>
    <row r="774">
      <c r="F774" s="23">
        <f>IF($A774="","",IF($B774="","EKSİK","TAM"))</f>
        <v/>
      </c>
    </row>
    <row r="775">
      <c r="F775" s="23">
        <f>IF($A775="","",IF($B775="","EKSİK","TAM"))</f>
        <v/>
      </c>
    </row>
    <row r="776">
      <c r="F776" s="23">
        <f>IF($A776="","",IF($B776="","EKSİK","TAM"))</f>
        <v/>
      </c>
    </row>
    <row r="777">
      <c r="F777" s="23">
        <f>IF($A777="","",IF($B777="","EKSİK","TAM"))</f>
        <v/>
      </c>
    </row>
    <row r="778">
      <c r="F778" s="23">
        <f>IF($A778="","",IF($B778="","EKSİK","TAM"))</f>
        <v/>
      </c>
    </row>
    <row r="779">
      <c r="F779" s="23">
        <f>IF($A779="","",IF($B779="","EKSİK","TAM"))</f>
        <v/>
      </c>
    </row>
    <row r="780">
      <c r="F780" s="23">
        <f>IF($A780="","",IF($B780="","EKSİK","TAM"))</f>
        <v/>
      </c>
    </row>
    <row r="781">
      <c r="F781" s="23">
        <f>IF($A781="","",IF($B781="","EKSİK","TAM"))</f>
        <v/>
      </c>
    </row>
    <row r="782">
      <c r="F782" s="23">
        <f>IF($A782="","",IF($B782="","EKSİK","TAM"))</f>
        <v/>
      </c>
    </row>
    <row r="783">
      <c r="F783" s="23">
        <f>IF($A783="","",IF($B783="","EKSİK","TAM"))</f>
        <v/>
      </c>
    </row>
    <row r="784">
      <c r="F784" s="23">
        <f>IF($A784="","",IF($B784="","EKSİK","TAM"))</f>
        <v/>
      </c>
    </row>
    <row r="785">
      <c r="F785" s="23">
        <f>IF($A785="","",IF($B785="","EKSİK","TAM"))</f>
        <v/>
      </c>
    </row>
    <row r="786">
      <c r="F786" s="23">
        <f>IF($A786="","",IF($B786="","EKSİK","TAM"))</f>
        <v/>
      </c>
    </row>
    <row r="787">
      <c r="F787" s="23">
        <f>IF($A787="","",IF($B787="","EKSİK","TAM"))</f>
        <v/>
      </c>
    </row>
    <row r="788">
      <c r="F788" s="23">
        <f>IF($A788="","",IF($B788="","EKSİK","TAM"))</f>
        <v/>
      </c>
    </row>
    <row r="789">
      <c r="F789" s="23">
        <f>IF($A789="","",IF($B789="","EKSİK","TAM"))</f>
        <v/>
      </c>
    </row>
    <row r="790">
      <c r="F790" s="23">
        <f>IF($A790="","",IF($B790="","EKSİK","TAM"))</f>
        <v/>
      </c>
    </row>
    <row r="791">
      <c r="F791" s="23">
        <f>IF($A791="","",IF($B791="","EKSİK","TAM"))</f>
        <v/>
      </c>
    </row>
    <row r="792">
      <c r="F792" s="23">
        <f>IF($A792="","",IF($B792="","EKSİK","TAM"))</f>
        <v/>
      </c>
    </row>
    <row r="793">
      <c r="F793" s="23">
        <f>IF($A793="","",IF($B793="","EKSİK","TAM"))</f>
        <v/>
      </c>
    </row>
    <row r="794">
      <c r="F794" s="23">
        <f>IF($A794="","",IF($B794="","EKSİK","TAM"))</f>
        <v/>
      </c>
    </row>
    <row r="795">
      <c r="F795" s="23">
        <f>IF($A795="","",IF($B795="","EKSİK","TAM"))</f>
        <v/>
      </c>
    </row>
    <row r="796">
      <c r="F796" s="23">
        <f>IF($A796="","",IF($B796="","EKSİK","TAM"))</f>
        <v/>
      </c>
    </row>
    <row r="797">
      <c r="F797" s="23">
        <f>IF($A797="","",IF($B797="","EKSİK","TAM"))</f>
        <v/>
      </c>
    </row>
    <row r="798">
      <c r="F798" s="23">
        <f>IF($A798="","",IF($B798="","EKSİK","TAM"))</f>
        <v/>
      </c>
    </row>
    <row r="799">
      <c r="F799" s="23">
        <f>IF($A799="","",IF($B799="","EKSİK","TAM"))</f>
        <v/>
      </c>
    </row>
    <row r="800">
      <c r="F800" s="23">
        <f>IF($A800="","",IF($B800="","EKSİK","TAM"))</f>
        <v/>
      </c>
    </row>
    <row r="801">
      <c r="F801" s="23">
        <f>IF($A801="","",IF($B801="","EKSİK","TAM"))</f>
        <v/>
      </c>
    </row>
    <row r="802">
      <c r="F802" s="23">
        <f>IF($A802="","",IF($B802="","EKSİK","TAM"))</f>
        <v/>
      </c>
    </row>
    <row r="803">
      <c r="F803" s="23">
        <f>IF($A803="","",IF($B803="","EKSİK","TAM"))</f>
        <v/>
      </c>
    </row>
    <row r="804">
      <c r="F804" s="23">
        <f>IF($A804="","",IF($B804="","EKSİK","TAM"))</f>
        <v/>
      </c>
    </row>
    <row r="805">
      <c r="F805" s="23">
        <f>IF($A805="","",IF($B805="","EKSİK","TAM"))</f>
        <v/>
      </c>
    </row>
    <row r="806">
      <c r="F806" s="23">
        <f>IF($A806="","",IF($B806="","EKSİK","TAM"))</f>
        <v/>
      </c>
    </row>
    <row r="807">
      <c r="F807" s="23">
        <f>IF($A807="","",IF($B807="","EKSİK","TAM"))</f>
        <v/>
      </c>
    </row>
    <row r="808">
      <c r="F808" s="23">
        <f>IF($A808="","",IF($B808="","EKSİK","TAM"))</f>
        <v/>
      </c>
    </row>
    <row r="809">
      <c r="F809" s="23">
        <f>IF($A809="","",IF($B809="","EKSİK","TAM"))</f>
        <v/>
      </c>
    </row>
    <row r="810">
      <c r="F810" s="23">
        <f>IF($A810="","",IF($B810="","EKSİK","TAM"))</f>
        <v/>
      </c>
    </row>
    <row r="811">
      <c r="F811" s="23">
        <f>IF($A811="","",IF($B811="","EKSİK","TAM"))</f>
        <v/>
      </c>
    </row>
    <row r="812">
      <c r="F812" s="23">
        <f>IF($A812="","",IF($B812="","EKSİK","TAM"))</f>
        <v/>
      </c>
    </row>
    <row r="813">
      <c r="F813" s="23">
        <f>IF($A813="","",IF($B813="","EKSİK","TAM"))</f>
        <v/>
      </c>
    </row>
    <row r="814">
      <c r="F814" s="23">
        <f>IF($A814="","",IF($B814="","EKSİK","TAM"))</f>
        <v/>
      </c>
    </row>
    <row r="815">
      <c r="F815" s="23">
        <f>IF($A815="","",IF($B815="","EKSİK","TAM"))</f>
        <v/>
      </c>
    </row>
    <row r="816">
      <c r="F816" s="23">
        <f>IF($A816="","",IF($B816="","EKSİK","TAM"))</f>
        <v/>
      </c>
    </row>
    <row r="817">
      <c r="F817" s="23">
        <f>IF($A817="","",IF($B817="","EKSİK","TAM"))</f>
        <v/>
      </c>
    </row>
    <row r="818">
      <c r="F818" s="23">
        <f>IF($A818="","",IF($B818="","EKSİK","TAM"))</f>
        <v/>
      </c>
    </row>
    <row r="819">
      <c r="F819" s="23">
        <f>IF($A819="","",IF($B819="","EKSİK","TAM"))</f>
        <v/>
      </c>
    </row>
    <row r="820">
      <c r="F820" s="23">
        <f>IF($A820="","",IF($B820="","EKSİK","TAM"))</f>
        <v/>
      </c>
    </row>
    <row r="821">
      <c r="F821" s="23">
        <f>IF($A821="","",IF($B821="","EKSİK","TAM"))</f>
        <v/>
      </c>
    </row>
    <row r="822">
      <c r="F822" s="23">
        <f>IF($A822="","",IF($B822="","EKSİK","TAM"))</f>
        <v/>
      </c>
    </row>
    <row r="823">
      <c r="F823" s="23">
        <f>IF($A823="","",IF($B823="","EKSİK","TAM"))</f>
        <v/>
      </c>
    </row>
    <row r="824">
      <c r="F824" s="23">
        <f>IF($A824="","",IF($B824="","EKSİK","TAM"))</f>
        <v/>
      </c>
    </row>
    <row r="825">
      <c r="F825" s="23">
        <f>IF($A825="","",IF($B825="","EKSİK","TAM"))</f>
        <v/>
      </c>
    </row>
    <row r="826">
      <c r="F826" s="23">
        <f>IF($A826="","",IF($B826="","EKSİK","TAM"))</f>
        <v/>
      </c>
    </row>
    <row r="827">
      <c r="F827" s="23">
        <f>IF($A827="","",IF($B827="","EKSİK","TAM"))</f>
        <v/>
      </c>
    </row>
    <row r="828">
      <c r="F828" s="23">
        <f>IF($A828="","",IF($B828="","EKSİK","TAM"))</f>
        <v/>
      </c>
    </row>
    <row r="829">
      <c r="F829" s="23">
        <f>IF($A829="","",IF($B829="","EKSİK","TAM"))</f>
        <v/>
      </c>
    </row>
    <row r="830">
      <c r="F830" s="23">
        <f>IF($A830="","",IF($B830="","EKSİK","TAM"))</f>
        <v/>
      </c>
    </row>
    <row r="831">
      <c r="F831" s="23">
        <f>IF($A831="","",IF($B831="","EKSİK","TAM"))</f>
        <v/>
      </c>
    </row>
    <row r="832">
      <c r="F832" s="23">
        <f>IF($A832="","",IF($B832="","EKSİK","TAM"))</f>
        <v/>
      </c>
    </row>
    <row r="833">
      <c r="F833" s="23">
        <f>IF($A833="","",IF($B833="","EKSİK","TAM"))</f>
        <v/>
      </c>
    </row>
    <row r="834">
      <c r="F834" s="23">
        <f>IF($A834="","",IF($B834="","EKSİK","TAM"))</f>
        <v/>
      </c>
    </row>
    <row r="835">
      <c r="F835" s="23">
        <f>IF($A835="","",IF($B835="","EKSİK","TAM"))</f>
        <v/>
      </c>
    </row>
    <row r="836">
      <c r="F836" s="23">
        <f>IF($A836="","",IF($B836="","EKSİK","TAM"))</f>
        <v/>
      </c>
    </row>
    <row r="837">
      <c r="F837" s="23">
        <f>IF($A837="","",IF($B837="","EKSİK","TAM"))</f>
        <v/>
      </c>
    </row>
    <row r="838">
      <c r="F838" s="23">
        <f>IF($A838="","",IF($B838="","EKSİK","TAM"))</f>
        <v/>
      </c>
    </row>
    <row r="839">
      <c r="F839" s="23">
        <f>IF($A839="","",IF($B839="","EKSİK","TAM"))</f>
        <v/>
      </c>
    </row>
    <row r="840">
      <c r="F840" s="23">
        <f>IF($A840="","",IF($B840="","EKSİK","TAM"))</f>
        <v/>
      </c>
    </row>
    <row r="841">
      <c r="F841" s="23">
        <f>IF($A841="","",IF($B841="","EKSİK","TAM"))</f>
        <v/>
      </c>
    </row>
    <row r="842">
      <c r="F842" s="23">
        <f>IF($A842="","",IF($B842="","EKSİK","TAM"))</f>
        <v/>
      </c>
    </row>
    <row r="843">
      <c r="F843" s="23">
        <f>IF($A843="","",IF($B843="","EKSİK","TAM"))</f>
        <v/>
      </c>
    </row>
    <row r="844">
      <c r="F844" s="23">
        <f>IF($A844="","",IF($B844="","EKSİK","TAM"))</f>
        <v/>
      </c>
    </row>
    <row r="845">
      <c r="F845" s="23">
        <f>IF($A845="","",IF($B845="","EKSİK","TAM"))</f>
        <v/>
      </c>
    </row>
    <row r="846">
      <c r="F846" s="23">
        <f>IF($A846="","",IF($B846="","EKSİK","TAM"))</f>
        <v/>
      </c>
    </row>
    <row r="847">
      <c r="F847" s="23">
        <f>IF($A847="","",IF($B847="","EKSİK","TAM"))</f>
        <v/>
      </c>
    </row>
    <row r="848">
      <c r="F848" s="23">
        <f>IF($A848="","",IF($B848="","EKSİK","TAM"))</f>
        <v/>
      </c>
    </row>
    <row r="849">
      <c r="F849" s="23">
        <f>IF($A849="","",IF($B849="","EKSİK","TAM"))</f>
        <v/>
      </c>
    </row>
    <row r="850">
      <c r="F850" s="23">
        <f>IF($A850="","",IF($B850="","EKSİK","TAM"))</f>
        <v/>
      </c>
    </row>
    <row r="851">
      <c r="F851" s="23">
        <f>IF($A851="","",IF($B851="","EKSİK","TAM"))</f>
        <v/>
      </c>
    </row>
    <row r="852">
      <c r="F852" s="23">
        <f>IF($A852="","",IF($B852="","EKSİK","TAM"))</f>
        <v/>
      </c>
    </row>
    <row r="853">
      <c r="F853" s="23">
        <f>IF($A853="","",IF($B853="","EKSİK","TAM"))</f>
        <v/>
      </c>
    </row>
    <row r="854">
      <c r="F854" s="23">
        <f>IF($A854="","",IF($B854="","EKSİK","TAM"))</f>
        <v/>
      </c>
    </row>
    <row r="855">
      <c r="F855" s="23">
        <f>IF($A855="","",IF($B855="","EKSİK","TAM"))</f>
        <v/>
      </c>
    </row>
    <row r="856">
      <c r="F856" s="23">
        <f>IF($A856="","",IF($B856="","EKSİK","TAM"))</f>
        <v/>
      </c>
    </row>
    <row r="857">
      <c r="F857" s="23">
        <f>IF($A857="","",IF($B857="","EKSİK","TAM"))</f>
        <v/>
      </c>
    </row>
    <row r="858">
      <c r="F858" s="23">
        <f>IF($A858="","",IF($B858="","EKSİK","TAM"))</f>
        <v/>
      </c>
    </row>
    <row r="859">
      <c r="F859" s="23">
        <f>IF($A859="","",IF($B859="","EKSİK","TAM"))</f>
        <v/>
      </c>
    </row>
    <row r="860">
      <c r="F860" s="23">
        <f>IF($A860="","",IF($B860="","EKSİK","TAM"))</f>
        <v/>
      </c>
    </row>
    <row r="861">
      <c r="F861" s="23">
        <f>IF($A861="","",IF($B861="","EKSİK","TAM"))</f>
        <v/>
      </c>
    </row>
    <row r="862">
      <c r="F862" s="23">
        <f>IF($A862="","",IF($B862="","EKSİK","TAM"))</f>
        <v/>
      </c>
    </row>
    <row r="863">
      <c r="F863" s="23">
        <f>IF($A863="","",IF($B863="","EKSİK","TAM"))</f>
        <v/>
      </c>
    </row>
    <row r="864">
      <c r="F864" s="23">
        <f>IF($A864="","",IF($B864="","EKSİK","TAM"))</f>
        <v/>
      </c>
    </row>
    <row r="865">
      <c r="F865" s="23">
        <f>IF($A865="","",IF($B865="","EKSİK","TAM"))</f>
        <v/>
      </c>
    </row>
    <row r="866">
      <c r="F866" s="23">
        <f>IF($A866="","",IF($B866="","EKSİK","TAM"))</f>
        <v/>
      </c>
    </row>
    <row r="867">
      <c r="F867" s="23">
        <f>IF($A867="","",IF($B867="","EKSİK","TAM"))</f>
        <v/>
      </c>
    </row>
    <row r="868">
      <c r="F868" s="23">
        <f>IF($A868="","",IF($B868="","EKSİK","TAM"))</f>
        <v/>
      </c>
    </row>
    <row r="869">
      <c r="F869" s="23">
        <f>IF($A869="","",IF($B869="","EKSİK","TAM"))</f>
        <v/>
      </c>
    </row>
    <row r="870">
      <c r="F870" s="23">
        <f>IF($A870="","",IF($B870="","EKSİK","TAM"))</f>
        <v/>
      </c>
    </row>
    <row r="871">
      <c r="F871" s="23">
        <f>IF($A871="","",IF($B871="","EKSİK","TAM"))</f>
        <v/>
      </c>
    </row>
    <row r="872">
      <c r="F872" s="23">
        <f>IF($A872="","",IF($B872="","EKSİK","TAM"))</f>
        <v/>
      </c>
    </row>
    <row r="873">
      <c r="F873" s="23">
        <f>IF($A873="","",IF($B873="","EKSİK","TAM"))</f>
        <v/>
      </c>
    </row>
    <row r="874">
      <c r="F874" s="23">
        <f>IF($A874="","",IF($B874="","EKSİK","TAM"))</f>
        <v/>
      </c>
    </row>
    <row r="875">
      <c r="F875" s="23">
        <f>IF($A875="","",IF($B875="","EKSİK","TAM"))</f>
        <v/>
      </c>
    </row>
    <row r="876">
      <c r="F876" s="23">
        <f>IF($A876="","",IF($B876="","EKSİK","TAM"))</f>
        <v/>
      </c>
    </row>
    <row r="877">
      <c r="F877" s="23">
        <f>IF($A877="","",IF($B877="","EKSİK","TAM"))</f>
        <v/>
      </c>
    </row>
    <row r="878">
      <c r="F878" s="23">
        <f>IF($A878="","",IF($B878="","EKSİK","TAM"))</f>
        <v/>
      </c>
    </row>
    <row r="879">
      <c r="F879" s="23">
        <f>IF($A879="","",IF($B879="","EKSİK","TAM"))</f>
        <v/>
      </c>
    </row>
    <row r="880">
      <c r="F880" s="23">
        <f>IF($A880="","",IF($B880="","EKSİK","TAM"))</f>
        <v/>
      </c>
    </row>
    <row r="881">
      <c r="F881" s="23">
        <f>IF($A881="","",IF($B881="","EKSİK","TAM"))</f>
        <v/>
      </c>
    </row>
    <row r="882">
      <c r="F882" s="23">
        <f>IF($A882="","",IF($B882="","EKSİK","TAM"))</f>
        <v/>
      </c>
    </row>
    <row r="883">
      <c r="F883" s="23">
        <f>IF($A883="","",IF($B883="","EKSİK","TAM"))</f>
        <v/>
      </c>
    </row>
    <row r="884">
      <c r="F884" s="23">
        <f>IF($A884="","",IF($B884="","EKSİK","TAM"))</f>
        <v/>
      </c>
    </row>
    <row r="885">
      <c r="F885" s="23">
        <f>IF($A885="","",IF($B885="","EKSİK","TAM"))</f>
        <v/>
      </c>
    </row>
    <row r="886">
      <c r="F886" s="23">
        <f>IF($A886="","",IF($B886="","EKSİK","TAM"))</f>
        <v/>
      </c>
    </row>
    <row r="887">
      <c r="F887" s="23">
        <f>IF($A887="","",IF($B887="","EKSİK","TAM"))</f>
        <v/>
      </c>
    </row>
    <row r="888">
      <c r="F888" s="23">
        <f>IF($A888="","",IF($B888="","EKSİK","TAM"))</f>
        <v/>
      </c>
    </row>
    <row r="889">
      <c r="F889" s="23">
        <f>IF($A889="","",IF($B889="","EKSİK","TAM"))</f>
        <v/>
      </c>
    </row>
    <row r="890">
      <c r="F890" s="23">
        <f>IF($A890="","",IF($B890="","EKSİK","TAM"))</f>
        <v/>
      </c>
    </row>
    <row r="891">
      <c r="F891" s="23">
        <f>IF($A891="","",IF($B891="","EKSİK","TAM"))</f>
        <v/>
      </c>
    </row>
    <row r="892">
      <c r="F892" s="23">
        <f>IF($A892="","",IF($B892="","EKSİK","TAM"))</f>
        <v/>
      </c>
    </row>
    <row r="893">
      <c r="F893" s="23">
        <f>IF($A893="","",IF($B893="","EKSİK","TAM"))</f>
        <v/>
      </c>
    </row>
    <row r="894">
      <c r="F894" s="23">
        <f>IF($A894="","",IF($B894="","EKSİK","TAM"))</f>
        <v/>
      </c>
    </row>
    <row r="895">
      <c r="F895" s="23">
        <f>IF($A895="","",IF($B895="","EKSİK","TAM"))</f>
        <v/>
      </c>
    </row>
    <row r="896">
      <c r="F896" s="23">
        <f>IF($A896="","",IF($B896="","EKSİK","TAM"))</f>
        <v/>
      </c>
    </row>
    <row r="897">
      <c r="F897" s="23">
        <f>IF($A897="","",IF($B897="","EKSİK","TAM"))</f>
        <v/>
      </c>
    </row>
    <row r="898">
      <c r="F898" s="23">
        <f>IF($A898="","",IF($B898="","EKSİK","TAM"))</f>
        <v/>
      </c>
    </row>
    <row r="899">
      <c r="F899" s="23">
        <f>IF($A899="","",IF($B899="","EKSİK","TAM"))</f>
        <v/>
      </c>
    </row>
    <row r="900">
      <c r="F900" s="23">
        <f>IF($A900="","",IF($B900="","EKSİK","TAM"))</f>
        <v/>
      </c>
    </row>
    <row r="901">
      <c r="F901" s="23">
        <f>IF($A901="","",IF($B901="","EKSİK","TAM"))</f>
        <v/>
      </c>
    </row>
    <row r="902">
      <c r="F902" s="23">
        <f>IF($A902="","",IF($B902="","EKSİK","TAM"))</f>
        <v/>
      </c>
    </row>
    <row r="903">
      <c r="F903" s="23">
        <f>IF($A903="","",IF($B903="","EKSİK","TAM"))</f>
        <v/>
      </c>
    </row>
    <row r="904">
      <c r="F904" s="23">
        <f>IF($A904="","",IF($B904="","EKSİK","TAM"))</f>
        <v/>
      </c>
    </row>
    <row r="905">
      <c r="F905" s="23">
        <f>IF($A905="","",IF($B905="","EKSİK","TAM"))</f>
        <v/>
      </c>
    </row>
    <row r="906">
      <c r="F906" s="23">
        <f>IF($A906="","",IF($B906="","EKSİK","TAM"))</f>
        <v/>
      </c>
    </row>
    <row r="907">
      <c r="F907" s="23">
        <f>IF($A907="","",IF($B907="","EKSİK","TAM"))</f>
        <v/>
      </c>
    </row>
    <row r="908">
      <c r="F908" s="23">
        <f>IF($A908="","",IF($B908="","EKSİK","TAM"))</f>
        <v/>
      </c>
    </row>
    <row r="909">
      <c r="F909" s="23">
        <f>IF($A909="","",IF($B909="","EKSİK","TAM"))</f>
        <v/>
      </c>
    </row>
    <row r="910">
      <c r="F910" s="23">
        <f>IF($A910="","",IF($B910="","EKSİK","TAM"))</f>
        <v/>
      </c>
    </row>
    <row r="911">
      <c r="F911" s="23">
        <f>IF($A911="","",IF($B911="","EKSİK","TAM"))</f>
        <v/>
      </c>
    </row>
    <row r="912">
      <c r="F912" s="23">
        <f>IF($A912="","",IF($B912="","EKSİK","TAM"))</f>
        <v/>
      </c>
    </row>
    <row r="913">
      <c r="F913" s="23">
        <f>IF($A913="","",IF($B913="","EKSİK","TAM"))</f>
        <v/>
      </c>
    </row>
    <row r="914">
      <c r="F914" s="23">
        <f>IF($A914="","",IF($B914="","EKSİK","TAM"))</f>
        <v/>
      </c>
    </row>
    <row r="915">
      <c r="F915" s="23">
        <f>IF($A915="","",IF($B915="","EKSİK","TAM"))</f>
        <v/>
      </c>
    </row>
    <row r="916">
      <c r="F916" s="23">
        <f>IF($A916="","",IF($B916="","EKSİK","TAM"))</f>
        <v/>
      </c>
    </row>
    <row r="917">
      <c r="F917" s="23">
        <f>IF($A917="","",IF($B917="","EKSİK","TAM"))</f>
        <v/>
      </c>
    </row>
    <row r="918">
      <c r="F918" s="23">
        <f>IF($A918="","",IF($B918="","EKSİK","TAM"))</f>
        <v/>
      </c>
    </row>
    <row r="919">
      <c r="F919" s="23">
        <f>IF($A919="","",IF($B919="","EKSİK","TAM"))</f>
        <v/>
      </c>
    </row>
    <row r="920">
      <c r="F920" s="23">
        <f>IF($A920="","",IF($B920="","EKSİK","TAM"))</f>
        <v/>
      </c>
    </row>
    <row r="921">
      <c r="F921" s="23">
        <f>IF($A921="","",IF($B921="","EKSİK","TAM"))</f>
        <v/>
      </c>
    </row>
    <row r="922">
      <c r="F922" s="23">
        <f>IF($A922="","",IF($B922="","EKSİK","TAM"))</f>
        <v/>
      </c>
    </row>
    <row r="923">
      <c r="F923" s="23">
        <f>IF($A923="","",IF($B923="","EKSİK","TAM"))</f>
        <v/>
      </c>
    </row>
    <row r="924">
      <c r="F924" s="23">
        <f>IF($A924="","",IF($B924="","EKSİK","TAM"))</f>
        <v/>
      </c>
    </row>
    <row r="925">
      <c r="F925" s="23">
        <f>IF($A925="","",IF($B925="","EKSİK","TAM"))</f>
        <v/>
      </c>
    </row>
    <row r="926">
      <c r="F926" s="23">
        <f>IF($A926="","",IF($B926="","EKSİK","TAM"))</f>
        <v/>
      </c>
    </row>
    <row r="927">
      <c r="F927" s="23">
        <f>IF($A927="","",IF($B927="","EKSİK","TAM"))</f>
        <v/>
      </c>
    </row>
    <row r="928">
      <c r="F928" s="23">
        <f>IF($A928="","",IF($B928="","EKSİK","TAM"))</f>
        <v/>
      </c>
    </row>
    <row r="929">
      <c r="F929" s="23">
        <f>IF($A929="","",IF($B929="","EKSİK","TAM"))</f>
        <v/>
      </c>
    </row>
    <row r="930">
      <c r="F930" s="23">
        <f>IF($A930="","",IF($B930="","EKSİK","TAM"))</f>
        <v/>
      </c>
    </row>
    <row r="931">
      <c r="F931" s="23">
        <f>IF($A931="","",IF($B931="","EKSİK","TAM"))</f>
        <v/>
      </c>
    </row>
    <row r="932">
      <c r="F932" s="23">
        <f>IF($A932="","",IF($B932="","EKSİK","TAM"))</f>
        <v/>
      </c>
    </row>
    <row r="933">
      <c r="F933" s="23">
        <f>IF($A933="","",IF($B933="","EKSİK","TAM"))</f>
        <v/>
      </c>
    </row>
    <row r="934">
      <c r="F934" s="23">
        <f>IF($A934="","",IF($B934="","EKSİK","TAM"))</f>
        <v/>
      </c>
    </row>
    <row r="935">
      <c r="F935" s="23">
        <f>IF($A935="","",IF($B935="","EKSİK","TAM"))</f>
        <v/>
      </c>
    </row>
    <row r="936">
      <c r="F936" s="23">
        <f>IF($A936="","",IF($B936="","EKSİK","TAM"))</f>
        <v/>
      </c>
    </row>
    <row r="937">
      <c r="F937" s="23">
        <f>IF($A937="","",IF($B937="","EKSİK","TAM"))</f>
        <v/>
      </c>
    </row>
    <row r="938">
      <c r="F938" s="23">
        <f>IF($A938="","",IF($B938="","EKSİK","TAM"))</f>
        <v/>
      </c>
    </row>
    <row r="939">
      <c r="F939" s="23">
        <f>IF($A939="","",IF($B939="","EKSİK","TAM"))</f>
        <v/>
      </c>
    </row>
    <row r="940">
      <c r="F940" s="23">
        <f>IF($A940="","",IF($B940="","EKSİK","TAM"))</f>
        <v/>
      </c>
    </row>
    <row r="941">
      <c r="F941" s="23">
        <f>IF($A941="","",IF($B941="","EKSİK","TAM"))</f>
        <v/>
      </c>
    </row>
    <row r="942">
      <c r="F942" s="23">
        <f>IF($A942="","",IF($B942="","EKSİK","TAM"))</f>
        <v/>
      </c>
    </row>
    <row r="943">
      <c r="F943" s="23">
        <f>IF($A943="","",IF($B943="","EKSİK","TAM"))</f>
        <v/>
      </c>
    </row>
    <row r="944">
      <c r="F944" s="23">
        <f>IF($A944="","",IF($B944="","EKSİK","TAM"))</f>
        <v/>
      </c>
    </row>
    <row r="945">
      <c r="F945" s="23">
        <f>IF($A945="","",IF($B945="","EKSİK","TAM"))</f>
        <v/>
      </c>
    </row>
    <row r="946">
      <c r="F946" s="23">
        <f>IF($A946="","",IF($B946="","EKSİK","TAM"))</f>
        <v/>
      </c>
    </row>
    <row r="947">
      <c r="F947" s="23">
        <f>IF($A947="","",IF($B947="","EKSİK","TAM"))</f>
        <v/>
      </c>
    </row>
    <row r="948">
      <c r="F948" s="23">
        <f>IF($A948="","",IF($B948="","EKSİK","TAM"))</f>
        <v/>
      </c>
    </row>
    <row r="949">
      <c r="F949" s="23">
        <f>IF($A949="","",IF($B949="","EKSİK","TAM"))</f>
        <v/>
      </c>
    </row>
    <row r="950">
      <c r="F950" s="23">
        <f>IF($A950="","",IF($B950="","EKSİK","TAM"))</f>
        <v/>
      </c>
    </row>
    <row r="951">
      <c r="F951" s="23">
        <f>IF($A951="","",IF($B951="","EKSİK","TAM"))</f>
        <v/>
      </c>
    </row>
    <row r="952">
      <c r="F952" s="23">
        <f>IF($A952="","",IF($B952="","EKSİK","TAM"))</f>
        <v/>
      </c>
    </row>
    <row r="953">
      <c r="F953" s="23">
        <f>IF($A953="","",IF($B953="","EKSİK","TAM"))</f>
        <v/>
      </c>
    </row>
    <row r="954">
      <c r="F954" s="23">
        <f>IF($A954="","",IF($B954="","EKSİK","TAM"))</f>
        <v/>
      </c>
    </row>
    <row r="955">
      <c r="F955" s="23">
        <f>IF($A955="","",IF($B955="","EKSİK","TAM"))</f>
        <v/>
      </c>
    </row>
    <row r="956">
      <c r="F956" s="23">
        <f>IF($A956="","",IF($B956="","EKSİK","TAM"))</f>
        <v/>
      </c>
    </row>
    <row r="957">
      <c r="F957" s="23">
        <f>IF($A957="","",IF($B957="","EKSİK","TAM"))</f>
        <v/>
      </c>
    </row>
    <row r="958">
      <c r="F958" s="23">
        <f>IF($A958="","",IF($B958="","EKSİK","TAM"))</f>
        <v/>
      </c>
    </row>
    <row r="959">
      <c r="F959" s="23">
        <f>IF($A959="","",IF($B959="","EKSİK","TAM"))</f>
        <v/>
      </c>
    </row>
    <row r="960">
      <c r="F960" s="23">
        <f>IF($A960="","",IF($B960="","EKSİK","TAM"))</f>
        <v/>
      </c>
    </row>
    <row r="961">
      <c r="F961" s="23">
        <f>IF($A961="","",IF($B961="","EKSİK","TAM"))</f>
        <v/>
      </c>
    </row>
    <row r="962">
      <c r="F962" s="23">
        <f>IF($A962="","",IF($B962="","EKSİK","TAM"))</f>
        <v/>
      </c>
    </row>
    <row r="963">
      <c r="F963" s="23">
        <f>IF($A963="","",IF($B963="","EKSİK","TAM"))</f>
        <v/>
      </c>
    </row>
    <row r="964">
      <c r="F964" s="23">
        <f>IF($A964="","",IF($B964="","EKSİK","TAM"))</f>
        <v/>
      </c>
    </row>
    <row r="965">
      <c r="F965" s="23">
        <f>IF($A965="","",IF($B965="","EKSİK","TAM"))</f>
        <v/>
      </c>
    </row>
    <row r="966">
      <c r="F966" s="23">
        <f>IF($A966="","",IF($B966="","EKSİK","TAM"))</f>
        <v/>
      </c>
    </row>
    <row r="967">
      <c r="F967" s="23">
        <f>IF($A967="","",IF($B967="","EKSİK","TAM"))</f>
        <v/>
      </c>
    </row>
    <row r="968">
      <c r="F968" s="23">
        <f>IF($A968="","",IF($B968="","EKSİK","TAM"))</f>
        <v/>
      </c>
    </row>
    <row r="969">
      <c r="F969" s="23">
        <f>IF($A969="","",IF($B969="","EKSİK","TAM"))</f>
        <v/>
      </c>
    </row>
    <row r="970">
      <c r="F970" s="23">
        <f>IF($A970="","",IF($B970="","EKSİK","TAM"))</f>
        <v/>
      </c>
    </row>
    <row r="971">
      <c r="F971" s="23">
        <f>IF($A971="","",IF($B971="","EKSİK","TAM"))</f>
        <v/>
      </c>
    </row>
    <row r="972">
      <c r="F972" s="23">
        <f>IF($A972="","",IF($B972="","EKSİK","TAM"))</f>
        <v/>
      </c>
    </row>
    <row r="973">
      <c r="F973" s="23">
        <f>IF($A973="","",IF($B973="","EKSİK","TAM"))</f>
        <v/>
      </c>
    </row>
    <row r="974">
      <c r="F974" s="23">
        <f>IF($A974="","",IF($B974="","EKSİK","TAM"))</f>
        <v/>
      </c>
    </row>
    <row r="975">
      <c r="F975" s="23">
        <f>IF($A975="","",IF($B975="","EKSİK","TAM"))</f>
        <v/>
      </c>
    </row>
    <row r="976">
      <c r="F976" s="23">
        <f>IF($A976="","",IF($B976="","EKSİK","TAM"))</f>
        <v/>
      </c>
    </row>
    <row r="977">
      <c r="F977" s="23">
        <f>IF($A977="","",IF($B977="","EKSİK","TAM"))</f>
        <v/>
      </c>
    </row>
    <row r="978">
      <c r="F978" s="23">
        <f>IF($A978="","",IF($B978="","EKSİK","TAM"))</f>
        <v/>
      </c>
    </row>
    <row r="979">
      <c r="F979" s="23">
        <f>IF($A979="","",IF($B979="","EKSİK","TAM"))</f>
        <v/>
      </c>
    </row>
    <row r="980">
      <c r="F980" s="23">
        <f>IF($A980="","",IF($B980="","EKSİK","TAM"))</f>
        <v/>
      </c>
    </row>
    <row r="981">
      <c r="F981" s="23">
        <f>IF($A981="","",IF($B981="","EKSİK","TAM"))</f>
        <v/>
      </c>
    </row>
    <row r="982">
      <c r="F982" s="23">
        <f>IF($A982="","",IF($B982="","EKSİK","TAM"))</f>
        <v/>
      </c>
    </row>
    <row r="983">
      <c r="F983" s="23">
        <f>IF($A983="","",IF($B983="","EKSİK","TAM"))</f>
        <v/>
      </c>
    </row>
    <row r="984">
      <c r="F984" s="23">
        <f>IF($A984="","",IF($B984="","EKSİK","TAM"))</f>
        <v/>
      </c>
    </row>
    <row r="985">
      <c r="F985" s="23">
        <f>IF($A985="","",IF($B985="","EKSİK","TAM"))</f>
        <v/>
      </c>
    </row>
    <row r="986">
      <c r="F986" s="23">
        <f>IF($A986="","",IF($B986="","EKSİK","TAM"))</f>
        <v/>
      </c>
    </row>
    <row r="987">
      <c r="F987" s="23">
        <f>IF($A987="","",IF($B987="","EKSİK","TAM"))</f>
        <v/>
      </c>
    </row>
    <row r="988">
      <c r="F988" s="23">
        <f>IF($A988="","",IF($B988="","EKSİK","TAM"))</f>
        <v/>
      </c>
    </row>
    <row r="989">
      <c r="F989" s="23">
        <f>IF($A989="","",IF($B989="","EKSİK","TAM"))</f>
        <v/>
      </c>
    </row>
    <row r="990">
      <c r="F990" s="23">
        <f>IF($A990="","",IF($B990="","EKSİK","TAM"))</f>
        <v/>
      </c>
    </row>
    <row r="991">
      <c r="F991" s="23">
        <f>IF($A991="","",IF($B991="","EKSİK","TAM"))</f>
        <v/>
      </c>
    </row>
    <row r="992">
      <c r="F992" s="23">
        <f>IF($A992="","",IF($B992="","EKSİK","TAM"))</f>
        <v/>
      </c>
    </row>
    <row r="993">
      <c r="F993" s="23">
        <f>IF($A993="","",IF($B993="","EKSİK","TAM"))</f>
        <v/>
      </c>
    </row>
    <row r="994">
      <c r="F994" s="23">
        <f>IF($A994="","",IF($B994="","EKSİK","TAM"))</f>
        <v/>
      </c>
    </row>
    <row r="995">
      <c r="F995" s="23">
        <f>IF($A995="","",IF($B995="","EKSİK","TAM"))</f>
        <v/>
      </c>
    </row>
    <row r="996">
      <c r="F996" s="23">
        <f>IF($A996="","",IF($B996="","EKSİK","TAM"))</f>
        <v/>
      </c>
    </row>
    <row r="997">
      <c r="F997" s="23">
        <f>IF($A997="","",IF($B997="","EKSİK","TAM"))</f>
        <v/>
      </c>
    </row>
    <row r="998">
      <c r="F998" s="23">
        <f>IF($A998="","",IF($B998="","EKSİK","TAM"))</f>
        <v/>
      </c>
    </row>
    <row r="999">
      <c r="F999" s="23">
        <f>IF($A999="","",IF($B999="","EKSİK","TAM"))</f>
        <v/>
      </c>
    </row>
    <row r="1000">
      <c r="F1000" s="23">
        <f>IF($A1000="","",IF($B1000="","EKSİK","TAM"))</f>
        <v/>
      </c>
    </row>
    <row r="1001">
      <c r="F1001" s="23">
        <f>IF($A1001="","",IF($B1001="","EKSİK","TAM"))</f>
        <v/>
      </c>
    </row>
    <row r="1002">
      <c r="F1002" s="23">
        <f>IF($A1002="","",IF($B1002="","EKSİK","TAM"))</f>
        <v/>
      </c>
    </row>
    <row r="1003">
      <c r="F1003" s="23">
        <f>IF($A1003="","",IF($B1003="","EKSİK","TAM"))</f>
        <v/>
      </c>
    </row>
    <row r="1004">
      <c r="F1004" s="23">
        <f>IF($A1004="","",IF($B1004="","EKSİK","TAM"))</f>
        <v/>
      </c>
    </row>
    <row r="1031" ht="20" customHeight="1">
      <c r="A1031" s="28" t="inlineStr">
        <is>
          <t>Sarı alanlar giriş; tarife ve formüller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031:AN1031"/>
  </mergeCells>
  <conditionalFormatting sqref="B10:B17">
    <cfRule type="cellIs" priority="1" operator="lessThan" dxfId="0">
      <formula>0</formula>
    </cfRule>
  </conditionalFormatting>
  <conditionalFormatting sqref="B10:B11">
    <cfRule type="cellIs" priority="2" operator="equal" dxfId="1">
      <formula>0</formula>
    </cfRule>
  </conditionalFormatting>
  <conditionalFormatting sqref="F31:F47">
    <cfRule type="expression" priority="3" dxfId="2">
      <formula>F31="EKSİK"</formula>
    </cfRule>
    <cfRule type="expression" priority="4" dxfId="3">
      <formula>F31="TAM"</formula>
    </cfRule>
  </conditionalFormatting>
  <dataValidations count="26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9" showDropDown="0" showInputMessage="1" showErrorMessage="1" allowBlank="0" errorTitle="Geçersiz" error="CATI veya SAHA." promptTitle="Proje Tipi" prompt="CATI veya SAHA seçin." type="list" errorStyle="stop">
      <formula1>ListeProjeTipi</formula1>
    </dataValidation>
    <dataValidation sqref="B33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CATI/SAHA." promptTitle="Proje Tipi" prompt="CATI veya SAHA." type="list" errorStyle="stop">
      <formula1>ListeProjeTipi</formula1>
    </dataValidation>
    <dataValidation sqref="B10" showDropDown="0" showInputMessage="1" showErrorMessage="1" allowBlank="1" errorTitle="Geçersiz tutar" error="Sınır dışı değer." promptTitle="Kurulu güç" prompt="0 ile 1e6 kWp." type="decimal" errorStyle="stop" operator="between">
      <formula1>0</formula1>
      <formula2>1000000000</formula2>
    </dataValidation>
    <dataValidation sqref="B11" showDropDown="0" showInputMessage="1" showErrorMessage="1" allowBlank="1" errorTitle="Geçersiz tutar" error="Sınır dışı değer." promptTitle="Özgül üretim" prompt="0 ile 3000." type="decimal" errorStyle="stop" operator="between">
      <formula1>0</formula1>
      <formula2>1000000000</formula2>
    </dataValidation>
    <dataValidation sqref="B14" showDropDown="0" showInputMessage="1" showErrorMessage="1" allowBlank="1" errorTitle="Geçersiz tutar" error="Sınır dışı değer." promptTitle="Yıllık tüketim" prompt="0 ile 1e9 kWh." type="decimal" errorStyle="stop" operator="between">
      <formula1>0</formula1>
      <formula2>1000000000</formula2>
    </dataValidation>
    <dataValidation sqref="B15" showDropDown="0" showInputMessage="1" showErrorMessage="1" allowBlank="1" errorTitle="Geçersiz tutar" error="Sınır dışı değer." promptTitle="Perakende tarife" prompt="0 ile 100 ₺/kWh." type="decimal" errorStyle="stop" operator="between">
      <formula1>0</formula1>
      <formula2>1000000000</formula2>
    </dataValidation>
    <dataValidation sqref="B16" showDropDown="0" showInputMessage="1" showErrorMessage="1" allowBlank="1" errorTitle="Geçersiz tutar" error="Sınır dışı değer." promptTitle="Satış tarife" prompt="0 ile 100 ₺/kWh." type="decimal" errorStyle="stop" operator="between">
      <formula1>0</formula1>
      <formula2>1000000000</formula2>
    </dataValidation>
    <dataValidation sqref="B17" showDropDown="0" showInputMessage="1" showErrorMessage="1" allowBlank="1" errorTitle="Geçersiz tutar" error="Sınır dışı değer." promptTitle="CAPEX birim" prompt="0 ile 1e7 ₺/kWp." type="decimal" errorStyle="stop" operator="between">
      <formula1>0</formula1>
      <formula2>1000000000</formula2>
    </dataValidation>
    <dataValidation sqref="B35" showDropDown="0" showInputMessage="1" showErrorMessage="1" allowBlank="1" errorTitle="Geçersiz tutar" error="Sınır dışı değer." promptTitle="Kurulu güç" prompt="Tablo: kWp." type="decimal" errorStyle="stop" operator="between">
      <formula1>0</formula1>
      <formula2>1000000000</formula2>
    </dataValidation>
    <dataValidation sqref="B36" showDropDown="0" showInputMessage="1" showErrorMessage="1" allowBlank="1" errorTitle="Geçersiz tutar" error="Sınır dışı değer." promptTitle="Özgül" prompt="Tablo: kWh/kWp." type="decimal" errorStyle="stop" operator="between">
      <formula1>0</formula1>
      <formula2>1000000000</formula2>
    </dataValidation>
    <dataValidation sqref="B12" showDropDown="0" showInputMessage="1" showErrorMessage="1" allowBlank="1" errorTitle="Geçersiz" error="0-1 arası." promptTitle="Degradasyon" prompt="0 ile 1 arasında oran." type="decimal" errorStyle="stop" operator="between">
      <formula1>0</formula1>
      <formula2>1</formula2>
    </dataValidation>
    <dataValidation sqref="B13" showDropDown="0" showInputMessage="1" showErrorMessage="1" allowBlank="1" errorTitle="Geçersiz" error="0-1 arası." promptTitle="Öz tüketim" prompt="0 ile 1 arasında oran." type="decimal" errorStyle="stop" operator="between">
      <formula1>0</formula1>
      <formula2>1</formula2>
    </dataValidation>
    <dataValidation sqref="B18" showDropDown="0" showInputMessage="1" showErrorMessage="1" allowBlank="1" errorTitle="Geçersiz" error="0-1 arası." promptTitle="OPEX" prompt="0 ile 1 arasında oran." type="decimal" errorStyle="stop" operator="between">
      <formula1>0</formula1>
      <formula2>1</formula2>
    </dataValidation>
    <dataValidation sqref="B19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21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22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37" showDropDown="0" showInputMessage="1" showErrorMessage="1" allowBlank="1" errorTitle="Geçersiz" error="0-1 arası." promptTitle="Degradasyon" prompt="0 ile 1 arasında oran." type="decimal" errorStyle="stop" operator="between">
      <formula1>0</formula1>
      <formula2>1</formula2>
    </dataValidation>
    <dataValidation sqref="B38" showDropDown="0" showInputMessage="1" showErrorMessage="1" allowBlank="1" errorTitle="Geçersiz" error="0-1 arası." promptTitle="Öz tüketim" prompt="0 ile 1 arasında oran." type="decimal" errorStyle="stop" operator="between">
      <formula1>0</formula1>
      <formula2>1</formula2>
    </dataValidation>
    <dataValidation sqref="B43" showDropDown="0" showInputMessage="1" showErrorMessage="1" allowBlank="1" errorTitle="Geçersiz" error="0-1 arası." promptTitle="OPEX" prompt="0 ile 1 arasında oran." type="decimal" errorStyle="stop" operator="between">
      <formula1>0</formula1>
      <formula2>1</formula2>
    </dataValidation>
    <dataValidation sqref="B44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46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47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20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  <dataValidation sqref="B45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5.5" customWidth="1" min="1" max="1"/>
    <col width="28" customWidth="1" min="2" max="2"/>
    <col width="21.5" customWidth="1" min="3" max="3"/>
    <col width="10.5" customWidth="1" min="4" max="4"/>
    <col width="30.5" customWidth="1" min="5" max="5"/>
    <col width="12" customWidth="1" min="6" max="6"/>
    <col width="14.5" customWidth="1" min="7" max="7"/>
    <col width="11.5" customWidth="1" min="8" max="8"/>
    <col width="13" customWidth="1" min="9" max="9"/>
    <col width="32" customWidth="1" min="10" max="10"/>
    <col width="18" customWidth="1" min="11" max="11"/>
  </cols>
  <sheetData>
    <row r="1" ht="32" customHeight="1">
      <c r="A1" s="207" t="inlineStr">
        <is>
          <t>VARSAYIMLAR — GES Yatırım Fizibilite Simülatörü</t>
        </is>
      </c>
    </row>
    <row r="3" ht="22" customHeight="1">
      <c r="A3" s="227" t="inlineStr">
        <is>
          <t>Model varsayımları — her satırda kaynak ve güven</t>
        </is>
      </c>
    </row>
    <row r="5" ht="30" customHeight="1">
      <c r="A5" s="21" t="inlineStr">
        <is>
          <t>varsayim_id</t>
        </is>
      </c>
      <c r="B5" s="21" t="inlineStr">
        <is>
          <t>aciklama</t>
        </is>
      </c>
      <c r="C5" s="21" t="inlineStr">
        <is>
          <t>deger</t>
        </is>
      </c>
      <c r="D5" s="21" t="inlineStr">
        <is>
          <t>birim</t>
        </is>
      </c>
      <c r="E5" s="21" t="inlineStr">
        <is>
          <t>kaynak</t>
        </is>
      </c>
      <c r="F5" s="21" t="inlineStr">
        <is>
          <t>guven</t>
        </is>
      </c>
      <c r="G5" s="21" t="inlineStr">
        <is>
          <t>duyarlilik</t>
        </is>
      </c>
      <c r="H5" s="21" t="inlineStr">
        <is>
          <t>kontrol</t>
        </is>
      </c>
    </row>
    <row r="6">
      <c r="A6" s="7" t="inlineStr">
        <is>
          <t>V-01</t>
        </is>
      </c>
      <c r="B6" s="7" t="inlineStr">
        <is>
          <t>Özgül üretim kaynağı</t>
        </is>
      </c>
      <c r="C6" s="31" t="inlineStr">
        <is>
          <t>PVGIS/ölçüm</t>
        </is>
      </c>
      <c r="D6" s="7" t="inlineStr">
        <is>
          <t>metin</t>
        </is>
      </c>
      <c r="E6" s="31" t="inlineStr">
        <is>
          <t>PVGIS / saha ölçümü</t>
        </is>
      </c>
      <c r="F6" s="31" t="inlineStr">
        <is>
          <t>sert</t>
        </is>
      </c>
      <c r="G6" s="7" t="inlineStr">
        <is>
          <t>yüksek</t>
        </is>
      </c>
      <c r="H6" s="23">
        <f>IF($A6="","",IF(OR($E6="",$F6=""),"EKSİK","TAM"))</f>
        <v/>
      </c>
    </row>
    <row r="7">
      <c r="A7" s="7" t="inlineStr">
        <is>
          <t>V-02</t>
        </is>
      </c>
      <c r="B7" s="7" t="inlineStr">
        <is>
          <t>Degradasyon</t>
        </is>
      </c>
      <c r="C7" s="31" t="inlineStr">
        <is>
          <t>0.5%/yıl</t>
        </is>
      </c>
      <c r="D7" s="7" t="inlineStr">
        <is>
          <t>oran</t>
        </is>
      </c>
      <c r="E7" s="31" t="inlineStr">
        <is>
          <t>Panel üretici veri sayfası</t>
        </is>
      </c>
      <c r="F7" s="31" t="inlineStr">
        <is>
          <t>sert</t>
        </is>
      </c>
      <c r="G7" s="7" t="inlineStr">
        <is>
          <t>orta</t>
        </is>
      </c>
      <c r="H7" s="23">
        <f>IF($A7="","",IF(OR($E7="",$F7=""),"EKSİK","TAM"))</f>
        <v/>
      </c>
    </row>
    <row r="8">
      <c r="A8" s="7" t="inlineStr">
        <is>
          <t>V-03</t>
        </is>
      </c>
      <c r="B8" s="7" t="inlineStr">
        <is>
          <t>Öz tüketim oranı</t>
        </is>
      </c>
      <c r="C8" s="31" t="inlineStr">
        <is>
          <t>tesis profili</t>
        </is>
      </c>
      <c r="D8" s="7" t="inlineStr">
        <is>
          <t>oran</t>
        </is>
      </c>
      <c r="E8" s="31" t="inlineStr">
        <is>
          <t>Sayaç / fatura analizi</t>
        </is>
      </c>
      <c r="F8" s="31" t="inlineStr">
        <is>
          <t>yumuşak</t>
        </is>
      </c>
      <c r="G8" s="7" t="inlineStr">
        <is>
          <t>yüksek</t>
        </is>
      </c>
      <c r="H8" s="23">
        <f>IF($A8="","",IF(OR($E8="",$F8=""),"EKSİK","TAM"))</f>
        <v/>
      </c>
    </row>
    <row r="9">
      <c r="A9" s="7" t="inlineStr">
        <is>
          <t>V-04</t>
        </is>
      </c>
      <c r="B9" s="7" t="inlineStr">
        <is>
          <t>Perakende tarife</t>
        </is>
      </c>
      <c r="C9" s="31" t="inlineStr">
        <is>
          <t>EPDK dağıtım</t>
        </is>
      </c>
      <c r="D9" s="7" t="inlineStr">
        <is>
          <t>TL/kWh</t>
        </is>
      </c>
      <c r="E9" s="31" t="inlineStr">
        <is>
          <t>EPDK tarife tablosu</t>
        </is>
      </c>
      <c r="F9" s="31" t="inlineStr">
        <is>
          <t>sert</t>
        </is>
      </c>
      <c r="G9" s="7" t="inlineStr">
        <is>
          <t>yüksek</t>
        </is>
      </c>
      <c r="H9" s="23">
        <f>IF($A9="","",IF(OR($E9="",$F9=""),"EKSİK","TAM"))</f>
        <v/>
      </c>
    </row>
    <row r="10">
      <c r="A10" s="7" t="inlineStr">
        <is>
          <t>V-05</t>
        </is>
      </c>
      <c r="B10" s="7" t="inlineStr">
        <is>
          <t>Şebeke satış tarife</t>
        </is>
      </c>
      <c r="C10" s="31" t="inlineStr">
        <is>
          <t>YEKDEM/mahalle</t>
        </is>
      </c>
      <c r="D10" s="7" t="inlineStr">
        <is>
          <t>TL/kWh</t>
        </is>
      </c>
      <c r="E10" s="31" t="inlineStr">
        <is>
          <t>YEKDEM / iç politika</t>
        </is>
      </c>
      <c r="F10" s="31" t="inlineStr">
        <is>
          <t>yumuşak</t>
        </is>
      </c>
      <c r="G10" s="7" t="inlineStr">
        <is>
          <t>yüksek</t>
        </is>
      </c>
      <c r="H10" s="23">
        <f>IF($A10="","",IF(OR($E10="",$F10=""),"EKSİK","TAM"))</f>
        <v/>
      </c>
    </row>
    <row r="11">
      <c r="A11" s="7" t="inlineStr">
        <is>
          <t>V-06</t>
        </is>
      </c>
      <c r="B11" s="7" t="inlineStr">
        <is>
          <t>CAPEX birim</t>
        </is>
      </c>
      <c r="C11" s="31" t="inlineStr">
        <is>
          <t>teklif ortalaması</t>
        </is>
      </c>
      <c r="D11" s="7" t="inlineStr">
        <is>
          <t>TL/kWp</t>
        </is>
      </c>
      <c r="E11" s="31" t="inlineStr">
        <is>
          <t>EPC teklifleri</t>
        </is>
      </c>
      <c r="F11" s="31" t="inlineStr">
        <is>
          <t>yumuşak</t>
        </is>
      </c>
      <c r="G11" s="7" t="inlineStr">
        <is>
          <t>yüksek</t>
        </is>
      </c>
      <c r="H11" s="23">
        <f>IF($A11="","",IF(OR($E11="",$F11=""),"EKSİK","TAM"))</f>
        <v/>
      </c>
    </row>
    <row r="12">
      <c r="A12" s="7" t="inlineStr">
        <is>
          <t>V-07</t>
        </is>
      </c>
      <c r="B12" s="7" t="inlineStr">
        <is>
          <t>OPEX oranı</t>
        </is>
      </c>
      <c r="C12" s="31" t="inlineStr">
        <is>
          <t>% CAPEX</t>
        </is>
      </c>
      <c r="D12" s="7" t="inlineStr">
        <is>
          <t>oran</t>
        </is>
      </c>
      <c r="E12" s="31" t="inlineStr">
        <is>
          <t>İşletme bütçesi</t>
        </is>
      </c>
      <c r="F12" s="31" t="inlineStr">
        <is>
          <t>yumuşak</t>
        </is>
      </c>
      <c r="G12" s="7" t="inlineStr">
        <is>
          <t>orta</t>
        </is>
      </c>
      <c r="H12" s="23">
        <f>IF($A12="","",IF(OR($E12="",$F12=""),"EKSİK","TAM"))</f>
        <v/>
      </c>
    </row>
    <row r="13">
      <c r="A13" s="7" t="inlineStr">
        <is>
          <t>V-08</t>
        </is>
      </c>
      <c r="B13" s="7" t="inlineStr">
        <is>
          <t>WACC / iskonto</t>
        </is>
      </c>
      <c r="C13" s="31" t="inlineStr">
        <is>
          <t>nominal</t>
        </is>
      </c>
      <c r="D13" s="7" t="inlineStr">
        <is>
          <t>oran</t>
        </is>
      </c>
      <c r="E13" s="31" t="inlineStr">
        <is>
          <t>Finans komitesi</t>
        </is>
      </c>
      <c r="F13" s="31" t="inlineStr">
        <is>
          <t>yumuşak</t>
        </is>
      </c>
      <c r="G13" s="7" t="inlineStr">
        <is>
          <t>yüksek</t>
        </is>
      </c>
      <c r="H13" s="23">
        <f>IF($A13="","",IF(OR($E13="",$F13=""),"EKSİK","TAM"))</f>
        <v/>
      </c>
    </row>
    <row r="14">
      <c r="A14" s="7" t="inlineStr">
        <is>
          <t>V-09</t>
        </is>
      </c>
      <c r="B14" s="7" t="inlineStr">
        <is>
          <t>Para dünyası</t>
        </is>
      </c>
      <c r="C14" s="31" t="inlineStr">
        <is>
          <t>nominal</t>
        </is>
      </c>
      <c r="D14" s="7" t="inlineStr">
        <is>
          <t>metin</t>
        </is>
      </c>
      <c r="E14" s="31" t="inlineStr">
        <is>
          <t>MOTOR para_dunyasi</t>
        </is>
      </c>
      <c r="F14" s="31" t="inlineStr">
        <is>
          <t>sert</t>
        </is>
      </c>
      <c r="G14" s="7" t="inlineStr">
        <is>
          <t>orta</t>
        </is>
      </c>
      <c r="H14" s="23">
        <f>IF($A14="","",IF(OR($E14="",$F14=""),"EKSİK","TAM"))</f>
        <v/>
      </c>
    </row>
    <row r="15">
      <c r="A15" s="7" t="inlineStr">
        <is>
          <t>V-10</t>
        </is>
      </c>
      <c r="B15" s="7" t="inlineStr">
        <is>
          <t>Kötümser üretim şoku</t>
        </is>
      </c>
      <c r="C15" s="31" t="inlineStr">
        <is>
          <t>−25%</t>
        </is>
      </c>
      <c r="D15" s="7" t="inlineStr">
        <is>
          <t>oran</t>
        </is>
      </c>
      <c r="E15" s="31" t="inlineStr">
        <is>
          <t>Stres testi</t>
        </is>
      </c>
      <c r="F15" s="31" t="inlineStr">
        <is>
          <t>yumuşak</t>
        </is>
      </c>
      <c r="G15" s="7" t="inlineStr">
        <is>
          <t>yüksek</t>
        </is>
      </c>
      <c r="H15" s="23">
        <f>IF($A15="","",IF(OR($E15="",$F15=""),"EKSİK","TAM"))</f>
        <v/>
      </c>
    </row>
    <row r="17">
      <c r="J17" s="10" t="inlineStr">
        <is>
          <t>CAPEX / YATIRIM tutarı (ayna)</t>
        </is>
      </c>
      <c r="K17" s="19">
        <f>IFERROR(gyf_capexToplam,0)</f>
        <v/>
      </c>
    </row>
    <row r="18">
      <c r="J18" s="10" t="inlineStr">
        <is>
          <t>OPEX / ISLETME yıllık (ayna)</t>
        </is>
      </c>
      <c r="K18" s="19">
        <f>IFERROR(gyf_opexYillik,0)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H6:H15">
    <cfRule type="expression" priority="1" dxfId="2">
      <formula>H6="EKSİK"</formula>
    </cfRule>
    <cfRule type="expression" priority="2" dxfId="3">
      <formula>H6="TAM"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7A4D"/>
    <outlinePr summaryBelow="1" summaryRight="1"/>
    <pageSetUpPr/>
  </sheetPr>
  <dimension ref="A1:K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207" t="inlineStr">
        <is>
          <t>KURALLAR — GES Yatırım Fizibilite Simülatörü</t>
        </is>
      </c>
    </row>
    <row r="3" ht="22" customHeight="1">
      <c r="A3" s="227" t="inlineStr">
        <is>
          <t>Tarife / teşvik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1" t="inlineStr">
        <is>
          <t>kural_id</t>
        </is>
      </c>
      <c r="B6" s="21" t="inlineStr">
        <is>
          <t>madde</t>
        </is>
      </c>
      <c r="C6" s="21" t="inlineStr">
        <is>
          <t>kural_adi</t>
        </is>
      </c>
      <c r="D6" s="21" t="inlineStr">
        <is>
          <t>kosul_metni</t>
        </is>
      </c>
      <c r="E6" s="21" t="inlineStr">
        <is>
          <t>parametre_adi</t>
        </is>
      </c>
      <c r="F6" s="21" t="inlineStr">
        <is>
          <t>deger_2025</t>
        </is>
      </c>
      <c r="G6" s="21" t="inlineStr">
        <is>
          <t>deger_2026</t>
        </is>
      </c>
      <c r="H6" s="21" t="inlineStr">
        <is>
          <t>deger_2027</t>
        </is>
      </c>
      <c r="I6" s="21" t="inlineStr">
        <is>
          <t>yururluk</t>
        </is>
      </c>
      <c r="J6" s="21" t="inlineStr">
        <is>
          <t>kaynak</t>
        </is>
      </c>
      <c r="K6" s="21" t="inlineStr">
        <is>
          <t>aktif_deger</t>
        </is>
      </c>
    </row>
    <row r="7">
      <c r="A7" s="7" t="inlineStr">
        <is>
          <t>GYF-001</t>
        </is>
      </c>
      <c r="B7" s="7" t="inlineStr">
        <is>
          <t>EPDK tarife</t>
        </is>
      </c>
      <c r="C7" s="7" t="inlineStr">
        <is>
          <t>perakende_tarife</t>
        </is>
      </c>
      <c r="D7" s="7" t="inlineStr">
        <is>
          <t>öz tüketim × tarife</t>
        </is>
      </c>
      <c r="E7" s="7" t="inlineStr">
        <is>
          <t>perakende_tl_kwh</t>
        </is>
      </c>
      <c r="F7" s="32" t="n">
        <v>3.2</v>
      </c>
      <c r="G7" s="32" t="n">
        <v>3.5</v>
      </c>
      <c r="H7" s="32" t="n">
        <v>3.8</v>
      </c>
      <c r="I7" s="7" t="inlineStr">
        <is>
          <t>01.01.2025</t>
        </is>
      </c>
      <c r="J7" s="7" t="inlineStr">
        <is>
          <t>EPDK dağıtım bedelli</t>
        </is>
      </c>
      <c r="K7" s="23">
        <f>IF($A7="","",IFERROR(CHOOSE(MAX(1,MIN(3,IF(OR(hesapYili="",hesapYili=0),1,hesapYili-gyf_yilTaban))),$F7,$G7,$H7),0))</f>
        <v/>
      </c>
    </row>
    <row r="8">
      <c r="A8" s="7" t="inlineStr">
        <is>
          <t>GYF-002</t>
        </is>
      </c>
      <c r="B8" s="7" t="inlineStr">
        <is>
          <t>YEKDEM / satış</t>
        </is>
      </c>
      <c r="C8" s="7" t="inlineStr">
        <is>
          <t>satis_tarife</t>
        </is>
      </c>
      <c r="D8" s="7" t="inlineStr">
        <is>
          <t>şebeke satış × tarife</t>
        </is>
      </c>
      <c r="E8" s="7" t="inlineStr">
        <is>
          <t>satis_tl_kwh</t>
        </is>
      </c>
      <c r="F8" s="32" t="n">
        <v>1.1</v>
      </c>
      <c r="G8" s="32" t="n">
        <v>1.2</v>
      </c>
      <c r="H8" s="32" t="n">
        <v>1.3</v>
      </c>
      <c r="I8" s="7" t="inlineStr">
        <is>
          <t>01.01.2025</t>
        </is>
      </c>
      <c r="J8" s="7" t="inlineStr">
        <is>
          <t>YEKDEM referans</t>
        </is>
      </c>
      <c r="K8" s="23">
        <f>IF($A8="","",IFERROR(CHOOSE(MAX(1,MIN(3,IF(OR(hesapYili="",hesapYili=0),1,hesapYili-gyf_yilTaban))),$F8,$G8,$H8),0))</f>
        <v/>
      </c>
    </row>
    <row r="9">
      <c r="A9" s="7" t="inlineStr">
        <is>
          <t>GYF-003</t>
        </is>
      </c>
      <c r="B9" s="7" t="inlineStr">
        <is>
          <t>İç politika</t>
        </is>
      </c>
      <c r="C9" s="7" t="inlineStr">
        <is>
          <t>hedef_geri_odeme</t>
        </is>
      </c>
      <c r="D9" s="7" t="inlineStr">
        <is>
          <t>geri ödeme ≤ eşik</t>
        </is>
      </c>
      <c r="E9" s="7" t="inlineStr">
        <is>
          <t>geri_odeme_yil</t>
        </is>
      </c>
      <c r="F9" s="33" t="n">
        <v>8</v>
      </c>
      <c r="G9" s="33" t="n">
        <v>8</v>
      </c>
      <c r="H9" s="33" t="n">
        <v>7</v>
      </c>
      <c r="I9" s="7" t="inlineStr">
        <is>
          <t>01.01.2025</t>
        </is>
      </c>
      <c r="J9" s="7" t="inlineStr">
        <is>
          <t>Hedef geri ödeme yılı</t>
        </is>
      </c>
      <c r="K9" s="23">
        <f>IF($A9="","",IFERROR(CHOOSE(MAX(1,MIN(3,IF(OR(hesapYili="",hesapYili=0),1,hesapYili-gyf_yilTaban))),$F9,$G9,$H9),0))</f>
        <v/>
      </c>
    </row>
    <row r="10">
      <c r="A10" s="7" t="inlineStr">
        <is>
          <t>GYF-004</t>
        </is>
      </c>
      <c r="B10" s="7" t="inlineStr">
        <is>
          <t>İç politika</t>
        </is>
      </c>
      <c r="C10" s="7" t="inlineStr">
        <is>
          <t>min_oz_tuketim</t>
        </is>
      </c>
      <c r="D10" s="7" t="inlineStr">
        <is>
          <t>öz tüketim ≥ eşik</t>
        </is>
      </c>
      <c r="E10" s="7" t="inlineStr">
        <is>
          <t>min_oz_tuketim</t>
        </is>
      </c>
      <c r="F10" s="34" t="n">
        <v>0.4</v>
      </c>
      <c r="G10" s="34" t="n">
        <v>0.4</v>
      </c>
      <c r="H10" s="34" t="n">
        <v>0.45</v>
      </c>
      <c r="I10" s="7" t="inlineStr">
        <is>
          <t>01.01.2025</t>
        </is>
      </c>
      <c r="J10" s="7" t="inlineStr">
        <is>
          <t>Asgari öz tüketim</t>
        </is>
      </c>
      <c r="K10" s="23">
        <f>IF($A10="","",IFERROR(CHOOSE(MAX(1,MIN(3,IF(OR(hesapYili="",hesapYili=0),1,hesapYili-gyf_yilTaban))),$F10,$G10,$H10),0))</f>
        <v/>
      </c>
    </row>
    <row r="11">
      <c r="A11" s="7" t="inlineStr">
        <is>
          <t>GYF-005</t>
        </is>
      </c>
      <c r="B11" s="7" t="inlineStr">
        <is>
          <t>Uygulama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33" t="n">
        <v>2</v>
      </c>
      <c r="G11" s="33" t="n">
        <v>2</v>
      </c>
      <c r="H11" s="33" t="n">
        <v>2</v>
      </c>
      <c r="I11" s="7" t="inlineStr">
        <is>
          <t>01.01.2025</t>
        </is>
      </c>
      <c r="J11" s="7" t="inlineStr">
        <is>
          <t>Yuvarlama ondalık</t>
        </is>
      </c>
      <c r="K11" s="23">
        <f>IF($A11="","",IFERROR(CHOOSE(MAX(1,MIN(3,IF(OR(hesapYili="",hesapYili=0),1,hesapYili-gyf_yilTaban))),$F11,$G11,$H11),0))</f>
        <v/>
      </c>
    </row>
    <row r="14">
      <c r="A14" s="35" t="inlineStr">
        <is>
          <t>Kural-yıl matrisi özeti</t>
        </is>
      </c>
    </row>
    <row r="15">
      <c r="A15" s="6" t="inlineStr">
        <is>
          <t>Perakende (aktif yıl)</t>
        </is>
      </c>
      <c r="C15" s="36">
        <f>IFERROR(INDEX(CHOOSE(MAX(1,MIN(3,IF(OR(hesapYili="",hesapYili=0),1,hesapYili-gyf_yilTaban))),tblKurallar[deger_2025],tblKurallar[deger_2026],tblKurallar[deger_2027]),MATCH("GYF-001",tblKurallar[kural_id],0)),0)</f>
        <v/>
      </c>
    </row>
    <row r="16">
      <c r="A16" s="6" t="inlineStr">
        <is>
          <t>Satış tarife (aktif yıl)</t>
        </is>
      </c>
      <c r="C16" s="36">
        <f>IFERROR(INDEX(CHOOSE(MAX(1,MIN(3,IF(OR(hesapYili="",hesapYili=0),1,hesapYili-gyf_yilTaban))),tblKurallar[deger_2025],tblKurallar[deger_2026],tblKurallar[deger_2027]),MATCH("GYF-002",tblKurallar[kural_id],0)),0)</f>
        <v/>
      </c>
    </row>
    <row r="17">
      <c r="A17" s="7" t="inlineStr">
        <is>
          <t>Matris metni</t>
        </is>
      </c>
      <c r="C17" s="37">
        <f>IFERROR(_xlfn.TEXTJOIN(" | ",TRUE,"GYF-001=",TEXT(C15,"0.00"),"GYF-002=",TEXT(C16,"0.00"),"yıl=",IF(OR(hesapYili="",hesapYili=0),"-",hesapYili)),"-")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16:B16"/>
    <mergeCell ref="A4:K4"/>
    <mergeCell ref="A15:B15"/>
    <mergeCell ref="A1:I1"/>
    <mergeCell ref="A14:B14"/>
    <mergeCell ref="A3:I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8064A2"/>
    <outlinePr summaryBelow="1" summaryRight="1"/>
    <pageSetUpPr/>
  </sheetPr>
  <dimension ref="A1:I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2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MOTOR — GES Yatırım Fizibilite Simülatörü</t>
        </is>
      </c>
    </row>
    <row r="3" ht="22" customHeight="1">
      <c r="A3" s="227" t="inlineStr">
        <is>
          <t>Hesap zinciri — her adımda kural_id · para_dunyasi=nominal</t>
        </is>
      </c>
    </row>
    <row r="4">
      <c r="A4" s="4" t="inlineStr">
        <is>
          <t>Tarifeler tblKurallar'dan; girdiler GIRDI'den.</t>
        </is>
      </c>
    </row>
    <row r="6" ht="30" customHeight="1">
      <c r="A6" s="21" t="inlineStr">
        <is>
          <t>adim</t>
        </is>
      </c>
      <c r="B6" s="21" t="inlineStr">
        <is>
          <t>ad</t>
        </is>
      </c>
      <c r="C6" s="21" t="inlineStr">
        <is>
          <t>formul</t>
        </is>
      </c>
      <c r="D6" s="21" t="inlineStr">
        <is>
          <t>birim</t>
        </is>
      </c>
      <c r="E6" s="21" t="inlineStr">
        <is>
          <t>ne_ise_yarar</t>
        </is>
      </c>
      <c r="F6" s="21" t="inlineStr">
        <is>
          <t>kural_id</t>
        </is>
      </c>
      <c r="G6" s="21" t="inlineStr">
        <is>
          <t>deger</t>
        </is>
      </c>
    </row>
    <row r="7">
      <c r="A7" s="38" t="n">
        <v>1</v>
      </c>
      <c r="B7" s="39" t="inlineStr">
        <is>
          <t>Hesap yılı oku</t>
        </is>
      </c>
      <c r="C7" s="40">
        <f>IFERROR(hesapYili,0)</f>
        <v/>
      </c>
      <c r="D7" s="41" t="inlineStr">
        <is>
          <t>yıl</t>
        </is>
      </c>
      <c r="E7" s="6" t="inlineStr">
        <is>
          <t>Aktif kural yılı</t>
        </is>
      </c>
      <c r="F7" s="42" t="inlineStr">
        <is>
          <t>GYF-005</t>
        </is>
      </c>
      <c r="G7" s="20">
        <f>IFERROR(hesapYili,0)</f>
        <v/>
      </c>
    </row>
    <row r="8">
      <c r="A8" s="38" t="n">
        <v>2</v>
      </c>
      <c r="B8" s="39" t="inlineStr">
        <is>
          <t>Perakende tarife kural</t>
        </is>
      </c>
      <c r="C8" s="43">
        <f>IFERROR(INDEX(CHOOSE(MAX(1,MIN(3,IF(OR(hesapYili="",hesapYili=0),1,hesapYili-gyf_yilTaban))),tblKurallar[deger_2025],tblKurallar[deger_2026],tblKurallar[deger_2027]),MATCH("GYF-001",tblKurallar[kural_id],0)),0)</f>
        <v/>
      </c>
      <c r="D8" s="41" t="inlineStr">
        <is>
          <t>TL/kWh</t>
        </is>
      </c>
      <c r="E8" s="6" t="inlineStr">
        <is>
          <t>EPDK perakende</t>
        </is>
      </c>
      <c r="F8" s="42" t="inlineStr">
        <is>
          <t>GYF-001</t>
        </is>
      </c>
      <c r="G8" s="36">
        <f>IFERROR(INDEX(CHOOSE(MAX(1,MIN(3,IF(OR(hesapYili="",hesapYili=0),1,hesapYili-gyf_yilTaban))),tblKurallar[deger_2025],tblKurallar[deger_2026],tblKurallar[deger_2027]),MATCH("GYF-001",tblKurallar[kural_id],0)),0)</f>
        <v/>
      </c>
    </row>
    <row r="9">
      <c r="A9" s="38" t="n">
        <v>3</v>
      </c>
      <c r="B9" s="39" t="inlineStr">
        <is>
          <t>Satış tarife kural</t>
        </is>
      </c>
      <c r="C9" s="43">
        <f>IFERROR(INDEX(CHOOSE(MAX(1,MIN(3,IF(OR(hesapYili="",hesapYili=0),1,hesapYili-gyf_yilTaban))),tblKurallar[deger_2025],tblKurallar[deger_2026],tblKurallar[deger_2027]),MATCH("GYF-002",tblKurallar[kural_id],0)),0)</f>
        <v/>
      </c>
      <c r="D9" s="41" t="inlineStr">
        <is>
          <t>TL/kWh</t>
        </is>
      </c>
      <c r="E9" s="6" t="inlineStr">
        <is>
          <t>YEKDEM/satış</t>
        </is>
      </c>
      <c r="F9" s="42" t="inlineStr">
        <is>
          <t>GYF-002</t>
        </is>
      </c>
      <c r="G9" s="36">
        <f>IFERROR(INDEX(CHOOSE(MAX(1,MIN(3,IF(OR(hesapYili="",hesapYili=0),1,hesapYili-gyf_yilTaban))),tblKurallar[deger_2025],tblKurallar[deger_2026],tblKurallar[deger_2027]),MATCH("GYF-002",tblKurallar[kural_id],0)),0)</f>
        <v/>
      </c>
    </row>
    <row r="10">
      <c r="A10" s="38" t="n">
        <v>4</v>
      </c>
      <c r="B10" s="39" t="inlineStr">
        <is>
          <t>Hedef geri ödeme</t>
        </is>
      </c>
      <c r="C10" s="40">
        <f>IFERROR(INDEX(CHOOSE(MAX(1,MIN(3,IF(OR(hesapYili="",hesapYili=0),1,hesapYili-gyf_yilTaban))),tblKurallar[deger_2025],tblKurallar[deger_2026],tblKurallar[deger_2027]),MATCH("GYF-003",tblKurallar[kural_id],0)),0)</f>
        <v/>
      </c>
      <c r="D10" s="41" t="inlineStr">
        <is>
          <t>yıl</t>
        </is>
      </c>
      <c r="E10" s="6" t="inlineStr">
        <is>
          <t>Geri ödeme eşiği</t>
        </is>
      </c>
      <c r="F10" s="42" t="inlineStr">
        <is>
          <t>GYF-003</t>
        </is>
      </c>
      <c r="G10" s="20">
        <f>IFERROR(INDEX(CHOOSE(MAX(1,MIN(3,IF(OR(hesapYili="",hesapYili=0),1,hesapYili-gyf_yilTaban))),tblKurallar[deger_2025],tblKurallar[deger_2026],tblKurallar[deger_2027]),MATCH("GYF-003",tblKurallar[kural_id],0)),0)</f>
        <v/>
      </c>
    </row>
    <row r="11">
      <c r="A11" s="38" t="n">
        <v>5</v>
      </c>
      <c r="B11" s="39" t="inlineStr">
        <is>
          <t>Min öz tüketim</t>
        </is>
      </c>
      <c r="C11" s="44">
        <f>IFERROR(INDEX(CHOOSE(MAX(1,MIN(3,IF(OR(hesapYili="",hesapYili=0),1,hesapYili-gyf_yilTaban))),tblKurallar[deger_2025],tblKurallar[deger_2026],tblKurallar[deger_2027]),MATCH("GYF-004",tblKurallar[kural_id],0)),0)</f>
        <v/>
      </c>
      <c r="D11" s="41" t="inlineStr">
        <is>
          <t>oran</t>
        </is>
      </c>
      <c r="E11" s="6" t="inlineStr">
        <is>
          <t>Asgari öz tüketim</t>
        </is>
      </c>
      <c r="F11" s="42" t="inlineStr">
        <is>
          <t>GYF-004</t>
        </is>
      </c>
      <c r="G11" s="45">
        <f>IFERROR(INDEX(CHOOSE(MAX(1,MIN(3,IF(OR(hesapYili="",hesapYili=0),1,hesapYili-gyf_yilTaban))),tblKurallar[deger_2025],tblKurallar[deger_2026],tblKurallar[deger_2027]),MATCH("GYF-004",tblKurallar[kural_id],0)),0)</f>
        <v/>
      </c>
    </row>
    <row r="12">
      <c r="A12" s="38" t="n">
        <v>6</v>
      </c>
      <c r="B12" s="39" t="inlineStr">
        <is>
          <t>Yuvarlama ondalık</t>
        </is>
      </c>
      <c r="C12" s="40">
        <f>IFERROR(INDEX(CHOOSE(MAX(1,MIN(3,IF(OR(hesapYili="",hesapYili=0),1,hesapYili-gyf_yilTaban))),tblKurallar[deger_2025],tblKurallar[deger_2026],tblKurallar[deger_2027]),MATCH("GYF-005",tblKurallar[kural_id],0)),0)</f>
        <v/>
      </c>
      <c r="D12" s="41" t="inlineStr">
        <is>
          <t>adet</t>
        </is>
      </c>
      <c r="E12" s="6" t="inlineStr">
        <is>
          <t>Yuvarlama basamağı</t>
        </is>
      </c>
      <c r="F12" s="42" t="inlineStr">
        <is>
          <t>GYF-005</t>
        </is>
      </c>
      <c r="G12" s="20">
        <f>IFERROR(INDEX(CHOOSE(MAX(1,MIN(3,IF(OR(hesapYili="",hesapYili=0),1,hesapYili-gyf_yilTaban))),tblKurallar[deger_2025],tblKurallar[deger_2026],tblKurallar[deger_2027]),MATCH("GYF-005",tblKurallar[kural_id],0)),0)</f>
        <v/>
      </c>
    </row>
    <row r="13">
      <c r="A13" s="38" t="n">
        <v>7</v>
      </c>
      <c r="B13" s="39" t="inlineStr">
        <is>
          <t>Kurulu güç kWp</t>
        </is>
      </c>
      <c r="C13" s="40">
        <f>IFERROR(GIRDI!B10,0)</f>
        <v/>
      </c>
      <c r="D13" s="41" t="inlineStr">
        <is>
          <t>kWp</t>
        </is>
      </c>
      <c r="E13" s="6" t="inlineStr">
        <is>
          <t>DC güç</t>
        </is>
      </c>
      <c r="F13" s="42" t="inlineStr">
        <is>
          <t>GYF-005</t>
        </is>
      </c>
      <c r="G13" s="20">
        <f>IFERROR(GIRDI!B10,0)</f>
        <v/>
      </c>
    </row>
    <row r="14">
      <c r="A14" s="38" t="n">
        <v>8</v>
      </c>
      <c r="B14" s="39" t="inlineStr">
        <is>
          <t>Özgül üretim</t>
        </is>
      </c>
      <c r="C14" s="40">
        <f>IFERROR(GIRDI!B11,0)</f>
        <v/>
      </c>
      <c r="D14" s="41" t="inlineStr">
        <is>
          <t>kWh/kWp</t>
        </is>
      </c>
      <c r="E14" s="6" t="inlineStr">
        <is>
          <t>Yıllık özgül</t>
        </is>
      </c>
      <c r="F14" s="42" t="inlineStr">
        <is>
          <t>GYF-005</t>
        </is>
      </c>
      <c r="G14" s="20">
        <f>IFERROR(GIRDI!B11,0)</f>
        <v/>
      </c>
    </row>
    <row r="15">
      <c r="A15" s="38" t="n">
        <v>9</v>
      </c>
      <c r="B15" s="39" t="inlineStr">
        <is>
          <t>Degradasyon</t>
        </is>
      </c>
      <c r="C15" s="44">
        <f>IFERROR(GIRDI!B12,0)</f>
        <v/>
      </c>
      <c r="D15" s="41" t="inlineStr">
        <is>
          <t>oran</t>
        </is>
      </c>
      <c r="E15" s="6" t="inlineStr">
        <is>
          <t>Yıllık kayıp</t>
        </is>
      </c>
      <c r="F15" s="42" t="inlineStr">
        <is>
          <t>GYF-005</t>
        </is>
      </c>
      <c r="G15" s="45">
        <f>IFERROR(GIRDI!B12,0)</f>
        <v/>
      </c>
    </row>
    <row r="16">
      <c r="A16" s="38" t="n">
        <v>10</v>
      </c>
      <c r="B16" s="39" t="inlineStr">
        <is>
          <t>Öz tüketim oranı</t>
        </is>
      </c>
      <c r="C16" s="44">
        <f>IFERROR(GIRDI!B13,0)</f>
        <v/>
      </c>
      <c r="D16" s="41" t="inlineStr">
        <is>
          <t>oran</t>
        </is>
      </c>
      <c r="E16" s="6" t="inlineStr">
        <is>
          <t>Öz tüketim payı</t>
        </is>
      </c>
      <c r="F16" s="42" t="inlineStr">
        <is>
          <t>GYF-004</t>
        </is>
      </c>
      <c r="G16" s="45">
        <f>IFERROR(GIRDI!B13,0)</f>
        <v/>
      </c>
    </row>
    <row r="17">
      <c r="A17" s="38" t="n">
        <v>11</v>
      </c>
      <c r="B17" s="39" t="inlineStr">
        <is>
          <t>Yıllık tüketim</t>
        </is>
      </c>
      <c r="C17" s="40">
        <f>IFERROR(GIRDI!B14,0)</f>
        <v/>
      </c>
      <c r="D17" s="41" t="inlineStr">
        <is>
          <t>kWh</t>
        </is>
      </c>
      <c r="E17" s="6" t="inlineStr">
        <is>
          <t>Tesis tüketimi</t>
        </is>
      </c>
      <c r="F17" s="42" t="inlineStr">
        <is>
          <t>GYF-004</t>
        </is>
      </c>
      <c r="G17" s="20">
        <f>IFERROR(GIRDI!B14,0)</f>
        <v/>
      </c>
    </row>
    <row r="18">
      <c r="A18" s="38" t="n">
        <v>12</v>
      </c>
      <c r="B18" s="39" t="inlineStr">
        <is>
          <t>Perakende giriş</t>
        </is>
      </c>
      <c r="C18" s="43">
        <f>IFERROR(GIRDI!B15,0)</f>
        <v/>
      </c>
      <c r="D18" s="41" t="inlineStr">
        <is>
          <t>TL/kWh</t>
        </is>
      </c>
      <c r="E18" s="6" t="inlineStr">
        <is>
          <t>Giriş perakende</t>
        </is>
      </c>
      <c r="F18" s="42" t="inlineStr">
        <is>
          <t>GYF-001</t>
        </is>
      </c>
      <c r="G18" s="36">
        <f>IFERROR(GIRDI!B15,0)</f>
        <v/>
      </c>
    </row>
    <row r="19">
      <c r="A19" s="38" t="n">
        <v>13</v>
      </c>
      <c r="B19" s="39" t="inlineStr">
        <is>
          <t>Satış giriş</t>
        </is>
      </c>
      <c r="C19" s="43">
        <f>IFERROR(GIRDI!B16,0)</f>
        <v/>
      </c>
      <c r="D19" s="41" t="inlineStr">
        <is>
          <t>TL/kWh</t>
        </is>
      </c>
      <c r="E19" s="6" t="inlineStr">
        <is>
          <t>Giriş satış</t>
        </is>
      </c>
      <c r="F19" s="42" t="inlineStr">
        <is>
          <t>GYF-002</t>
        </is>
      </c>
      <c r="G19" s="36">
        <f>IFERROR(GIRDI!B16,0)</f>
        <v/>
      </c>
    </row>
    <row r="20">
      <c r="A20" s="38" t="n">
        <v>14</v>
      </c>
      <c r="B20" s="39" t="inlineStr">
        <is>
          <t>CAPEX birim</t>
        </is>
      </c>
      <c r="C20" s="46">
        <f>IFERROR(GIRDI!B17,0)</f>
        <v/>
      </c>
      <c r="D20" s="41" t="inlineStr">
        <is>
          <t>TL/kWp</t>
        </is>
      </c>
      <c r="E20" s="6" t="inlineStr">
        <is>
          <t>Birim yatırım</t>
        </is>
      </c>
      <c r="F20" s="42" t="inlineStr">
        <is>
          <t>GYF-005</t>
        </is>
      </c>
      <c r="G20" s="19">
        <f>IFERROR(GIRDI!B17,0)</f>
        <v/>
      </c>
    </row>
    <row r="21">
      <c r="A21" s="38" t="n">
        <v>15</v>
      </c>
      <c r="B21" s="39" t="inlineStr">
        <is>
          <t>OPEX oranı</t>
        </is>
      </c>
      <c r="C21" s="44">
        <f>IFERROR(GIRDI!B18,0)</f>
        <v/>
      </c>
      <c r="D21" s="41" t="inlineStr">
        <is>
          <t>oran</t>
        </is>
      </c>
      <c r="E21" s="6" t="inlineStr">
        <is>
          <t>İşletme oranı</t>
        </is>
      </c>
      <c r="F21" s="42" t="inlineStr">
        <is>
          <t>GYF-005</t>
        </is>
      </c>
      <c r="G21" s="45">
        <f>IFERROR(GIRDI!B18,0)</f>
        <v/>
      </c>
    </row>
    <row r="22">
      <c r="A22" s="38" t="n">
        <v>16</v>
      </c>
      <c r="B22" s="39" t="inlineStr">
        <is>
          <t>WACC</t>
        </is>
      </c>
      <c r="C22" s="44">
        <f>IFERROR(GIRDI!B19,0)</f>
        <v/>
      </c>
      <c r="D22" s="41" t="inlineStr">
        <is>
          <t>oran</t>
        </is>
      </c>
      <c r="E22" s="6" t="inlineStr">
        <is>
          <t>İskonto nominal</t>
        </is>
      </c>
      <c r="F22" s="42" t="inlineStr">
        <is>
          <t>GYF-005</t>
        </is>
      </c>
      <c r="G22" s="45">
        <f>IFERROR(GIRDI!B19,0)</f>
        <v/>
      </c>
    </row>
    <row r="23">
      <c r="A23" s="38" t="n">
        <v>17</v>
      </c>
      <c r="B23" s="39" t="inlineStr">
        <is>
          <t>NPV dönem</t>
        </is>
      </c>
      <c r="C23" s="40">
        <f>IFERROR(GIRDI!B20,0)</f>
        <v/>
      </c>
      <c r="D23" s="41" t="inlineStr">
        <is>
          <t>adet</t>
        </is>
      </c>
      <c r="E23" s="6" t="inlineStr">
        <is>
          <t>Akış yılı</t>
        </is>
      </c>
      <c r="F23" s="42" t="inlineStr">
        <is>
          <t>GYF-005</t>
        </is>
      </c>
      <c r="G23" s="20">
        <f>IFERROR(GIRDI!B20,0)</f>
        <v/>
      </c>
    </row>
    <row r="24">
      <c r="A24" s="38" t="n">
        <v>18</v>
      </c>
      <c r="B24" s="39" t="inlineStr">
        <is>
          <t>Kredi faiz</t>
        </is>
      </c>
      <c r="C24" s="44">
        <f>IFERROR(GIRDI!B21,0)</f>
        <v/>
      </c>
      <c r="D24" s="41" t="inlineStr">
        <is>
          <t>oran</t>
        </is>
      </c>
      <c r="E24" s="6" t="inlineStr">
        <is>
          <t>Kredi senaryosu</t>
        </is>
      </c>
      <c r="F24" s="42" t="inlineStr">
        <is>
          <t>GYF-005</t>
        </is>
      </c>
      <c r="G24" s="45">
        <f>IFERROR(GIRDI!B21,0)</f>
        <v/>
      </c>
    </row>
    <row r="25">
      <c r="A25" s="38" t="n">
        <v>19</v>
      </c>
      <c r="B25" s="39" t="inlineStr">
        <is>
          <t>Öz kaynak oranı</t>
        </is>
      </c>
      <c r="C25" s="44">
        <f>IFERROR(GIRDI!B22,0)</f>
        <v/>
      </c>
      <c r="D25" s="41" t="inlineStr">
        <is>
          <t>oran</t>
        </is>
      </c>
      <c r="E25" s="6" t="inlineStr">
        <is>
          <t>Öz kaynak payı</t>
        </is>
      </c>
      <c r="F25" s="42" t="inlineStr">
        <is>
          <t>GYF-005</t>
        </is>
      </c>
      <c r="G25" s="45">
        <f>IFERROR(GIRDI!B22,0)</f>
        <v/>
      </c>
    </row>
    <row r="26">
      <c r="A26" s="38" t="n">
        <v>20</v>
      </c>
      <c r="B26" s="39" t="inlineStr">
        <is>
          <t>Yıllık üretim Y1</t>
        </is>
      </c>
      <c r="C26" s="40">
        <f>IFERROR(ROUND(G13*G14,MAX(0,MIN(gyf_yuvarMax,IFERROR(N(G12),0)))),0)</f>
        <v/>
      </c>
      <c r="D26" s="41" t="inlineStr">
        <is>
          <t>kWh</t>
        </is>
      </c>
      <c r="E26" s="6" t="inlineStr">
        <is>
          <t>kWp×özgül</t>
        </is>
      </c>
      <c r="F26" s="42" t="inlineStr">
        <is>
          <t>GYF-005</t>
        </is>
      </c>
      <c r="G26" s="20">
        <f>IFERROR(ROUND(G13*G14,MAX(0,MIN(gyf_yuvarMax,IFERROR(N(G12),0)))),0)</f>
        <v/>
      </c>
    </row>
    <row r="27">
      <c r="A27" s="38" t="n">
        <v>21</v>
      </c>
      <c r="B27" s="39" t="inlineStr">
        <is>
          <t>Öz tüketim kWh</t>
        </is>
      </c>
      <c r="C27" s="40">
        <f>IFERROR(ROUND(G26*G16,MAX(0,MIN(gyf_yuvarMax,IFERROR(N(G12),0)))),0)</f>
        <v/>
      </c>
      <c r="D27" s="41" t="inlineStr">
        <is>
          <t>kWh</t>
        </is>
      </c>
      <c r="E27" s="6" t="inlineStr">
        <is>
          <t>Üretim×öz oran</t>
        </is>
      </c>
      <c r="F27" s="42" t="inlineStr">
        <is>
          <t>GYF-004</t>
        </is>
      </c>
      <c r="G27" s="20">
        <f>IFERROR(ROUND(G26*G16,MAX(0,MIN(gyf_yuvarMax,IFERROR(N(G12),0)))),0)</f>
        <v/>
      </c>
    </row>
    <row r="28">
      <c r="A28" s="38" t="n">
        <v>22</v>
      </c>
      <c r="B28" s="39" t="inlineStr">
        <is>
          <t>Şebeke satış kWh</t>
        </is>
      </c>
      <c r="C28" s="40">
        <f>IFERROR(G26-G27,0)</f>
        <v/>
      </c>
      <c r="D28" s="41" t="inlineStr">
        <is>
          <t>kWh</t>
        </is>
      </c>
      <c r="E28" s="6" t="inlineStr">
        <is>
          <t>Kalan üretim</t>
        </is>
      </c>
      <c r="F28" s="42" t="inlineStr">
        <is>
          <t>GYF-002</t>
        </is>
      </c>
      <c r="G28" s="20">
        <f>IFERROR(G26-G27,0)</f>
        <v/>
      </c>
    </row>
    <row r="29">
      <c r="A29" s="38" t="n">
        <v>23</v>
      </c>
      <c r="B29" s="39" t="inlineStr">
        <is>
          <t>Tüketim eşleşme kWh</t>
        </is>
      </c>
      <c r="C29" s="40">
        <f>IFERROR(ROUND(MIN(G27,G17),MAX(0,MIN(gyf_yuvarMax,IFERROR(N(G12),0)))),0)</f>
        <v/>
      </c>
      <c r="D29" s="41" t="inlineStr">
        <is>
          <t>kWh</t>
        </is>
      </c>
      <c r="E29" s="6" t="inlineStr">
        <is>
          <t>min(öz,tüketim)</t>
        </is>
      </c>
      <c r="F29" s="42" t="inlineStr">
        <is>
          <t>GYF-004</t>
        </is>
      </c>
      <c r="G29" s="20">
        <f>IFERROR(ROUND(MIN(G27,G17),MAX(0,MIN(gyf_yuvarMax,IFERROR(N(G12),0)))),0)</f>
        <v/>
      </c>
    </row>
    <row r="30">
      <c r="A30" s="38" t="n">
        <v>24</v>
      </c>
      <c r="B30" s="39" t="inlineStr">
        <is>
          <t>Öz tasarruf geliri</t>
        </is>
      </c>
      <c r="C30" s="46">
        <f>IFERROR(ROUND(G29*G18,MAX(0,MIN(gyf_yuvarMax,IFERROR(N(G12),0)))),0)</f>
        <v/>
      </c>
      <c r="D30" s="41" t="inlineStr">
        <is>
          <t>TL</t>
        </is>
      </c>
      <c r="E30" s="6" t="inlineStr">
        <is>
          <t>eşleşme×perakende</t>
        </is>
      </c>
      <c r="F30" s="42" t="inlineStr">
        <is>
          <t>GYF-001</t>
        </is>
      </c>
      <c r="G30" s="19">
        <f>IFERROR(ROUND(G29*G18,MAX(0,MIN(gyf_yuvarMax,IFERROR(N(G12),0)))),0)</f>
        <v/>
      </c>
    </row>
    <row r="31">
      <c r="A31" s="38" t="n">
        <v>25</v>
      </c>
      <c r="B31" s="39" t="inlineStr">
        <is>
          <t>Şebeke satış geliri</t>
        </is>
      </c>
      <c r="C31" s="46">
        <f>IFERROR(ROUND(G28*G19,MAX(0,MIN(gyf_yuvarMax,IFERROR(N(G12),0)))),0)</f>
        <v/>
      </c>
      <c r="D31" s="41" t="inlineStr">
        <is>
          <t>TL</t>
        </is>
      </c>
      <c r="E31" s="6" t="inlineStr">
        <is>
          <t>satış×tarife</t>
        </is>
      </c>
      <c r="F31" s="42" t="inlineStr">
        <is>
          <t>GYF-002</t>
        </is>
      </c>
      <c r="G31" s="19">
        <f>IFERROR(ROUND(G28*G19,MAX(0,MIN(gyf_yuvarMax,IFERROR(N(G12),0)))),0)</f>
        <v/>
      </c>
    </row>
    <row r="32">
      <c r="A32" s="38" t="n">
        <v>26</v>
      </c>
      <c r="B32" s="39" t="inlineStr">
        <is>
          <t>Yıllık gelir baz</t>
        </is>
      </c>
      <c r="C32" s="46">
        <f>IFERROR(G30+G31,0)</f>
        <v/>
      </c>
      <c r="D32" s="41" t="inlineStr">
        <is>
          <t>TL</t>
        </is>
      </c>
      <c r="E32" s="6" t="inlineStr">
        <is>
          <t>Toplam gelir Y1</t>
        </is>
      </c>
      <c r="F32" s="42" t="inlineStr">
        <is>
          <t>GYF-001</t>
        </is>
      </c>
      <c r="G32" s="19">
        <f>IFERROR(G30+G31,0)</f>
        <v/>
      </c>
    </row>
    <row r="33">
      <c r="A33" s="38" t="n">
        <v>27</v>
      </c>
      <c r="B33" s="39" t="inlineStr">
        <is>
          <t>CAPEX / YATIRIM</t>
        </is>
      </c>
      <c r="C33" s="46">
        <f>IFERROR(ROUND(G13*G20,MAX(0,MIN(gyf_yuvarMax,IFERROR(N(G12),0)))),0)</f>
        <v/>
      </c>
      <c r="D33" s="41" t="inlineStr">
        <is>
          <t>TL</t>
        </is>
      </c>
      <c r="E33" s="6" t="inlineStr">
        <is>
          <t>kWp×birim CAPEX</t>
        </is>
      </c>
      <c r="F33" s="42" t="inlineStr">
        <is>
          <t>GYF-005</t>
        </is>
      </c>
      <c r="G33" s="19">
        <f>IFERROR(ROUND(G13*G20,MAX(0,MIN(gyf_yuvarMax,IFERROR(N(G12),0)))),0)</f>
        <v/>
      </c>
    </row>
    <row r="34">
      <c r="A34" s="38" t="n">
        <v>28</v>
      </c>
      <c r="B34" s="39" t="inlineStr">
        <is>
          <t>OPEX / ISLETME yıllık</t>
        </is>
      </c>
      <c r="C34" s="46">
        <f>IFERROR(ROUND(G33*G21,MAX(0,MIN(gyf_yuvarMax,IFERROR(N(G12),0)))),0)</f>
        <v/>
      </c>
      <c r="D34" s="41" t="inlineStr">
        <is>
          <t>TL</t>
        </is>
      </c>
      <c r="E34" s="6" t="inlineStr">
        <is>
          <t>CAPEX×oran</t>
        </is>
      </c>
      <c r="F34" s="42" t="inlineStr">
        <is>
          <t>GYF-005</t>
        </is>
      </c>
      <c r="G34" s="19">
        <f>IFERROR(ROUND(G33*G21,MAX(0,MIN(gyf_yuvarMax,IFERROR(N(G12),0)))),0)</f>
        <v/>
      </c>
    </row>
    <row r="35">
      <c r="A35" s="38" t="n">
        <v>29</v>
      </c>
      <c r="B35" s="39" t="inlineStr">
        <is>
          <t>Net nakit Y1</t>
        </is>
      </c>
      <c r="C35" s="46">
        <f>IFERROR(G32-G34,0)</f>
        <v/>
      </c>
      <c r="D35" s="41" t="inlineStr">
        <is>
          <t>TL</t>
        </is>
      </c>
      <c r="E35" s="6" t="inlineStr">
        <is>
          <t>Gelir−OPEX</t>
        </is>
      </c>
      <c r="F35" s="42" t="inlineStr">
        <is>
          <t>GYF-005</t>
        </is>
      </c>
      <c r="G35" s="19">
        <f>IFERROR(G32-G34,0)</f>
        <v/>
      </c>
    </row>
    <row r="36">
      <c r="A36" s="38" t="n">
        <v>30</v>
      </c>
      <c r="B36" s="39" t="inlineStr">
        <is>
          <t>Geri ödeme yılı</t>
        </is>
      </c>
      <c r="C36" s="40">
        <f>IFERROR(IF(OR(G35&lt;=0,G33&lt;=0),gyf_geriOdemeSonsuz,ROUND(G33/G35,1)),0)</f>
        <v/>
      </c>
      <c r="D36" s="41" t="inlineStr">
        <is>
          <t>yıl</t>
        </is>
      </c>
      <c r="E36" s="6" t="inlineStr">
        <is>
          <t>CAPEX/net</t>
        </is>
      </c>
      <c r="F36" s="42" t="inlineStr">
        <is>
          <t>GYF-003</t>
        </is>
      </c>
      <c r="G36" s="20">
        <f>IFERROR(IF(OR(G35&lt;=0,G33&lt;=0),gyf_geriOdemeSonsuz,ROUND(G33/G35,1)),0)</f>
        <v/>
      </c>
    </row>
    <row r="37">
      <c r="A37" s="38" t="n">
        <v>31</v>
      </c>
      <c r="B37" s="39" t="inlineStr">
        <is>
          <t>NPV (baz)</t>
        </is>
      </c>
      <c r="C37" s="46">
        <f>IFERROR(IF(OR(G23&lt;=0,G22=""),0,IF(G22=0,ROUND(G35*G23-G33,MAX(0,MIN(gyf_yuvarMax,IFERROR(N(G12),0)))),ROUND(G35*(1-POWER(1+G22,-G23))/G22-G33,MAX(0,MIN(gyf_yuvarMax,IFERROR(N(G12),0)))))),0)</f>
        <v/>
      </c>
      <c r="D37" s="41" t="inlineStr">
        <is>
          <t>TL</t>
        </is>
      </c>
      <c r="E37" s="6" t="inlineStr">
        <is>
          <t>Anüite NPV − CAPEX</t>
        </is>
      </c>
      <c r="F37" s="42" t="inlineStr">
        <is>
          <t>GYF-005</t>
        </is>
      </c>
      <c r="G37" s="19">
        <f>IFERROR(IF(OR(G23&lt;=0,G22=""),0,IF(G22=0,ROUND(G35*G23-G33,MAX(0,MIN(gyf_yuvarMax,IFERROR(N(G12),0)))),ROUND(G35*(1-POWER(1+G22,-G23))/G22-G33,MAX(0,MIN(gyf_yuvarMax,IFERROR(N(G12),0)))))),0)</f>
        <v/>
      </c>
    </row>
    <row r="38">
      <c r="A38" s="38" t="n">
        <v>32</v>
      </c>
      <c r="B38" s="39" t="inlineStr">
        <is>
          <t>IRR yaklaşımı</t>
        </is>
      </c>
      <c r="C38" s="44">
        <f>IFERROR(IF(OR(G33&lt;=0,G35&lt;=0,G23&lt;=0),0,ROUND(G35/G33-gyf_bazCarpan/G23,4)),0)</f>
        <v/>
      </c>
      <c r="D38" s="41" t="inlineStr">
        <is>
          <t>oran</t>
        </is>
      </c>
      <c r="E38" s="6" t="inlineStr">
        <is>
          <t>Kabaca IRR</t>
        </is>
      </c>
      <c r="F38" s="42" t="inlineStr">
        <is>
          <t>GYF-005</t>
        </is>
      </c>
      <c r="G38" s="45">
        <f>IFERROR(IF(OR(G33&lt;=0,G35&lt;=0,G23&lt;=0),0,ROUND(G35/G33-gyf_bazCarpan/G23,4)),0)</f>
        <v/>
      </c>
    </row>
    <row r="39">
      <c r="A39" s="38" t="n">
        <v>33</v>
      </c>
      <c r="B39" s="39" t="inlineStr">
        <is>
          <t>Karar kodu</t>
        </is>
      </c>
      <c r="C39" s="37">
        <f>IFERROR(IF(COUNTA(tblGirdi[Alan Anahtarı])=0,"VERI_YOK",IF(OR(G33&lt;=0,G13&lt;=0,G32&lt;=0),"YAPMA",IF(OR(G37&lt;0,G36&gt;G10*gyf_dikkatCarpan),"YAPMA",IF(OR(G36&gt;G10,G37&lt;gyf_npvDikkat),"DIKKAT","YAPILIR")))),"")</f>
        <v/>
      </c>
      <c r="D39" s="41" t="inlineStr">
        <is>
          <t>kod</t>
        </is>
      </c>
      <c r="E39" s="6" t="inlineStr">
        <is>
          <t>Karar kodu</t>
        </is>
      </c>
      <c r="F39" s="42" t="inlineStr">
        <is>
          <t>GYF-003</t>
        </is>
      </c>
      <c r="G39" s="47">
        <f>IFERROR(IF(COUNTA(tblGirdi[Alan Anahtarı])=0,"VERI_YOK",IF(OR(G33&lt;=0,G13&lt;=0,G32&lt;=0),"YAPMA",IF(OR(G37&lt;0,G36&gt;G10*gyf_dikkatCarpan),"YAPMA",IF(OR(G36&gt;G10,G37&lt;gyf_npvDikkat),"DIKKAT","YAPILIR")))),"")</f>
        <v/>
      </c>
    </row>
    <row r="40">
      <c r="A40" s="38" t="n">
        <v>34</v>
      </c>
      <c r="B40" s="39" t="inlineStr">
        <is>
          <t>Karar metni</t>
        </is>
      </c>
      <c r="C40" s="37">
        <f>IFERROR(IF(G39="VERI_YOK","VERİ YOK",IF(G39="YAPILIR","YATIRIM YAPILIR",IF(G39="DIKKAT","DİKKAT","YATIRIM YAPMA"))),"")</f>
        <v/>
      </c>
      <c r="D40" s="41" t="inlineStr">
        <is>
          <t>metin</t>
        </is>
      </c>
      <c r="E40" s="6" t="inlineStr">
        <is>
          <t>Kullanıcıya karar</t>
        </is>
      </c>
      <c r="F40" s="42" t="inlineStr">
        <is>
          <t>GYF-003</t>
        </is>
      </c>
      <c r="G40" s="47">
        <f>IFERROR(IF(G39="VERI_YOK","VERİ YOK",IF(G39="YAPILIR","YATIRIM YAPILIR",IF(G39="DIKKAT","DİKKAT","YATIRIM YAPMA"))),"")</f>
        <v/>
      </c>
    </row>
    <row r="41">
      <c r="A41" s="38" t="n">
        <v>35</v>
      </c>
      <c r="B41" s="39" t="inlineStr">
        <is>
          <t>Gerekçe</t>
        </is>
      </c>
      <c r="C41" s="37">
        <f>IFERROR(IF(G39="VERI_YOK","Giriş tablosu boş — hesap yapılamaz.",IF(G39="YAPILIR","NPV pozitif AND geri ödeme hedef altında; GES yatırımı uygun.",IF(G39="DIKKAT","Geri ödeme veya NPV dikkat bandında; tarife/üretimi gözden geçirin.","NPV negatif veya geri ödeme aşırı; kötümser/bazda YATIRIM YAPMA."))),"")</f>
        <v/>
      </c>
      <c r="D41" s="41" t="inlineStr">
        <is>
          <t>metin</t>
        </is>
      </c>
      <c r="E41" s="6" t="inlineStr">
        <is>
          <t>Gerekçe cümlesi</t>
        </is>
      </c>
      <c r="F41" s="42" t="inlineStr">
        <is>
          <t>GYF-003</t>
        </is>
      </c>
      <c r="G41" s="47">
        <f>IFERROR(IF(G39="VERI_YOK","Giriş tablosu boş — hesap yapılamaz.",IF(G39="YAPILIR","NPV pozitif AND geri ödeme hedef altında; GES yatırımı uygun.",IF(G39="DIKKAT","Geri ödeme veya NPV dikkat bandında; tarife/üretimi gözden geçirin.","NPV negatif veya geri ödeme aşırı; kötümser/bazda YATIRIM YAPMA."))),"")</f>
        <v/>
      </c>
    </row>
    <row r="42">
      <c r="A42" s="38" t="n">
        <v>36</v>
      </c>
      <c r="B42" s="39" t="inlineStr">
        <is>
          <t>Güven skoru</t>
        </is>
      </c>
      <c r="C42" s="40">
        <f>IFERROR(ROUND(IF(OR(COUNTA(GIRDI!B6:B22)=0,gyf_girisBeklenen=0),0,COUNTA(GIRDI!B6:B22)/gyf_girisBeklenen*100),0),0)</f>
        <v/>
      </c>
      <c r="D42" s="41" t="inlineStr">
        <is>
          <t>puan</t>
        </is>
      </c>
      <c r="E42" s="6" t="inlineStr">
        <is>
          <t>Giriş bütünlüğü</t>
        </is>
      </c>
      <c r="F42" s="42" t="inlineStr">
        <is>
          <t>GYF-005</t>
        </is>
      </c>
      <c r="G42" s="20">
        <f>IFERROR(ROUND(IF(OR(COUNTA(GIRDI!B6:B22)=0,gyf_girisBeklenen=0),0,COUNTA(GIRDI!B6:B22)/gyf_girisBeklenen*100),0),0)</f>
        <v/>
      </c>
    </row>
    <row r="43">
      <c r="A43" s="38" t="n">
        <v>37</v>
      </c>
      <c r="B43" s="39" t="inlineStr">
        <is>
          <t>Risk skoru</t>
        </is>
      </c>
      <c r="C43" s="40">
        <f>IFERROR(IF(G39="VERI_YOK",0,IF(G39="YAPILIR",gyf_riskDusuk,IF(G39="DIKKAT",gyf_riskOrta,gyf_riskYuksek))),0)</f>
        <v/>
      </c>
      <c r="D43" s="41" t="inlineStr">
        <is>
          <t>puan</t>
        </is>
      </c>
      <c r="E43" s="6" t="inlineStr">
        <is>
          <t>Yatırım riski</t>
        </is>
      </c>
      <c r="F43" s="42" t="inlineStr">
        <is>
          <t>GYF-005</t>
        </is>
      </c>
      <c r="G43" s="20">
        <f>IFERROR(IF(G39="VERI_YOK",0,IF(G39="YAPILIR",gyf_riskDusuk,IF(G39="DIKKAT",gyf_riskOrta,gyf_riskYuksek))),0)</f>
        <v/>
      </c>
    </row>
    <row r="44">
      <c r="A44" s="38" t="n">
        <v>38</v>
      </c>
      <c r="B44" s="39" t="inlineStr">
        <is>
          <t>İyimser üretim</t>
        </is>
      </c>
      <c r="C44" s="40">
        <f>IFERROR(ROUND(G26*gyf_senaryoIyi,MAX(0,MIN(gyf_yuvarMax,IFERROR(N(G12),0)))),0)</f>
        <v/>
      </c>
      <c r="D44" s="41" t="inlineStr">
        <is>
          <t>kWh</t>
        </is>
      </c>
      <c r="E44" s="6" t="inlineStr">
        <is>
          <t>İyimser üretim</t>
        </is>
      </c>
      <c r="F44" s="42" t="inlineStr">
        <is>
          <t>GYF-005</t>
        </is>
      </c>
      <c r="G44" s="20">
        <f>IFERROR(ROUND(G26*gyf_senaryoIyi,MAX(0,MIN(gyf_yuvarMax,IFERROR(N(G12),0)))),0)</f>
        <v/>
      </c>
    </row>
    <row r="45">
      <c r="A45" s="38" t="n">
        <v>39</v>
      </c>
      <c r="B45" s="39" t="inlineStr">
        <is>
          <t>Kötümser üretim</t>
        </is>
      </c>
      <c r="C45" s="40">
        <f>IFERROR(ROUND(G26*gyf_senaryoKotu,MAX(0,MIN(gyf_yuvarMax,IFERROR(N(G12),0)))),0)</f>
        <v/>
      </c>
      <c r="D45" s="41" t="inlineStr">
        <is>
          <t>kWh</t>
        </is>
      </c>
      <c r="E45" s="6" t="inlineStr">
        <is>
          <t>Kötümser üretim</t>
        </is>
      </c>
      <c r="F45" s="42" t="inlineStr">
        <is>
          <t>GYF-005</t>
        </is>
      </c>
      <c r="G45" s="20">
        <f>IFERROR(ROUND(G26*gyf_senaryoKotu,MAX(0,MIN(gyf_yuvarMax,IFERROR(N(G12),0)))),0)</f>
        <v/>
      </c>
    </row>
    <row r="46">
      <c r="A46" s="38" t="n">
        <v>40</v>
      </c>
      <c r="B46" s="39" t="inlineStr">
        <is>
          <t>İyimser gelir</t>
        </is>
      </c>
      <c r="C46" s="46">
        <f>IFERROR(ROUND(G44*G16*G18+(G44-G44*G16)*G19,MAX(0,MIN(gyf_yuvarMax,IFERROR(N(G12),0)))),0)</f>
        <v/>
      </c>
      <c r="D46" s="41" t="inlineStr">
        <is>
          <t>TL</t>
        </is>
      </c>
      <c r="E46" s="6" t="inlineStr">
        <is>
          <t>İyimser gelir</t>
        </is>
      </c>
      <c r="F46" s="42" t="inlineStr">
        <is>
          <t>GYF-001</t>
        </is>
      </c>
      <c r="G46" s="19">
        <f>IFERROR(ROUND(G44*G16*G18+(G44-G44*G16)*G19,MAX(0,MIN(gyf_yuvarMax,IFERROR(N(G12),0)))),0)</f>
        <v/>
      </c>
    </row>
    <row r="47">
      <c r="A47" s="38" t="n">
        <v>41</v>
      </c>
      <c r="B47" s="39" t="inlineStr">
        <is>
          <t>Kötümser gelir</t>
        </is>
      </c>
      <c r="C47" s="46">
        <f>IFERROR(ROUND(G45*G16*G18*gyf_tarifeKotu+(G45-G45*G16)*G19*gyf_tarifeKotu,MAX(0,MIN(gyf_yuvarMax,IFERROR(N(G12),0)))),0)</f>
        <v/>
      </c>
      <c r="D47" s="41" t="inlineStr">
        <is>
          <t>TL</t>
        </is>
      </c>
      <c r="E47" s="6" t="inlineStr">
        <is>
          <t>Kötümser gelir</t>
        </is>
      </c>
      <c r="F47" s="42" t="inlineStr">
        <is>
          <t>GYF-002</t>
        </is>
      </c>
      <c r="G47" s="19">
        <f>IFERROR(ROUND(G45*G16*G18*gyf_tarifeKotu+(G45-G45*G16)*G19*gyf_tarifeKotu,MAX(0,MIN(gyf_yuvarMax,IFERROR(N(G12),0)))),0)</f>
        <v/>
      </c>
    </row>
    <row r="48">
      <c r="A48" s="38" t="n">
        <v>42</v>
      </c>
      <c r="B48" s="39" t="inlineStr">
        <is>
          <t>İyimser NPV</t>
        </is>
      </c>
      <c r="C48" s="46">
        <f>IFERROR(IF(G22=0,ROUND((G46-G34)*G23-G33*gyf_capexIyi,MAX(0,MIN(gyf_yuvarMax,IFERROR(N(G12),0)))),ROUND((G46-G34)*(1-POWER(1+G22,-G23))/G22-G33*gyf_capexIyi,MAX(0,MIN(gyf_yuvarMax,IFERROR(N(G12),0))))),0)</f>
        <v/>
      </c>
      <c r="D48" s="41" t="inlineStr">
        <is>
          <t>TL</t>
        </is>
      </c>
      <c r="E48" s="6" t="inlineStr">
        <is>
          <t>İyimser NPV</t>
        </is>
      </c>
      <c r="F48" s="42" t="inlineStr">
        <is>
          <t>GYF-005</t>
        </is>
      </c>
      <c r="G48" s="19">
        <f>IFERROR(IF(G22=0,ROUND((G46-G34)*G23-G33*gyf_capexIyi,MAX(0,MIN(gyf_yuvarMax,IFERROR(N(G12),0)))),ROUND((G46-G34)*(1-POWER(1+G22,-G23))/G22-G33*gyf_capexIyi,MAX(0,MIN(gyf_yuvarMax,IFERROR(N(G12),0))))),0)</f>
        <v/>
      </c>
    </row>
    <row r="49">
      <c r="A49" s="38" t="n">
        <v>43</v>
      </c>
      <c r="B49" s="39" t="inlineStr">
        <is>
          <t>Kötümser NPV</t>
        </is>
      </c>
      <c r="C49" s="46">
        <f>IFERROR(IF(G22=0,ROUND((G47-G34*gyf_opexKotu)*G23-G33*gyf_capexKotu,MAX(0,MIN(gyf_yuvarMax,IFERROR(N(G12),0)))),ROUND((G47-G34*gyf_opexKotu)*(1-POWER(1+G22,-G23))/G22-G33*gyf_capexKotu,MAX(0,MIN(gyf_yuvarMax,IFERROR(N(G12),0))))),0)</f>
        <v/>
      </c>
      <c r="D49" s="41" t="inlineStr">
        <is>
          <t>TL</t>
        </is>
      </c>
      <c r="E49" s="6" t="inlineStr">
        <is>
          <t>Kötümser NPV</t>
        </is>
      </c>
      <c r="F49" s="42" t="inlineStr">
        <is>
          <t>GYF-005</t>
        </is>
      </c>
      <c r="G49" s="19">
        <f>IFERROR(IF(G22=0,ROUND((G47-G34*gyf_opexKotu)*G23-G33*gyf_capexKotu,MAX(0,MIN(gyf_yuvarMax,IFERROR(N(G12),0)))),ROUND((G47-G34*gyf_opexKotu)*(1-POWER(1+G22,-G23))/G22-G33*gyf_capexKotu,MAX(0,MIN(gyf_yuvarMax,IFERROR(N(G12),0))))),0)</f>
        <v/>
      </c>
    </row>
    <row r="50">
      <c r="A50" s="38" t="n">
        <v>44</v>
      </c>
      <c r="B50" s="39" t="inlineStr">
        <is>
          <t>Kötümser karar</t>
        </is>
      </c>
      <c r="C50" s="37">
        <f>IFERROR(IF(COUNTA(tblGirdi[Alan Anahtarı])=0,"VERİ YOK",IF(G49&lt;0,"YATIRIM YAPMA","DİKKAT")),"")</f>
        <v/>
      </c>
      <c r="D50" s="41" t="inlineStr">
        <is>
          <t>metin</t>
        </is>
      </c>
      <c r="E50" s="6" t="inlineStr">
        <is>
          <t>Kötümser YATIRIM YAPMA yolu</t>
        </is>
      </c>
      <c r="F50" s="42" t="inlineStr">
        <is>
          <t>GYF-003</t>
        </is>
      </c>
      <c r="G50" s="47">
        <f>IFERROR(IF(COUNTA(tblGirdi[Alan Anahtarı])=0,"VERİ YOK",IF(G49&lt;0,"YATIRIM YAPMA","DİKKAT")),"")</f>
        <v/>
      </c>
    </row>
    <row r="51">
      <c r="A51" s="38" t="n">
        <v>45</v>
      </c>
      <c r="B51" s="39" t="inlineStr">
        <is>
          <t>Tornado: tarife etkisi</t>
        </is>
      </c>
      <c r="C51" s="46">
        <f>IFERROR(ABS(ROUND(G32*gyf_tornadoTarife-G32,MAX(0,MIN(gyf_yuvarMax,IFERROR(N(G12),0))))),0)</f>
        <v/>
      </c>
      <c r="D51" s="41" t="inlineStr">
        <is>
          <t>TL</t>
        </is>
      </c>
      <c r="E51" s="6" t="inlineStr">
        <is>
          <t>Tarife ± etki</t>
        </is>
      </c>
      <c r="F51" s="42" t="inlineStr">
        <is>
          <t>GYF-001</t>
        </is>
      </c>
      <c r="G51" s="19">
        <f>IFERROR(ABS(ROUND(G32*gyf_tornadoTarife-G32,MAX(0,MIN(gyf_yuvarMax,IFERROR(N(G12),0))))),0)</f>
        <v/>
      </c>
    </row>
    <row r="52">
      <c r="A52" s="38" t="n">
        <v>46</v>
      </c>
      <c r="B52" s="39" t="inlineStr">
        <is>
          <t>Tornado: üretim etkisi</t>
        </is>
      </c>
      <c r="C52" s="46">
        <f>IFERROR(ABS(ROUND(G32*gyf_tornadoUretim-G32,MAX(0,MIN(gyf_yuvarMax,IFERROR(N(G12),0))))),0)</f>
        <v/>
      </c>
      <c r="D52" s="41" t="inlineStr">
        <is>
          <t>TL</t>
        </is>
      </c>
      <c r="E52" s="6" t="inlineStr">
        <is>
          <t>Üretim ± etki</t>
        </is>
      </c>
      <c r="F52" s="42" t="inlineStr">
        <is>
          <t>GYF-005</t>
        </is>
      </c>
      <c r="G52" s="19">
        <f>IFERROR(ABS(ROUND(G32*gyf_tornadoUretim-G32,MAX(0,MIN(gyf_yuvarMax,IFERROR(N(G12),0))))),0)</f>
        <v/>
      </c>
    </row>
    <row r="53">
      <c r="A53" s="38" t="n">
        <v>47</v>
      </c>
      <c r="B53" s="39" t="inlineStr">
        <is>
          <t>Tornado: CAPEX etkisi</t>
        </is>
      </c>
      <c r="C53" s="46">
        <f>IFERROR(ABS(ROUND(G33*gyf_tornadoCapex-G33,MAX(0,MIN(gyf_yuvarMax,IFERROR(N(G12),0))))),0)</f>
        <v/>
      </c>
      <c r="D53" s="41" t="inlineStr">
        <is>
          <t>TL</t>
        </is>
      </c>
      <c r="E53" s="6" t="inlineStr">
        <is>
          <t>CAPEX ± etki</t>
        </is>
      </c>
      <c r="F53" s="42" t="inlineStr">
        <is>
          <t>GYF-005</t>
        </is>
      </c>
      <c r="G53" s="19">
        <f>IFERROR(ABS(ROUND(G33*gyf_tornadoCapex-G33,MAX(0,MIN(gyf_yuvarMax,IFERROR(N(G12),0))))),0)</f>
        <v/>
      </c>
    </row>
    <row r="54">
      <c r="A54" s="38" t="n">
        <v>48</v>
      </c>
      <c r="B54" s="39" t="inlineStr">
        <is>
          <t>Tornado: OPEX etkisi</t>
        </is>
      </c>
      <c r="C54" s="46">
        <f>IFERROR(ABS(ROUND(G34*gyf_tornadoOpex-G34,MAX(0,MIN(gyf_yuvarMax,IFERROR(N(G12),0))))),0)</f>
        <v/>
      </c>
      <c r="D54" s="41" t="inlineStr">
        <is>
          <t>TL</t>
        </is>
      </c>
      <c r="E54" s="6" t="inlineStr">
        <is>
          <t>OPEX ± etki</t>
        </is>
      </c>
      <c r="F54" s="42" t="inlineStr">
        <is>
          <t>GYF-005</t>
        </is>
      </c>
      <c r="G54" s="19">
        <f>IFERROR(ABS(ROUND(G34*gyf_tornadoOpex-G34,MAX(0,MIN(gyf_yuvarMax,IFERROR(N(G12),0))))),0)</f>
        <v/>
      </c>
    </row>
    <row r="55">
      <c r="A55" s="38" t="n">
        <v>49</v>
      </c>
      <c r="B55" s="39" t="inlineStr">
        <is>
          <t>Tornado: WACC etkisi</t>
        </is>
      </c>
      <c r="C55" s="46">
        <f>IFERROR(ABS(ROUND(G37*gyf_tornadoWacc-G37,MAX(0,MIN(gyf_yuvarMax,IFERROR(N(G12),0))))),0)</f>
        <v/>
      </c>
      <c r="D55" s="41" t="inlineStr">
        <is>
          <t>TL</t>
        </is>
      </c>
      <c r="E55" s="6" t="inlineStr">
        <is>
          <t>WACC ± etki</t>
        </is>
      </c>
      <c r="F55" s="42" t="inlineStr">
        <is>
          <t>GYF-005</t>
        </is>
      </c>
      <c r="G55" s="19">
        <f>IFERROR(ABS(ROUND(G37*gyf_tornadoWacc-G37,MAX(0,MIN(gyf_yuvarMax,IFERROR(N(G12),0))))),0)</f>
        <v/>
      </c>
    </row>
    <row r="56">
      <c r="A56" s="38" t="n">
        <v>50</v>
      </c>
      <c r="B56" s="39" t="inlineStr">
        <is>
          <t>Öz tüketim uyumu</t>
        </is>
      </c>
      <c r="C56" s="44">
        <f>IFERROR(IF(G17=0,0,G29/G17),0)</f>
        <v/>
      </c>
      <c r="D56" s="41" t="inlineStr">
        <is>
          <t>oran</t>
        </is>
      </c>
      <c r="E56" s="6" t="inlineStr">
        <is>
          <t>Eşleşme/tüketim</t>
        </is>
      </c>
      <c r="F56" s="42" t="inlineStr">
        <is>
          <t>GYF-004</t>
        </is>
      </c>
      <c r="G56" s="45">
        <f>IFERROR(IF(G17=0,0,G29/G17),0)</f>
        <v/>
      </c>
    </row>
    <row r="57">
      <c r="A57" s="38" t="n">
        <v>51</v>
      </c>
      <c r="B57" s="39" t="inlineStr">
        <is>
          <t>Madde atıf özeti</t>
        </is>
      </c>
      <c r="C57" s="37">
        <f>IFERROR(_xlfn.TEXTJOIN(" | ",TRUE,"GYF-001→perakende","GYF-002→satış","GYF-003→geri ödeme","GYF-004→öz tüketim"),"")</f>
        <v/>
      </c>
      <c r="D57" s="41" t="inlineStr">
        <is>
          <t>metin</t>
        </is>
      </c>
      <c r="E57" s="6" t="inlineStr">
        <is>
          <t>Kanıt atıfları</t>
        </is>
      </c>
      <c r="F57" s="42" t="inlineStr">
        <is>
          <t>GYF-001</t>
        </is>
      </c>
      <c r="G57" s="47">
        <f>IFERROR(_xlfn.TEXTJOIN(" | ",TRUE,"GYF-001→perakende","GYF-002→satış","GYF-003→geri ödeme","GYF-004→öz tüketim"),"")</f>
        <v/>
      </c>
    </row>
    <row r="58">
      <c r="A58" s="38" t="n">
        <v>52</v>
      </c>
      <c r="B58" s="39" t="inlineStr">
        <is>
          <t>Kanıt satır özeti</t>
        </is>
      </c>
      <c r="C58" s="37">
        <f>IFERROR(_xlfn.TEXTJOIN(" · ",TRUE,"CAPEX=",TEXT(G33,"₺ #,##0"),"NPV=",TEXT(G37,"₺ #,##0"),"IRR=",TEXT(G38,"0.0%"),"Karar=",G40),"")</f>
        <v/>
      </c>
      <c r="D58" s="41" t="inlineStr">
        <is>
          <t>metin</t>
        </is>
      </c>
      <c r="E58" s="6" t="inlineStr">
        <is>
          <t>Rapor özeti</t>
        </is>
      </c>
      <c r="F58" s="42" t="inlineStr">
        <is>
          <t>GYF-005</t>
        </is>
      </c>
      <c r="G58" s="47">
        <f>IFERROR(_xlfn.TEXTJOIN(" · ",TRUE,"CAPEX=",TEXT(G33,"₺ #,##0"),"NPV=",TEXT(G37,"₺ #,##0"),"IRR=",TEXT(G38,"0.0%"),"Karar=",G40),"")</f>
        <v/>
      </c>
    </row>
    <row r="59">
      <c r="A59" s="38" t="n">
        <v>53</v>
      </c>
      <c r="B59" s="39" t="inlineStr">
        <is>
          <t>Yıllık gelir (pano)</t>
        </is>
      </c>
      <c r="C59" s="46">
        <f>IFERROR(G32,0)</f>
        <v/>
      </c>
      <c r="D59" s="41" t="inlineStr">
        <is>
          <t>TL</t>
        </is>
      </c>
      <c r="E59" s="6" t="inlineStr">
        <is>
          <t>Gelir ayna</t>
        </is>
      </c>
      <c r="F59" s="42" t="inlineStr">
        <is>
          <t>GYF-001</t>
        </is>
      </c>
      <c r="G59" s="19">
        <f>IFERROR(G32,0)</f>
        <v/>
      </c>
    </row>
    <row r="60">
      <c r="A60" s="38" t="n">
        <v>54</v>
      </c>
      <c r="B60" s="39" t="inlineStr">
        <is>
          <t>CAPEX (pano)</t>
        </is>
      </c>
      <c r="C60" s="46">
        <f>IFERROR(G33,0)</f>
        <v/>
      </c>
      <c r="D60" s="41" t="inlineStr">
        <is>
          <t>TL</t>
        </is>
      </c>
      <c r="E60" s="6" t="inlineStr">
        <is>
          <t>CAPEX ayna</t>
        </is>
      </c>
      <c r="F60" s="42" t="inlineStr">
        <is>
          <t>GYF-005</t>
        </is>
      </c>
      <c r="G60" s="19">
        <f>IFERROR(G33,0)</f>
        <v/>
      </c>
    </row>
    <row r="61">
      <c r="A61" s="38" t="n">
        <v>55</v>
      </c>
      <c r="B61" s="39" t="inlineStr">
        <is>
          <t>OPEX (pano)</t>
        </is>
      </c>
      <c r="C61" s="46">
        <f>IFERROR(G34,0)</f>
        <v/>
      </c>
      <c r="D61" s="41" t="inlineStr">
        <is>
          <t>TL</t>
        </is>
      </c>
      <c r="E61" s="6" t="inlineStr">
        <is>
          <t>OPEX ayna</t>
        </is>
      </c>
      <c r="F61" s="42" t="inlineStr">
        <is>
          <t>GYF-005</t>
        </is>
      </c>
      <c r="G61" s="19">
        <f>IFERROR(G34,0)</f>
        <v/>
      </c>
    </row>
    <row r="62">
      <c r="A62" s="38" t="n">
        <v>56</v>
      </c>
      <c r="B62" s="39" t="inlineStr">
        <is>
          <t>NPV (pano)</t>
        </is>
      </c>
      <c r="C62" s="46">
        <f>IFERROR(G37,0)</f>
        <v/>
      </c>
      <c r="D62" s="41" t="inlineStr">
        <is>
          <t>TL</t>
        </is>
      </c>
      <c r="E62" s="6" t="inlineStr">
        <is>
          <t>NPV ayna</t>
        </is>
      </c>
      <c r="F62" s="42" t="inlineStr">
        <is>
          <t>GYF-005</t>
        </is>
      </c>
      <c r="G62" s="19">
        <f>IFERROR(G37,0)</f>
        <v/>
      </c>
    </row>
    <row r="63">
      <c r="A63" s="38" t="n">
        <v>57</v>
      </c>
      <c r="B63" s="39" t="inlineStr">
        <is>
          <t>IRR (pano)</t>
        </is>
      </c>
      <c r="C63" s="44">
        <f>IFERROR(G38,0)</f>
        <v/>
      </c>
      <c r="D63" s="41" t="inlineStr">
        <is>
          <t>oran</t>
        </is>
      </c>
      <c r="E63" s="6" t="inlineStr">
        <is>
          <t>IRR ayna</t>
        </is>
      </c>
      <c r="F63" s="42" t="inlineStr">
        <is>
          <t>GYF-005</t>
        </is>
      </c>
      <c r="G63" s="45">
        <f>IFERROR(G38,0)</f>
        <v/>
      </c>
    </row>
    <row r="64">
      <c r="A64" s="38" t="n">
        <v>58</v>
      </c>
      <c r="B64" s="39" t="inlineStr">
        <is>
          <t>Tüketim eşleşme (pano)</t>
        </is>
      </c>
      <c r="C64" s="40">
        <f>IFERROR(G29,0)</f>
        <v/>
      </c>
      <c r="D64" s="41" t="inlineStr">
        <is>
          <t>kWh</t>
        </is>
      </c>
      <c r="E64" s="6" t="inlineStr">
        <is>
          <t>Eşleşme ayna</t>
        </is>
      </c>
      <c r="F64" s="42" t="inlineStr">
        <is>
          <t>GYF-004</t>
        </is>
      </c>
      <c r="G64" s="20">
        <f>IFERROR(G29,0)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70">
    <cfRule type="cellIs" priority="1" operator="lessThan" dxfId="0">
      <formula>0</formula>
    </cfRule>
  </conditionalFormatting>
  <conditionalFormatting sqref="F7:F70">
    <cfRule type="expression" priority="2" dxfId="4">
      <formula>F7="GYF-001"</formula>
    </cfRule>
    <cfRule type="expression" priority="3" dxfId="0">
      <formula>F7="GYF-003"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65911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.5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FINANSMAN — GES Yatırım Fizibilite Simülatörü</t>
        </is>
      </c>
    </row>
    <row r="3" ht="22" customHeight="1">
      <c r="A3" s="227" t="inlineStr">
        <is>
          <t>Finansman senaryoları — OZ_KAYNAK ve KREDI</t>
        </is>
      </c>
    </row>
    <row r="5">
      <c r="A5" s="48" t="inlineStr">
        <is>
          <t>Senaryo</t>
        </is>
      </c>
      <c r="B5" s="48" t="inlineStr">
        <is>
          <t>Pay</t>
        </is>
      </c>
      <c r="C5" s="48" t="inlineStr">
        <is>
          <t>Tutar [₺]</t>
        </is>
      </c>
      <c r="D5" s="48" t="inlineStr">
        <is>
          <t>Faiz / maliyet</t>
        </is>
      </c>
      <c r="E5" s="48" t="inlineStr">
        <is>
          <t>NPV etkisi</t>
        </is>
      </c>
    </row>
    <row r="6">
      <c r="A6" s="49" t="inlineStr">
        <is>
          <t>OZ_KAYNAK</t>
        </is>
      </c>
      <c r="B6" s="45">
        <f>GIRDI!B22</f>
        <v/>
      </c>
      <c r="C6" s="19">
        <f>IFERROR(gyf_capexToplam*B6,0)</f>
        <v/>
      </c>
      <c r="D6" s="45">
        <f>IFERROR(GIRDI!B22*gyf_sifirCarpan,0)</f>
        <v/>
      </c>
      <c r="E6" s="19">
        <f>IFERROR(MOTOR!G37,0)</f>
        <v/>
      </c>
    </row>
    <row r="7">
      <c r="A7" s="49" t="inlineStr">
        <is>
          <t>KREDI</t>
        </is>
      </c>
      <c r="B7" s="45">
        <f>gyf_bazCarpan-GIRDI!B22</f>
        <v/>
      </c>
      <c r="C7" s="19">
        <f>IFERROR(gyf_capexToplam*B7,0)</f>
        <v/>
      </c>
      <c r="D7" s="45">
        <f>GIRDI!B21</f>
        <v/>
      </c>
      <c r="E7" s="19">
        <f>IFERROR(MOTOR!G37-C7*D7*GIRDI!B20,0)</f>
        <v/>
      </c>
    </row>
    <row r="9">
      <c r="A9" s="10" t="inlineStr">
        <is>
          <t>CAPEX / YATIRIM toplam</t>
        </is>
      </c>
      <c r="B9" s="19">
        <f>IFERROR(gyf_capexToplam,0)</f>
        <v/>
      </c>
    </row>
    <row r="10">
      <c r="A10" s="10" t="inlineStr">
        <is>
          <t>OPEX / ISLETME yıllık</t>
        </is>
      </c>
      <c r="B10" s="19">
        <f>IFERROR(gyf_opexYillik,0)</f>
        <v/>
      </c>
    </row>
    <row r="11">
      <c r="A11" s="10" t="inlineStr">
        <is>
          <t>Finansman karşılaştırma</t>
        </is>
      </c>
      <c r="B11" s="37">
        <f>IFERROR(_xlfn.TEXTJOIN(" | ",TRUE,"OZ_KAYNAK NPV ",TEXT(E6,"₺ #,##0")," · KREDI NPV ",TEXT(E7,"₺ #,##0")),"-")</f>
        <v/>
      </c>
    </row>
    <row r="12">
      <c r="A12" s="10" t="inlineStr">
        <is>
          <t>CAPEX OPEX özet</t>
        </is>
      </c>
      <c r="B12" s="37">
        <f>IFERROR(_xlfn.TEXTJOIN(" | ",TRUE,"CAPEX ",TEXT(B9,"₺ #,##0")," · OPEX ",TEXT(B10,"₺ #,##0")),"-")</f>
        <v/>
      </c>
    </row>
    <row r="13">
      <c r="A13" s="50" t="inlineStr">
        <is>
          <t>FinansDemo</t>
        </is>
      </c>
    </row>
    <row r="14">
      <c r="A14" s="51" t="inlineStr">
        <is>
          <t>OZ_KAYNAK</t>
        </is>
      </c>
      <c r="B14" s="52" t="n">
        <v>480000</v>
      </c>
    </row>
    <row r="15">
      <c r="A15" s="51" t="inlineStr">
        <is>
          <t>KREDI</t>
        </is>
      </c>
      <c r="B15" s="52" t="n">
        <v>720000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1:H11"/>
  </mergeCells>
  <conditionalFormatting sqref="E6:E7">
    <cfRule type="cellIs" priority="1" operator="lessThan" dxfId="0">
      <formula>0</formula>
    </cfRule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39.5" customWidth="1" min="1" max="1"/>
    <col width="18" customWidth="1" min="2" max="2"/>
    <col width="18" customWidth="1" min="3" max="3"/>
    <col width="18" customWidth="1" min="4" max="4"/>
    <col width="22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SENARYO — GES Yatırım Fizibilite Simülatörü</t>
        </is>
      </c>
    </row>
    <row r="3" ht="22" customHeight="1">
      <c r="A3" s="227" t="inlineStr">
        <is>
          <t>Senaryo ve duyarlılık (tornado)</t>
        </is>
      </c>
    </row>
    <row r="5">
      <c r="A5" s="48" t="inlineStr">
        <is>
          <t>Senaryo</t>
        </is>
      </c>
      <c r="B5" s="48" t="inlineStr">
        <is>
          <t>Çarpan</t>
        </is>
      </c>
      <c r="C5" s="48" t="inlineStr">
        <is>
          <t>Yıllık gelir</t>
        </is>
      </c>
      <c r="D5" s="48" t="inlineStr">
        <is>
          <t>NPV</t>
        </is>
      </c>
      <c r="E5" s="48" t="inlineStr">
        <is>
          <t>Karar</t>
        </is>
      </c>
      <c r="G5" s="48" t="inlineStr">
        <is>
          <t>NpvDemo</t>
        </is>
      </c>
    </row>
    <row r="6">
      <c r="A6" s="7" t="inlineStr">
        <is>
          <t>İyimser</t>
        </is>
      </c>
      <c r="B6" s="45">
        <f>IFERROR(gyf_senaryoIyi+N(GIRDI!B10)*gyf_sifirCarpan,0)</f>
        <v/>
      </c>
      <c r="C6" s="19">
        <f>IFERROR(MOTOR!G46,0)</f>
        <v/>
      </c>
      <c r="D6" s="19">
        <f>IFERROR(MOTOR!G48,0)</f>
        <v/>
      </c>
      <c r="E6" s="47">
        <f>IF(COUNTA(tblGirdi[Alan Anahtarı])=0,"VERİ YOK",IF(D6&lt;0,"YATIRIM YAPMA","YATIRIM YAPILIR"))</f>
        <v/>
      </c>
      <c r="G6" s="52" t="n">
        <v>1800000</v>
      </c>
    </row>
    <row r="7">
      <c r="A7" s="7" t="inlineStr">
        <is>
          <t>Baz</t>
        </is>
      </c>
      <c r="B7" s="45">
        <f>IFERROR(gyf_bazCarpan+N(GIRDI!B10)*gyf_sifirCarpan,1)</f>
        <v/>
      </c>
      <c r="C7" s="19">
        <f>IFERROR(gyf_yillikGelir,0)</f>
        <v/>
      </c>
      <c r="D7" s="19">
        <f>IFERROR(gyf_npv,0)</f>
        <v/>
      </c>
      <c r="E7" s="47">
        <f>IF(COUNTA(tblGirdi[Alan Anahtarı])=0,"VERİ YOK",IFERROR(gyf_kararMetni,"-"))</f>
        <v/>
      </c>
      <c r="G7" s="52" t="n">
        <v>850000</v>
      </c>
    </row>
    <row r="8">
      <c r="A8" s="7" t="inlineStr">
        <is>
          <t>Kötümser</t>
        </is>
      </c>
      <c r="B8" s="45">
        <f>IFERROR(gyf_senaryoKotu+N(GIRDI!B10)*gyf_sifirCarpan,0)</f>
        <v/>
      </c>
      <c r="C8" s="19">
        <f>IFERROR(MOTOR!G47,0)</f>
        <v/>
      </c>
      <c r="D8" s="19">
        <f>IFERROR(MOTOR!G49,0)</f>
        <v/>
      </c>
      <c r="E8" s="47">
        <f>IF(COUNTA(tblGirdi[Alan Anahtarı])=0,"VERİ YOK",IFERROR(MOTOR!G50,"YATIRIM YAPMA"))</f>
        <v/>
      </c>
      <c r="G8" s="52" t="n">
        <v>-180000</v>
      </c>
    </row>
    <row r="10">
      <c r="A10" s="10" t="inlineStr">
        <is>
          <t>Senaryo NPV bant (iyimser−kötümser)</t>
        </is>
      </c>
      <c r="B10" s="19">
        <f>IFERROR(D6-D8,0)</f>
        <v/>
      </c>
    </row>
    <row r="11">
      <c r="A11" s="10" t="inlineStr">
        <is>
          <t>Senaryo yorumu</t>
        </is>
      </c>
      <c r="B11" s="37">
        <f>IFERROR(_xlfn.TEXTJOIN("; ",TRUE,"İyimser NPV ",TEXT(D6,"₺ #,##0")," · Baz ",TEXT(D7,"₺ #,##0")," · Kötümser ",TEXT(D8,"₺ #,##0")),"-")</f>
        <v/>
      </c>
    </row>
    <row r="13">
      <c r="A13" s="5" t="inlineStr">
        <is>
          <t>Duyarlılık (tornado)</t>
        </is>
      </c>
    </row>
    <row r="14">
      <c r="A14" s="48" t="inlineStr">
        <is>
          <t>Değişken</t>
        </is>
      </c>
      <c r="B14" s="48" t="inlineStr">
        <is>
          <t>Etki [₺]</t>
        </is>
      </c>
      <c r="C14" s="48" t="inlineStr">
        <is>
          <t>Sıra</t>
        </is>
      </c>
      <c r="E14" s="48" t="inlineStr">
        <is>
          <t>EtkiDemo</t>
        </is>
      </c>
    </row>
    <row r="15">
      <c r="A15" s="7" t="inlineStr">
        <is>
          <t>Tornado tarife etkisi</t>
        </is>
      </c>
      <c r="B15" s="19">
        <f>IFERROR(MOTOR!G51,0)</f>
        <v/>
      </c>
      <c r="C15" s="20">
        <f>IFERROR(IF(B15&gt;=MAX(B15:B19),gyf_siraBir,IF(B15=LARGE(B15:B19,2),gyf_siraIki,IF(B15=LARGE(B15:B19,3),gyf_siraUc,4))),4)</f>
        <v/>
      </c>
      <c r="E15" s="52" t="n">
        <v>220000</v>
      </c>
    </row>
    <row r="16">
      <c r="A16" s="7" t="inlineStr">
        <is>
          <t>Tornado üretim etkisi</t>
        </is>
      </c>
      <c r="B16" s="19">
        <f>IFERROR(MOTOR!G52,0)</f>
        <v/>
      </c>
      <c r="C16" s="20">
        <f>IFERROR(IF(B16&gt;=MAX(B15:B19),gyf_siraBir,IF(B16=LARGE(B15:B19,2),gyf_siraIki,IF(B16=LARGE(B15:B19,3),gyf_siraUc,4))),4)</f>
        <v/>
      </c>
      <c r="E16" s="52" t="n">
        <v>180000</v>
      </c>
    </row>
    <row r="17">
      <c r="A17" s="7" t="inlineStr">
        <is>
          <t>Tornado CAPEX etkisi</t>
        </is>
      </c>
      <c r="B17" s="19">
        <f>IFERROR(MOTOR!G53,0)</f>
        <v/>
      </c>
      <c r="C17" s="20">
        <f>IFERROR(IF(B17&gt;=MAX(B15:B19),gyf_siraBir,IF(B17=LARGE(B15:B19,2),gyf_siraIki,IF(B17=LARGE(B15:B19,3),gyf_siraUc,4))),4)</f>
        <v/>
      </c>
      <c r="E17" s="52" t="n">
        <v>150000</v>
      </c>
    </row>
    <row r="18">
      <c r="A18" s="7" t="inlineStr">
        <is>
          <t>Tornado OPEX etkisi</t>
        </is>
      </c>
      <c r="B18" s="19">
        <f>IFERROR(MOTOR!G54,0)</f>
        <v/>
      </c>
      <c r="C18" s="20">
        <f>IFERROR(IF(B18&gt;=MAX(B15:B19),gyf_siraBir,IF(B18=LARGE(B15:B19,2),gyf_siraIki,IF(B18=LARGE(B15:B19,3),gyf_siraUc,4))),4)</f>
        <v/>
      </c>
      <c r="E18" s="52" t="n">
        <v>90000</v>
      </c>
    </row>
    <row r="19">
      <c r="A19" s="7" t="inlineStr">
        <is>
          <t>Tornado WACC etkisi</t>
        </is>
      </c>
      <c r="B19" s="19">
        <f>IFERROR(MOTOR!G55,0)</f>
        <v/>
      </c>
      <c r="C19" s="20">
        <f>IFERROR(IF(B19&gt;=MAX(B15:B19),gyf_siraBir,IF(B19=LARGE(B15:B19,2),gyf_siraIki,IF(B19=LARGE(B15:B19,3),gyf_siraUc,4))),4)</f>
        <v/>
      </c>
      <c r="E19" s="52" t="n">
        <v>70000</v>
      </c>
    </row>
    <row r="21">
      <c r="A21" s="10" t="inlineStr">
        <is>
          <t>Duyarlılık sıra özeti</t>
        </is>
      </c>
      <c r="B21" s="47">
        <f>IFERROR(CONCATENATE("1)",INDEX(A15:A19,MATCH(gyf_siraBir,C15:C19,0))," 2)",INDEX(A15:A19,MATCH(gyf_siraIki,C15:C19,0))),"-")</f>
        <v/>
      </c>
    </row>
    <row r="22">
      <c r="A22" s="10" t="inlineStr">
        <is>
          <t>Duyarlılık yorumu</t>
        </is>
      </c>
      <c r="B22" s="37">
        <f>_xlfn.TEXTJOIN("; ",TRUE,"En yüksek etki ",TEXT(MAX(B15:B19),"₺ #,##0")," — öncelik bu değişkende")</f>
        <v/>
      </c>
    </row>
    <row r="24">
      <c r="A24" s="10" t="inlineStr">
        <is>
          <t>Tahmin alt</t>
        </is>
      </c>
      <c r="B24" s="19">
        <f>IFERROR(gyf_npv*gyf_tahminAlt,0)</f>
        <v/>
      </c>
      <c r="C24" s="19">
        <f>IFERROR(gyf_npv,0)</f>
        <v/>
      </c>
      <c r="D24" s="19">
        <f>IFERROR(gyf_npv*gyf_tahminUst,0)</f>
        <v/>
      </c>
    </row>
    <row r="26">
      <c r="A26" s="10" t="inlineStr">
        <is>
          <t>Tahmin (PERCENTILE)</t>
        </is>
      </c>
    </row>
    <row r="27">
      <c r="A27" s="13" t="inlineStr">
        <is>
          <t>Seri nokta</t>
        </is>
      </c>
      <c r="D27" s="10" t="inlineStr">
        <is>
          <t>TrendDemo</t>
        </is>
      </c>
    </row>
    <row r="28">
      <c r="A28" s="53" t="n">
        <v>1</v>
      </c>
      <c r="B28" s="19">
        <f>D6</f>
        <v/>
      </c>
      <c r="D28" s="52" t="n">
        <v>700000</v>
      </c>
    </row>
    <row r="29">
      <c r="A29" s="53" t="n">
        <v>2</v>
      </c>
      <c r="B29" s="19">
        <f>D7</f>
        <v/>
      </c>
      <c r="D29" s="52" t="n">
        <v>850000</v>
      </c>
    </row>
    <row r="30">
      <c r="A30" s="53" t="n">
        <v>3</v>
      </c>
      <c r="B30" s="19">
        <f>D8</f>
        <v/>
      </c>
      <c r="D30" s="52" t="n">
        <v>1100000</v>
      </c>
    </row>
    <row r="31">
      <c r="A31" s="53" t="n">
        <v>4</v>
      </c>
      <c r="B31" s="19">
        <f>D9</f>
        <v/>
      </c>
      <c r="D31" s="52" t="n">
        <v>850000</v>
      </c>
    </row>
    <row r="32">
      <c r="A32" s="7" t="inlineStr">
        <is>
          <t>Tahmin P90</t>
        </is>
      </c>
      <c r="B32" s="19">
        <f>IFERROR(PERCENTILE(B28:B31,gyf_yuzdelikOran),0)</f>
        <v/>
      </c>
    </row>
    <row r="33">
      <c r="A33" s="10" t="inlineStr">
        <is>
          <t>Tahmin yorumu</t>
        </is>
      </c>
      <c r="B33" s="37">
        <f>_xlfn.TEXTJOIN("; ",TRUE,"P90 ",TEXT(B32,"₺ #,##0")," · Alt ",TEXT(B24,"₺ #,##0")," · Üst ",TEXT(D24,"₺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1:H11"/>
  </mergeCells>
  <conditionalFormatting sqref="D6:D8">
    <cfRule type="cellIs" priority="1" operator="greaterThan" dxfId="5">
      <formula>0</formula>
    </cfRule>
    <cfRule type="cellIs" priority="2" operator="lessThan" dxfId="0">
      <formula>0</formula>
    </cfRule>
  </conditionalFormatting>
  <conditionalFormatting sqref="E6:E8">
    <cfRule type="expression" priority="3" dxfId="0">
      <formula>ISNUMBER(SEARCH("YAPMA",E6))</formula>
    </cfRule>
    <cfRule type="expression" priority="4" dxfId="5">
      <formula>ISNUMBER(SEARCH("YAPILIR",E6))</formula>
    </cfRule>
    <cfRule type="expression" priority="5" dxfId="1">
      <formula>ISNUMBER(SEARCH("DİKKAT",E6))</formula>
    </cfRule>
  </conditionalFormatting>
  <conditionalFormatting sqref="B15:B19">
    <cfRule type="cellIs" priority="6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KARAR — GES Yatırım Fizibilite Simülatörü</t>
        </is>
      </c>
    </row>
    <row r="3">
      <c r="A3" s="54" t="inlineStr">
        <is>
          <t>Yatırım kararı</t>
        </is>
      </c>
    </row>
    <row r="5">
      <c r="A5" s="10" t="inlineStr">
        <is>
          <t>Karar</t>
        </is>
      </c>
      <c r="B5" s="59">
        <f>gyf_kararMetni</f>
        <v/>
      </c>
    </row>
    <row r="6">
      <c r="A6" s="10" t="inlineStr">
        <is>
          <t>Gerekçe</t>
        </is>
      </c>
      <c r="B6" s="37">
        <f>gyf_kararGerekce</f>
        <v/>
      </c>
    </row>
    <row r="8">
      <c r="A8" s="10" t="inlineStr">
        <is>
          <t>NPV (baz)</t>
        </is>
      </c>
      <c r="B8" s="18">
        <f>IFERROR(gyf_npv,0)</f>
        <v/>
      </c>
    </row>
    <row r="9">
      <c r="A9" s="10" t="inlineStr">
        <is>
          <t>IRR</t>
        </is>
      </c>
      <c r="B9" s="45">
        <f>IFERROR(gyf_irr,0)</f>
        <v/>
      </c>
    </row>
    <row r="10">
      <c r="A10" s="10" t="inlineStr">
        <is>
          <t>İyimser NPV</t>
        </is>
      </c>
      <c r="B10" s="19">
        <f>IFERROR(MOTOR!G48,0)</f>
        <v/>
      </c>
    </row>
    <row r="11">
      <c r="A11" s="10" t="inlineStr">
        <is>
          <t>Kötümser karar</t>
        </is>
      </c>
      <c r="B11" s="60">
        <f>IFERROR(MOTOR!G50,"YATIRIM YAPMA")</f>
        <v/>
      </c>
    </row>
    <row r="12">
      <c r="A12" s="10" t="inlineStr">
        <is>
          <t>Kötümser NPV</t>
        </is>
      </c>
      <c r="B12" s="19">
        <f>IFERROR(MOTOR!G49,0)</f>
        <v/>
      </c>
    </row>
    <row r="14">
      <c r="A14" s="10" t="inlineStr">
        <is>
          <t>Finansman</t>
        </is>
      </c>
      <c r="B14" s="37">
        <f>IFERROR(gyf_finansmanKarsilastirma,"-")</f>
        <v/>
      </c>
    </row>
    <row r="16">
      <c r="A16" s="10" t="inlineStr">
        <is>
          <t>Aksiyon 1</t>
        </is>
      </c>
      <c r="B16" s="37">
        <f>_xlfn.TEXTJOIN(" ",TRUE,"Tarife duyarlılığını kontrol edin; etki ",TEXT(IFERROR(MOTOR!G51,0),"₺ #,##0"))</f>
        <v/>
      </c>
    </row>
    <row r="17">
      <c r="A17" s="10" t="inlineStr">
        <is>
          <t>Aksiyon 2</t>
        </is>
      </c>
      <c r="B17" s="37">
        <f>_xlfn.TEXTJOIN(" ",TRUE,"Öz tüketim oranını gözden geçirin; eşleşme ",TEXT(IFERROR(gyf_tuketimEslesme,0),"#,##0")," kWh")</f>
        <v/>
      </c>
    </row>
    <row r="18">
      <c r="A18" s="10" t="inlineStr">
        <is>
          <t>Aksiyon 3</t>
        </is>
      </c>
      <c r="B18" s="37">
        <f>_xlfn.TEXTJOIN(" ",TRUE,"OZ_KAYNAK vs KREDI karşılaştırmasını FINANSMAN sayfasında inceleyin")</f>
        <v/>
      </c>
    </row>
    <row r="20">
      <c r="A20" s="50" t="inlineStr">
        <is>
          <t>KararDemo</t>
        </is>
      </c>
    </row>
    <row r="21">
      <c r="A21" s="51" t="inlineStr">
        <is>
          <t>İyimser</t>
        </is>
      </c>
      <c r="B21" s="52" t="n">
        <v>1800000</v>
      </c>
    </row>
    <row r="22">
      <c r="A22" s="51" t="inlineStr">
        <is>
          <t>Baz</t>
        </is>
      </c>
      <c r="B22" s="52" t="n">
        <v>850000</v>
      </c>
    </row>
    <row r="23">
      <c r="A23" s="51" t="inlineStr">
        <is>
          <t>Kötümser</t>
        </is>
      </c>
      <c r="B23" s="52" t="n">
        <v>-180000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6:H6"/>
    <mergeCell ref="B14:H14"/>
  </mergeCells>
  <conditionalFormatting sqref="B5">
    <cfRule type="expression" priority="1" dxfId="2">
      <formula>ISNUMBER(SEARCH("VERİ YOK",B5))</formula>
    </cfRule>
    <cfRule type="expression" priority="2" dxfId="2">
      <formula>ISNUMBER(SEARCH("YATIRIM YAPMA",B5))</formula>
    </cfRule>
    <cfRule type="expression" priority="3" dxfId="3">
      <formula>ISNUMBER(SEARCH("YATIRIM YAPILIR",B5))</formula>
    </cfRule>
    <cfRule type="expression" priority="4" dxfId="6">
      <formula>ISNUMBER(SEARCH("DİKKAT",B5))</formula>
    </cfRule>
  </conditionalFormatting>
  <conditionalFormatting sqref="B8">
    <cfRule type="cellIs" priority="5" operator="greaterThanOrEqual" dxfId="5">
      <formula>0</formula>
    </cfRule>
    <cfRule type="cellIs" priority="6" operator="lessThan" dxfId="0">
      <formula>0</formula>
    </cfRule>
  </conditionalFormatting>
  <conditionalFormatting sqref="B11">
    <cfRule type="expression" priority="7" dxfId="0">
      <formula>ISNUMBER(SEARCH("YAPMA",B11))</formula>
    </cfRule>
  </conditionalFormatting>
  <conditionalFormatting sqref="B12">
    <cfRule type="cellIs" priority="8" operator="lessThan" dxfId="0">
      <formula>0</formula>
    </cfRule>
  </conditionalFormatting>
  <conditionalFormatting sqref="B10">
    <cfRule type="cellIs" priority="9" operator="greaterThan" dxfId="5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&amp;LGES Yatırım Fizibilite Simülatörü · KARAR&amp;CExcelArşiv&amp;RSayfa &amp;P / &amp;N</oddFooter>
    <evenHeader/>
    <evenFooter>&amp;LGES Yatırım Fizibilite Simülatörü · KARAR&amp;CExcelArşiv&amp;RSayfa &amp;P / &amp;N</evenFooter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548235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28" customWidth="1" min="2" max="2"/>
    <col width="22" customWidth="1" min="3" max="3"/>
    <col width="18.5" customWidth="1" min="4" max="4"/>
    <col width="14.5" customWidth="1" min="5" max="5"/>
    <col width="12" customWidth="1" min="6" max="6"/>
    <col width="12" customWidth="1" min="7" max="7"/>
    <col width="10.5" customWidth="1" min="8" max="8"/>
    <col width="13" customWidth="1" min="9" max="9"/>
  </cols>
  <sheetData>
    <row r="1" ht="32" customHeight="1">
      <c r="A1" s="207" t="inlineStr">
        <is>
          <t>VAKALAR — GES Yatırım Fizibilite Simülatörü</t>
        </is>
      </c>
    </row>
    <row r="3" ht="22" customHeight="1">
      <c r="A3" s="227" t="inlineStr">
        <is>
          <t>Altın vakalar — beklenen vs hesaplanan</t>
        </is>
      </c>
    </row>
    <row r="5" ht="30" customHeight="1">
      <c r="A5" s="21" t="inlineStr">
        <is>
          <t>vaka_id</t>
        </is>
      </c>
      <c r="B5" s="21" t="inlineStr">
        <is>
          <t>aciklama</t>
        </is>
      </c>
      <c r="C5" s="21" t="inlineStr">
        <is>
          <t>girdi_ozeti</t>
        </is>
      </c>
      <c r="D5" s="21" t="inlineStr">
        <is>
          <t>beklenen_sonuc</t>
        </is>
      </c>
      <c r="E5" s="21" t="inlineStr">
        <is>
          <t>hesaplanan</t>
        </is>
      </c>
      <c r="F5" s="21" t="inlineStr">
        <is>
          <t>fark</t>
        </is>
      </c>
      <c r="G5" s="21" t="inlineStr">
        <is>
          <t>durum</t>
        </is>
      </c>
      <c r="H5" s="21" t="inlineStr">
        <is>
          <t>kaynak</t>
        </is>
      </c>
    </row>
    <row r="6">
      <c r="A6" s="7" t="inlineStr">
        <is>
          <t>V1</t>
        </is>
      </c>
      <c r="B6" s="7" t="inlineStr">
        <is>
          <t>Demo çatı baz CAPEX</t>
        </is>
      </c>
      <c r="C6" s="7" t="inlineStr">
        <is>
          <t>100kWp×12000</t>
        </is>
      </c>
      <c r="D6" s="61" t="n">
        <v>1200000</v>
      </c>
      <c r="E6" s="19">
        <f>IFERROR(gyf_capexToplam,0)</f>
        <v/>
      </c>
      <c r="F6" s="19">
        <f>E6-D6</f>
        <v/>
      </c>
      <c r="G6" s="47">
        <f>IF(ABS(F6)&lt;=gyf_tolerans,"TUTARLI","KIRIK")</f>
        <v/>
      </c>
      <c r="H6" s="7" t="inlineStr">
        <is>
          <t>Demo</t>
        </is>
      </c>
    </row>
    <row r="7">
      <c r="A7" s="7" t="inlineStr">
        <is>
          <t>V2</t>
        </is>
      </c>
      <c r="B7" s="7" t="inlineStr">
        <is>
          <t>Demo yıllık üretim</t>
        </is>
      </c>
      <c r="C7" s="7" t="inlineStr">
        <is>
          <t>100×1400</t>
        </is>
      </c>
      <c r="D7" s="62" t="n">
        <v>140000</v>
      </c>
      <c r="E7" s="20">
        <f>IFERROR(MOTOR!G26,0)</f>
        <v/>
      </c>
      <c r="F7" s="20">
        <f>E7-D7</f>
        <v/>
      </c>
      <c r="G7" s="47">
        <f>IF(ABS(F7)&lt;=gyf_tolerans,"TUTARLI","KIRIK")</f>
        <v/>
      </c>
      <c r="H7" s="7" t="inlineStr">
        <is>
          <t>Demo</t>
        </is>
      </c>
    </row>
    <row r="8">
      <c r="A8" s="7" t="inlineStr">
        <is>
          <t>V3</t>
        </is>
      </c>
      <c r="B8" s="7" t="inlineStr">
        <is>
          <t>Öz tüketim kWh</t>
        </is>
      </c>
      <c r="C8" s="7" t="inlineStr">
        <is>
          <t>140000×0.7</t>
        </is>
      </c>
      <c r="D8" s="62" t="n">
        <v>98000</v>
      </c>
      <c r="E8" s="20">
        <f>IFERROR(MOTOR!G27,0)</f>
        <v/>
      </c>
      <c r="F8" s="20">
        <f>E8-D8</f>
        <v/>
      </c>
      <c r="G8" s="47">
        <f>IF(ABS(F8)&lt;=gyf_tolerans,"TUTARLI","KIRIK")</f>
        <v/>
      </c>
      <c r="H8" s="7" t="inlineStr">
        <is>
          <t>Demo</t>
        </is>
      </c>
    </row>
    <row r="9">
      <c r="A9" s="7" t="inlineStr">
        <is>
          <t>V4</t>
        </is>
      </c>
      <c r="B9" s="7" t="inlineStr">
        <is>
          <t>Kötümser karar yolu</t>
        </is>
      </c>
      <c r="C9" s="7" t="inlineStr">
        <is>
          <t>NPV&lt;0 → YAPMA</t>
        </is>
      </c>
      <c r="D9" s="62" t="n">
        <v>1</v>
      </c>
      <c r="E9" s="20">
        <f>IF(ISNUMBER(SEARCH("YAPMA",IFERROR(MOTOR!G50,""))),1,0)</f>
        <v/>
      </c>
      <c r="F9" s="20">
        <f>E9-D9</f>
        <v/>
      </c>
      <c r="G9" s="47">
        <f>IF(E9=1,"TUTARLI","KIRIK")</f>
        <v/>
      </c>
      <c r="H9" s="7" t="inlineStr">
        <is>
          <t>F05</t>
        </is>
      </c>
    </row>
    <row r="12">
      <c r="A12" s="10" t="inlineStr">
        <is>
          <t>Vaka durum özeti</t>
        </is>
      </c>
      <c r="B12" s="47">
        <f>IFERROR(_xlfn.TEXTJOIN(" | ",TRUE,G6,G7,G8,G9),"-")</f>
        <v/>
      </c>
    </row>
    <row r="13">
      <c r="A13" s="10" t="inlineStr">
        <is>
          <t>Vaka fark toplamı</t>
        </is>
      </c>
      <c r="B13" s="20">
        <f>IFERROR(SUM(F6:F9),0)</f>
        <v/>
      </c>
    </row>
    <row r="15">
      <c r="A15" s="50" t="inlineStr">
        <is>
          <t>VakaDemo</t>
        </is>
      </c>
    </row>
    <row r="16">
      <c r="A16" s="51" t="inlineStr">
        <is>
          <t>V1</t>
        </is>
      </c>
      <c r="B16" s="52" t="n">
        <v>1200000</v>
      </c>
    </row>
    <row r="17">
      <c r="A17" s="51" t="inlineStr">
        <is>
          <t>V2</t>
        </is>
      </c>
      <c r="B17" s="63" t="n">
        <v>140000</v>
      </c>
    </row>
    <row r="18">
      <c r="A18" s="51" t="inlineStr">
        <is>
          <t>V3</t>
        </is>
      </c>
      <c r="B18" s="63" t="n">
        <v>98000</v>
      </c>
    </row>
    <row r="19">
      <c r="A19" s="51" t="inlineStr">
        <is>
          <t>V4</t>
        </is>
      </c>
      <c r="B19" s="63" t="n">
        <v>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G6:G9">
    <cfRule type="expression" priority="1" dxfId="3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33.5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KANIT RAPORU — GES Yatırım Fizibilite Simülatörü</t>
        </is>
      </c>
    </row>
    <row r="3" ht="22" customHeight="1">
      <c r="A3" s="227" t="inlineStr">
        <is>
          <t>Bankaya / yatırımcıya fizibilite kanıtı</t>
        </is>
      </c>
    </row>
    <row r="5">
      <c r="A5" s="10" t="inlineStr">
        <is>
          <t>Şirket</t>
        </is>
      </c>
      <c r="B5" s="47">
        <f>GIRDI!B6</f>
        <v/>
      </c>
    </row>
    <row r="6">
      <c r="A6" s="10" t="inlineStr">
        <is>
          <t>Dönem</t>
        </is>
      </c>
      <c r="B6" s="47">
        <f>GIRDI!B7</f>
        <v/>
      </c>
    </row>
    <row r="7">
      <c r="A7" s="10" t="inlineStr">
        <is>
          <t>Proje tipi</t>
        </is>
      </c>
      <c r="B7" s="47">
        <f>GIRDI!B9</f>
        <v/>
      </c>
    </row>
    <row r="8">
      <c r="A8" s="10" t="inlineStr">
        <is>
          <t>Kurulu güç [kWp]</t>
        </is>
      </c>
      <c r="B8" s="20">
        <f>GIRDI!B10</f>
        <v/>
      </c>
    </row>
    <row r="10">
      <c r="A10" s="10" t="inlineStr">
        <is>
          <t>CAPEX / YATIRIM</t>
        </is>
      </c>
      <c r="B10" s="19">
        <f>IFERROR(gyf_capexToplam,0)</f>
        <v/>
      </c>
    </row>
    <row r="11">
      <c r="A11" s="10" t="inlineStr">
        <is>
          <t>OPEX / ISLETME</t>
        </is>
      </c>
      <c r="B11" s="19">
        <f>IFERROR(gyf_opexYillik,0)</f>
        <v/>
      </c>
    </row>
    <row r="12">
      <c r="A12" s="10" t="inlineStr">
        <is>
          <t>Yıllık gelir</t>
        </is>
      </c>
      <c r="B12" s="19">
        <f>IFERROR(gyf_yillikGelir,0)</f>
        <v/>
      </c>
    </row>
    <row r="13">
      <c r="A13" s="10" t="inlineStr">
        <is>
          <t>Tüketim eşleşme</t>
        </is>
      </c>
      <c r="B13" s="20">
        <f>IFERROR(gyf_tuketimEslesme,0)</f>
        <v/>
      </c>
    </row>
    <row r="15">
      <c r="A15" s="10" t="inlineStr">
        <is>
          <t>NPV baz</t>
        </is>
      </c>
      <c r="B15" s="19">
        <f>IFERROR(gyf_npv,0)</f>
        <v/>
      </c>
    </row>
    <row r="16">
      <c r="A16" s="10" t="inlineStr">
        <is>
          <t>IRR</t>
        </is>
      </c>
      <c r="B16" s="45">
        <f>IFERROR(gyf_irr,0)</f>
        <v/>
      </c>
    </row>
    <row r="17">
      <c r="A17" s="10" t="inlineStr">
        <is>
          <t>NPV aralık</t>
        </is>
      </c>
      <c r="B17" s="47">
        <f>_xlfn.TEXTJOIN(" … ",TRUE,TEXT(IFERROR(MOTOR!G48,0),"₺ #,##0"),TEXT(IFERROR(MOTOR!G49,0),"₺ #,##0"))</f>
        <v/>
      </c>
    </row>
    <row r="19">
      <c r="A19" s="10" t="inlineStr">
        <is>
          <t>Finansman</t>
        </is>
      </c>
      <c r="B19" s="37">
        <f>IFERROR(gyf_finansmanKarsilastirma,"-")</f>
        <v/>
      </c>
    </row>
    <row r="20">
      <c r="A20" s="10" t="inlineStr">
        <is>
          <t>Karar</t>
        </is>
      </c>
      <c r="B20" s="58">
        <f>gyf_kararMetni</f>
        <v/>
      </c>
    </row>
    <row r="21">
      <c r="A21" s="10" t="inlineStr">
        <is>
          <t>Kanıt özeti</t>
        </is>
      </c>
      <c r="B21" s="37">
        <f>IFERROR(gyf_kanitRaporu,"-")</f>
        <v/>
      </c>
    </row>
    <row r="23">
      <c r="A23" s="10" t="inlineStr">
        <is>
          <t>İmza — Yatırımcı</t>
        </is>
      </c>
      <c r="B23" s="13" t="inlineStr">
        <is>
          <t>________________________</t>
        </is>
      </c>
    </row>
    <row r="24">
      <c r="A24" s="10" t="inlineStr">
        <is>
          <t>İmza — Banka</t>
        </is>
      </c>
      <c r="B24" s="13" t="inlineStr">
        <is>
          <t>________________________</t>
        </is>
      </c>
    </row>
    <row r="26">
      <c r="A26" s="13" t="inlineStr">
        <is>
          <t>Sürüm 1.0.0 | GYF-PRO | Tarih</t>
        </is>
      </c>
      <c r="B26" s="64">
        <f>raporTarihi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B19:H19"/>
    <mergeCell ref="B21:H21"/>
    <mergeCell ref="A3:I3"/>
  </mergeCells>
  <conditionalFormatting sqref="B20">
    <cfRule type="expression" priority="1" dxfId="2">
      <formula>ISNUMBER(SEARCH("YAPMA",B20))</formula>
    </cfRule>
    <cfRule type="expression" priority="2" dxfId="3">
      <formula>ISNUMBER(SEARCH("YAPILIR",B20))</formula>
    </cfRule>
    <cfRule type="expression" priority="3" dxfId="6">
      <formula>ISNUMBER(SEARCH("DİKKAT",B20))</formula>
    </cfRule>
  </conditionalFormatting>
  <conditionalFormatting sqref="B15">
    <cfRule type="cellIs" priority="4" operator="greaterThan" dxfId="5">
      <formula>0</formula>
    </cfRule>
  </conditionalFormatting>
  <conditionalFormatting sqref="B16">
    <cfRule type="cellIs" priority="5" operator="greaterThanOrEqual" dxfId="5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&amp;LGES Yatırım Fizibilite Simülatörü · KANIT&amp;CExcelArşiv&amp;RSayfa &amp;P / &amp;N</oddFooter>
    <evenHeader/>
    <evenFooter>&amp;LGES Yatırım Fizibilite Simülatörü · KANIT&amp;CExcelArşiv&amp;RSayfa &amp;P / &amp;N</evenFooter>
    <firstHeader/>
    <firstFooter/>
  </headerFooter>
</worksheet>
</file>

<file path=xl/worksheets/sheet21.xml><?xml version="1.0" encoding="utf-8"?>
<worksheet xmlns="http://schemas.openxmlformats.org/spreadsheetml/2006/main">
  <sheetPr>
    <tabColor rgb="00833C0C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KONTROLLER — GES Yatırım Fizibilite Simülatörü</t>
        </is>
      </c>
    </row>
    <row r="3" ht="22" customHeight="1">
      <c r="A3" s="227" t="inlineStr">
        <is>
          <t>Dosya sağlık kontrolleri</t>
        </is>
      </c>
    </row>
    <row r="5">
      <c r="A5" s="7" t="inlineStr">
        <is>
          <t>Giriş dolu mu</t>
        </is>
      </c>
      <c r="B5" s="47">
        <f>IF(COUNTA(tblGirdi[Alan Anahtarı])=0,"BOŞ","DOLU")</f>
        <v/>
      </c>
    </row>
    <row r="6">
      <c r="A6" s="7" t="inlineStr">
        <is>
          <t>CAPEX pozitif mi</t>
        </is>
      </c>
      <c r="B6" s="47">
        <f>IF(IFERROR(gyf_capexToplam,0)&gt;0,"TEMİZ","NEGATİF")</f>
        <v/>
      </c>
    </row>
    <row r="7">
      <c r="A7" s="7" t="inlineStr">
        <is>
          <t>OPEX ayrık mı</t>
        </is>
      </c>
      <c r="B7" s="47">
        <f>IF(AND(IFERROR(gyf_capexToplam,0)&gt;0,IFERROR(gyf_opexYillik,0)&gt;=0),"TEMİZ","EKSİK")</f>
        <v/>
      </c>
    </row>
    <row r="8">
      <c r="A8" s="7" t="inlineStr">
        <is>
          <t>NPV hesaplı mı</t>
        </is>
      </c>
      <c r="B8" s="47">
        <f>IF(ISNUMBER(gyf_npv),"TEMİZ","HATALI")</f>
        <v/>
      </c>
    </row>
    <row r="9">
      <c r="A9" s="7" t="inlineStr">
        <is>
          <t>Kötümser YAPMA yolu</t>
        </is>
      </c>
      <c r="B9" s="47">
        <f>IF(ISNUMBER(SEARCH("YAPMA",IFERROR(MOTOR!G50,""))),"TEMİZ","EKSİK")</f>
        <v/>
      </c>
    </row>
    <row r="10">
      <c r="A10" s="7" t="inlineStr">
        <is>
          <t>Varsayım kaynak/güven</t>
        </is>
      </c>
      <c r="B10" s="47">
        <f>IF(COUNTIF(tblVarsayimlar[kontrol],"EKSİK")=0,"TEMİZ","EKSİK")</f>
        <v/>
      </c>
    </row>
    <row r="11">
      <c r="A11" s="7" t="inlineStr">
        <is>
          <t>Vaka tutarlılığı</t>
        </is>
      </c>
      <c r="B11" s="47">
        <f>IF(COUNTIF(VAKALAR!G6:G9,"KIRIK")=0,"TUTARLI","KIRIK")</f>
        <v/>
      </c>
    </row>
    <row r="12">
      <c r="A12" s="10" t="inlineStr">
        <is>
          <t>Sağlık skoru</t>
        </is>
      </c>
      <c r="B12" s="65">
        <f>IFERROR(ROUND((COUNTIF(B5:B11,"TEMİZ")+COUNTIF(B5:B11,"DOLU")+COUNTIF(B5:B11,"TUTARLI"))/7*100,0),0)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3">
      <formula>OR(B5="TEMİZ",B5="DOLU",B5="NORMAL",B5="TUTARLI")</formula>
    </cfRule>
  </conditionalFormatting>
  <conditionalFormatting sqref="B12">
    <cfRule type="cellIs" priority="3" operator="greaterThanOrEqual" dxfId="5">
      <formula>80</formula>
    </cfRule>
    <cfRule type="cellIs" priority="4" operator="lessThan" dxfId="0">
      <formula>50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75B6"/>
    <outlinePr summaryBelow="1" summaryRight="1"/>
    <pageSetUpPr/>
  </sheetPr>
  <dimension ref="A1:L10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.5" customWidth="1" min="2" max="2"/>
    <col width="18.5" customWidth="1" min="3" max="3"/>
    <col width="19.5" customWidth="1" min="4" max="4"/>
    <col width="14.5" customWidth="1" min="5" max="5"/>
    <col width="20.5" customWidth="1" min="6" max="6"/>
    <col width="16.5" customWidth="1" min="7" max="7"/>
    <col width="15.5" customWidth="1" min="8" max="8"/>
    <col width="14" customWidth="1" min="9" max="9"/>
    <col width="14" customWidth="1" min="10" max="10"/>
    <col width="14" customWidth="1" min="11" max="11"/>
    <col width="12" customWidth="1" min="12" max="12"/>
    <col width="13" customWidth="1" min="13" max="13"/>
  </cols>
  <sheetData>
    <row r="1" ht="32" customHeight="1">
      <c r="A1" s="207" t="inlineStr">
        <is>
          <t>ORNEK VERI — GES Yatırım Fizibilite Simülatörü</t>
        </is>
      </c>
    </row>
    <row r="3" ht="22" customHeight="1">
      <c r="A3" s="227" t="inlineStr">
        <is>
          <t>Örnek senaryolar (CSV ile uyumlu)</t>
        </is>
      </c>
    </row>
    <row r="5" ht="30" customHeight="1">
      <c r="A5" s="21" t="inlineStr">
        <is>
          <t>Senaryo</t>
        </is>
      </c>
      <c r="B5" s="21" t="inlineStr">
        <is>
          <t>Proje_tipi</t>
        </is>
      </c>
      <c r="C5" s="21" t="inlineStr">
        <is>
          <t>Kurulu_guc_kWp</t>
        </is>
      </c>
      <c r="D5" s="21" t="inlineStr">
        <is>
          <t>Spesifik_uretim</t>
        </is>
      </c>
      <c r="E5" s="21" t="inlineStr">
        <is>
          <t>Oz_tuketim</t>
        </is>
      </c>
      <c r="F5" s="21" t="inlineStr">
        <is>
          <t>Perakende_tarife</t>
        </is>
      </c>
      <c r="G5" s="21" t="inlineStr">
        <is>
          <t>Satis_tarife</t>
        </is>
      </c>
      <c r="H5" s="21" t="inlineStr">
        <is>
          <t>Capex_birim</t>
        </is>
      </c>
      <c r="I5" s="21" t="inlineStr">
        <is>
          <t>Opex_oran</t>
        </is>
      </c>
      <c r="J5" s="21" t="inlineStr">
        <is>
          <t>WACC</t>
        </is>
      </c>
      <c r="K5" s="21" t="inlineStr">
        <is>
          <t>Yil</t>
        </is>
      </c>
      <c r="L5" s="21" t="inlineStr">
        <is>
          <t>Durum</t>
        </is>
      </c>
    </row>
    <row r="6">
      <c r="A6" s="31" t="inlineStr">
        <is>
          <t>Demo cati</t>
        </is>
      </c>
      <c r="B6" s="31" t="inlineStr">
        <is>
          <t>CATI</t>
        </is>
      </c>
      <c r="C6" s="33" t="n">
        <v>100</v>
      </c>
      <c r="D6" s="33" t="n">
        <v>1400</v>
      </c>
      <c r="E6" s="34" t="n">
        <v>0.7</v>
      </c>
      <c r="F6" s="32" t="n">
        <v>3.5</v>
      </c>
      <c r="G6" s="32" t="n">
        <v>1.2</v>
      </c>
      <c r="H6" s="66" t="n">
        <v>12000</v>
      </c>
      <c r="I6" s="34" t="n">
        <v>0.015</v>
      </c>
      <c r="J6" s="34" t="n">
        <v>0.18</v>
      </c>
      <c r="K6" s="33" t="n">
        <v>2026</v>
      </c>
      <c r="L6" s="23">
        <f>IF($A6="","",IF($C6="","EKSİK","TAM"))</f>
        <v/>
      </c>
    </row>
    <row r="7">
      <c r="A7" s="31" t="inlineStr">
        <is>
          <t>Yuksek uretim</t>
        </is>
      </c>
      <c r="B7" s="31" t="inlineStr">
        <is>
          <t>CATI</t>
        </is>
      </c>
      <c r="C7" s="33" t="n">
        <v>100</v>
      </c>
      <c r="D7" s="33" t="n">
        <v>1600</v>
      </c>
      <c r="E7" s="34" t="n">
        <v>0.75</v>
      </c>
      <c r="F7" s="32" t="n">
        <v>3.8</v>
      </c>
      <c r="G7" s="32" t="n">
        <v>1.4</v>
      </c>
      <c r="H7" s="66" t="n">
        <v>11000</v>
      </c>
      <c r="I7" s="34" t="n">
        <v>0.012</v>
      </c>
      <c r="J7" s="34" t="n">
        <v>0.16</v>
      </c>
      <c r="K7" s="33" t="n">
        <v>2026</v>
      </c>
      <c r="L7" s="23">
        <f>IF($A7="","",IF($C7="","EKSİK","TAM"))</f>
        <v/>
      </c>
    </row>
    <row r="8">
      <c r="A8" s="31" t="inlineStr">
        <is>
          <t>Kotumser saha</t>
        </is>
      </c>
      <c r="B8" s="31" t="inlineStr">
        <is>
          <t>SAHA</t>
        </is>
      </c>
      <c r="C8" s="33" t="n">
        <v>250</v>
      </c>
      <c r="D8" s="33" t="n">
        <v>1200</v>
      </c>
      <c r="E8" s="34" t="n">
        <v>0.4</v>
      </c>
      <c r="F8" s="32" t="n">
        <v>3.2</v>
      </c>
      <c r="G8" s="32" t="n">
        <v>1</v>
      </c>
      <c r="H8" s="66" t="n">
        <v>14000</v>
      </c>
      <c r="I8" s="34" t="n">
        <v>0.02</v>
      </c>
      <c r="J8" s="34" t="n">
        <v>0.2</v>
      </c>
      <c r="K8" s="33" t="n">
        <v>2026</v>
      </c>
      <c r="L8" s="23">
        <f>IF($A8="","",IF($C8="","EKSİK","TAM"))</f>
        <v/>
      </c>
    </row>
    <row r="9">
      <c r="A9" s="31" t="inlineStr">
        <is>
          <t>2025 gecis</t>
        </is>
      </c>
      <c r="B9" s="31" t="inlineStr">
        <is>
          <t>CATI</t>
        </is>
      </c>
      <c r="C9" s="33" t="n">
        <v>80</v>
      </c>
      <c r="D9" s="33" t="n">
        <v>1350</v>
      </c>
      <c r="E9" s="34" t="n">
        <v>0.65</v>
      </c>
      <c r="F9" s="32" t="n">
        <v>3</v>
      </c>
      <c r="G9" s="32" t="n">
        <v>1.1</v>
      </c>
      <c r="H9" s="66" t="n">
        <v>12500</v>
      </c>
      <c r="I9" s="34" t="n">
        <v>0.016</v>
      </c>
      <c r="J9" s="34" t="n">
        <v>0.18</v>
      </c>
      <c r="K9" s="33" t="n">
        <v>2025</v>
      </c>
      <c r="L9" s="23">
        <f>IF($A9="","",IF($C9="","EKSİK","TAM"))</f>
        <v/>
      </c>
    </row>
    <row r="10">
      <c r="L10" s="23">
        <f>IF($A10="","",IF($C10="","EKSİK","TAM"))</f>
        <v/>
      </c>
    </row>
    <row r="11">
      <c r="L11" s="23">
        <f>IF($A11="","",IF($C11="","EKSİK","TAM"))</f>
        <v/>
      </c>
    </row>
    <row r="12">
      <c r="L12" s="23">
        <f>IF($A12="","",IF($C12="","EKSİK","TAM"))</f>
        <v/>
      </c>
    </row>
    <row r="13">
      <c r="L13" s="23">
        <f>IF($A13="","",IF($C13="","EKSİK","TAM"))</f>
        <v/>
      </c>
    </row>
    <row r="14">
      <c r="L14" s="23">
        <f>IF($A14="","",IF($C14="","EKSİK","TAM"))</f>
        <v/>
      </c>
    </row>
    <row r="15">
      <c r="L15" s="23">
        <f>IF($A15="","",IF($C15="","EKSİK","TAM"))</f>
        <v/>
      </c>
    </row>
    <row r="16">
      <c r="L16" s="23">
        <f>IF($A16="","",IF($C16="","EKSİK","TAM"))</f>
        <v/>
      </c>
    </row>
    <row r="17">
      <c r="L17" s="23">
        <f>IF($A17="","",IF($C17="","EKSİK","TAM"))</f>
        <v/>
      </c>
    </row>
    <row r="18">
      <c r="L18" s="23">
        <f>IF($A18="","",IF($C18="","EKSİK","TAM"))</f>
        <v/>
      </c>
    </row>
    <row r="19">
      <c r="L19" s="23">
        <f>IF($A19="","",IF($C19="","EKSİK","TAM"))</f>
        <v/>
      </c>
    </row>
    <row r="20">
      <c r="L20" s="23">
        <f>IF($A20="","",IF($C20="","EKSİK","TAM"))</f>
        <v/>
      </c>
    </row>
    <row r="21">
      <c r="L21" s="23">
        <f>IF($A21="","",IF($C21="","EKSİK","TAM"))</f>
        <v/>
      </c>
    </row>
    <row r="22">
      <c r="A22" s="50" t="inlineStr">
        <is>
          <t>OrnekCapexDemo</t>
        </is>
      </c>
      <c r="L22" s="23">
        <f>IF($A22="","",IF($C22="","EKSİK","TAM"))</f>
        <v/>
      </c>
    </row>
    <row r="23">
      <c r="A23" s="51" t="inlineStr">
        <is>
          <t>Demo cati</t>
        </is>
      </c>
      <c r="B23" s="52" t="n">
        <v>1200000</v>
      </c>
      <c r="L23" s="23">
        <f>IF($A23="","",IF($C23="","EKSİK","TAM"))</f>
        <v/>
      </c>
    </row>
    <row r="24">
      <c r="A24" s="51" t="inlineStr">
        <is>
          <t>Yuksek uretim</t>
        </is>
      </c>
      <c r="B24" s="52" t="n">
        <v>1100000</v>
      </c>
      <c r="L24" s="23">
        <f>IF($A24="","",IF($C24="","EKSİK","TAM"))</f>
        <v/>
      </c>
    </row>
    <row r="25">
      <c r="A25" s="51" t="inlineStr">
        <is>
          <t>Kotumser saha</t>
        </is>
      </c>
      <c r="B25" s="52" t="n">
        <v>3500000</v>
      </c>
      <c r="L25" s="23">
        <f>IF($A25="","",IF($C25="","EKSİK","TAM"))</f>
        <v/>
      </c>
    </row>
    <row r="26">
      <c r="A26" s="51" t="inlineStr">
        <is>
          <t>2025 gecis</t>
        </is>
      </c>
      <c r="B26" s="52" t="n">
        <v>1000000</v>
      </c>
      <c r="L26" s="23">
        <f>IF($A26="","",IF($C26="","EKSİK","TAM"))</f>
        <v/>
      </c>
    </row>
    <row r="27">
      <c r="L27" s="23">
        <f>IF($A27="","",IF($C27="","EKSİK","TAM"))</f>
        <v/>
      </c>
    </row>
    <row r="28">
      <c r="L28" s="23">
        <f>IF($A28="","",IF($C28="","EKSİK","TAM"))</f>
        <v/>
      </c>
    </row>
    <row r="29">
      <c r="L29" s="23">
        <f>IF($A29="","",IF($C29="","EKSİK","TAM"))</f>
        <v/>
      </c>
    </row>
    <row r="30">
      <c r="L30" s="23">
        <f>IF($A30="","",IF($C30="","EKSİK","TAM"))</f>
        <v/>
      </c>
    </row>
    <row r="31">
      <c r="L31" s="23">
        <f>IF($A31="","",IF($C31="","EKSİK","TAM"))</f>
        <v/>
      </c>
    </row>
    <row r="32">
      <c r="L32" s="23">
        <f>IF($A32="","",IF($C32="","EKSİK","TAM"))</f>
        <v/>
      </c>
    </row>
    <row r="33">
      <c r="L33" s="23">
        <f>IF($A33="","",IF($C33="","EKSİK","TAM"))</f>
        <v/>
      </c>
    </row>
    <row r="34">
      <c r="L34" s="23">
        <f>IF($A34="","",IF($C34="","EKSİK","TAM"))</f>
        <v/>
      </c>
    </row>
    <row r="35">
      <c r="L35" s="23">
        <f>IF($A35="","",IF($C35="","EKSİK","TAM"))</f>
        <v/>
      </c>
    </row>
    <row r="36">
      <c r="L36" s="23">
        <f>IF($A36="","",IF($C36="","EKSİK","TAM"))</f>
        <v/>
      </c>
    </row>
    <row r="37">
      <c r="L37" s="23">
        <f>IF($A37="","",IF($C37="","EKSİK","TAM"))</f>
        <v/>
      </c>
    </row>
    <row r="38">
      <c r="L38" s="23">
        <f>IF($A38="","",IF($C38="","EKSİK","TAM"))</f>
        <v/>
      </c>
    </row>
    <row r="39">
      <c r="L39" s="23">
        <f>IF($A39="","",IF($C39="","EKSİK","TAM"))</f>
        <v/>
      </c>
    </row>
    <row r="40">
      <c r="L40" s="23">
        <f>IF($A40="","",IF($C40="","EKSİK","TAM"))</f>
        <v/>
      </c>
    </row>
    <row r="41">
      <c r="L41" s="23">
        <f>IF($A41="","",IF($C41="","EKSİK","TAM"))</f>
        <v/>
      </c>
    </row>
    <row r="42">
      <c r="L42" s="23">
        <f>IF($A42="","",IF($C42="","EKSİK","TAM"))</f>
        <v/>
      </c>
    </row>
    <row r="43">
      <c r="L43" s="23">
        <f>IF($A43="","",IF($C43="","EKSİK","TAM"))</f>
        <v/>
      </c>
    </row>
    <row r="44">
      <c r="L44" s="23">
        <f>IF($A44="","",IF($C44="","EKSİK","TAM"))</f>
        <v/>
      </c>
    </row>
    <row r="45">
      <c r="L45" s="23">
        <f>IF($A45="","",IF($C45="","EKSİK","TAM"))</f>
        <v/>
      </c>
    </row>
    <row r="46">
      <c r="L46" s="23">
        <f>IF($A46="","",IF($C46="","EKSİK","TAM"))</f>
        <v/>
      </c>
    </row>
    <row r="47">
      <c r="L47" s="23">
        <f>IF($A47="","",IF($C47="","EKSİK","TAM"))</f>
        <v/>
      </c>
    </row>
    <row r="48">
      <c r="L48" s="23">
        <f>IF($A48="","",IF($C48="","EKSİK","TAM"))</f>
        <v/>
      </c>
    </row>
    <row r="49">
      <c r="L49" s="23">
        <f>IF($A49="","",IF($C49="","EKSİK","TAM"))</f>
        <v/>
      </c>
    </row>
    <row r="50">
      <c r="L50" s="23">
        <f>IF($A50="","",IF($C50="","EKSİK","TAM"))</f>
        <v/>
      </c>
    </row>
    <row r="51">
      <c r="L51" s="23">
        <f>IF($A51="","",IF($C51="","EKSİK","TAM"))</f>
        <v/>
      </c>
    </row>
    <row r="52">
      <c r="L52" s="23">
        <f>IF($A52="","",IF($C52="","EKSİK","TAM"))</f>
        <v/>
      </c>
    </row>
    <row r="53">
      <c r="L53" s="23">
        <f>IF($A53="","",IF($C53="","EKSİK","TAM"))</f>
        <v/>
      </c>
    </row>
    <row r="54">
      <c r="L54" s="23">
        <f>IF($A54="","",IF($C54="","EKSİK","TAM"))</f>
        <v/>
      </c>
    </row>
    <row r="55">
      <c r="L55" s="23">
        <f>IF($A55="","",IF($C55="","EKSİK","TAM"))</f>
        <v/>
      </c>
    </row>
    <row r="56">
      <c r="L56" s="23">
        <f>IF($A56="","",IF($C56="","EKSİK","TAM"))</f>
        <v/>
      </c>
    </row>
    <row r="57">
      <c r="L57" s="23">
        <f>IF($A57="","",IF($C57="","EKSİK","TAM"))</f>
        <v/>
      </c>
    </row>
    <row r="58">
      <c r="L58" s="23">
        <f>IF($A58="","",IF($C58="","EKSİK","TAM"))</f>
        <v/>
      </c>
    </row>
    <row r="59">
      <c r="L59" s="23">
        <f>IF($A59="","",IF($C59="","EKSİK","TAM"))</f>
        <v/>
      </c>
    </row>
    <row r="60">
      <c r="L60" s="23">
        <f>IF($A60="","",IF($C60="","EKSİK","TAM"))</f>
        <v/>
      </c>
    </row>
    <row r="61">
      <c r="L61" s="23">
        <f>IF($A61="","",IF($C61="","EKSİK","TAM"))</f>
        <v/>
      </c>
    </row>
    <row r="62">
      <c r="L62" s="23">
        <f>IF($A62="","",IF($C62="","EKSİK","TAM"))</f>
        <v/>
      </c>
    </row>
    <row r="63">
      <c r="L63" s="23">
        <f>IF($A63="","",IF($C63="","EKSİK","TAM"))</f>
        <v/>
      </c>
    </row>
    <row r="64">
      <c r="L64" s="23">
        <f>IF($A64="","",IF($C64="","EKSİK","TAM"))</f>
        <v/>
      </c>
    </row>
    <row r="65">
      <c r="L65" s="23">
        <f>IF($A65="","",IF($C65="","EKSİK","TAM"))</f>
        <v/>
      </c>
    </row>
    <row r="66">
      <c r="L66" s="23">
        <f>IF($A66="","",IF($C66="","EKSİK","TAM"))</f>
        <v/>
      </c>
    </row>
    <row r="67">
      <c r="L67" s="23">
        <f>IF($A67="","",IF($C67="","EKSİK","TAM"))</f>
        <v/>
      </c>
    </row>
    <row r="68">
      <c r="L68" s="23">
        <f>IF($A68="","",IF($C68="","EKSİK","TAM"))</f>
        <v/>
      </c>
    </row>
    <row r="69">
      <c r="L69" s="23">
        <f>IF($A69="","",IF($C69="","EKSİK","TAM"))</f>
        <v/>
      </c>
    </row>
    <row r="70">
      <c r="L70" s="23">
        <f>IF($A70="","",IF($C70="","EKSİK","TAM"))</f>
        <v/>
      </c>
    </row>
    <row r="71">
      <c r="L71" s="23">
        <f>IF($A71="","",IF($C71="","EKSİK","TAM"))</f>
        <v/>
      </c>
    </row>
    <row r="72">
      <c r="L72" s="23">
        <f>IF($A72="","",IF($C72="","EKSİK","TAM"))</f>
        <v/>
      </c>
    </row>
    <row r="73">
      <c r="L73" s="23">
        <f>IF($A73="","",IF($C73="","EKSİK","TAM"))</f>
        <v/>
      </c>
    </row>
    <row r="74">
      <c r="L74" s="23">
        <f>IF($A74="","",IF($C74="","EKSİK","TAM"))</f>
        <v/>
      </c>
    </row>
    <row r="75">
      <c r="L75" s="23">
        <f>IF($A75="","",IF($C75="","EKSİK","TAM"))</f>
        <v/>
      </c>
    </row>
    <row r="76">
      <c r="L76" s="23">
        <f>IF($A76="","",IF($C76="","EKSİK","TAM"))</f>
        <v/>
      </c>
    </row>
    <row r="77">
      <c r="L77" s="23">
        <f>IF($A77="","",IF($C77="","EKSİK","TAM"))</f>
        <v/>
      </c>
    </row>
    <row r="78">
      <c r="L78" s="23">
        <f>IF($A78="","",IF($C78="","EKSİK","TAM"))</f>
        <v/>
      </c>
    </row>
    <row r="79">
      <c r="L79" s="23">
        <f>IF($A79="","",IF($C79="","EKSİK","TAM"))</f>
        <v/>
      </c>
    </row>
    <row r="80">
      <c r="L80" s="23">
        <f>IF($A80="","",IF($C80="","EKSİK","TAM"))</f>
        <v/>
      </c>
    </row>
    <row r="81">
      <c r="L81" s="23">
        <f>IF($A81="","",IF($C81="","EKSİK","TAM"))</f>
        <v/>
      </c>
    </row>
    <row r="82">
      <c r="L82" s="23">
        <f>IF($A82="","",IF($C82="","EKSİK","TAM"))</f>
        <v/>
      </c>
    </row>
    <row r="83">
      <c r="L83" s="23">
        <f>IF($A83="","",IF($C83="","EKSİK","TAM"))</f>
        <v/>
      </c>
    </row>
    <row r="84">
      <c r="L84" s="23">
        <f>IF($A84="","",IF($C84="","EKSİK","TAM"))</f>
        <v/>
      </c>
    </row>
    <row r="85">
      <c r="L85" s="23">
        <f>IF($A85="","",IF($C85="","EKSİK","TAM"))</f>
        <v/>
      </c>
    </row>
    <row r="86">
      <c r="L86" s="23">
        <f>IF($A86="","",IF($C86="","EKSİK","TAM"))</f>
        <v/>
      </c>
    </row>
    <row r="87">
      <c r="L87" s="23">
        <f>IF($A87="","",IF($C87="","EKSİK","TAM"))</f>
        <v/>
      </c>
    </row>
    <row r="88">
      <c r="L88" s="23">
        <f>IF($A88="","",IF($C88="","EKSİK","TAM"))</f>
        <v/>
      </c>
    </row>
    <row r="89">
      <c r="L89" s="23">
        <f>IF($A89="","",IF($C89="","EKSİK","TAM"))</f>
        <v/>
      </c>
    </row>
    <row r="90">
      <c r="L90" s="23">
        <f>IF($A90="","",IF($C90="","EKSİK","TAM"))</f>
        <v/>
      </c>
    </row>
    <row r="91">
      <c r="L91" s="23">
        <f>IF($A91="","",IF($C91="","EKSİK","TAM"))</f>
        <v/>
      </c>
    </row>
    <row r="92">
      <c r="L92" s="23">
        <f>IF($A92="","",IF($C92="","EKSİK","TAM"))</f>
        <v/>
      </c>
    </row>
    <row r="93">
      <c r="L93" s="23">
        <f>IF($A93="","",IF($C93="","EKSİK","TAM"))</f>
        <v/>
      </c>
    </row>
    <row r="94">
      <c r="L94" s="23">
        <f>IF($A94="","",IF($C94="","EKSİK","TAM"))</f>
        <v/>
      </c>
    </row>
    <row r="95">
      <c r="L95" s="23">
        <f>IF($A95="","",IF($C95="","EKSİK","TAM"))</f>
        <v/>
      </c>
    </row>
    <row r="96">
      <c r="L96" s="23">
        <f>IF($A96="","",IF($C96="","EKSİK","TAM"))</f>
        <v/>
      </c>
    </row>
    <row r="97">
      <c r="L97" s="23">
        <f>IF($A97="","",IF($C97="","EKSİK","TAM"))</f>
        <v/>
      </c>
    </row>
    <row r="98">
      <c r="L98" s="23">
        <f>IF($A98="","",IF($C98="","EKSİK","TAM"))</f>
        <v/>
      </c>
    </row>
    <row r="99">
      <c r="L99" s="23">
        <f>IF($A99="","",IF($C99="","EKSİK","TAM"))</f>
        <v/>
      </c>
    </row>
    <row r="100">
      <c r="L100" s="23">
        <f>IF($A100="","",IF($C100="","EKSİK","TAM"))</f>
        <v/>
      </c>
    </row>
    <row r="101">
      <c r="L101" s="23">
        <f>IF($A101="","",IF($C101="","EKSİK","TAM"))</f>
        <v/>
      </c>
    </row>
    <row r="102">
      <c r="L102" s="23">
        <f>IF($A102="","",IF($C102="","EKSİK","TAM"))</f>
        <v/>
      </c>
    </row>
    <row r="103">
      <c r="L103" s="23">
        <f>IF($A103="","",IF($C103="","EKSİK","TAM"))</f>
        <v/>
      </c>
    </row>
    <row r="104">
      <c r="L104" s="23">
        <f>IF($A104="","",IF($C104="","EKSİK","TAM"))</f>
        <v/>
      </c>
    </row>
    <row r="105">
      <c r="L105" s="23">
        <f>IF($A105="","",IF($C105="","EKSİK","TAM"))</f>
        <v/>
      </c>
    </row>
    <row r="106">
      <c r="L106" s="23">
        <f>IF($A106="","",IF($C106="","EKSİK","TAM"))</f>
        <v/>
      </c>
    </row>
    <row r="107">
      <c r="L107" s="23">
        <f>IF($A107="","",IF($C107="","EKSİK","TAM"))</f>
        <v/>
      </c>
    </row>
    <row r="108">
      <c r="L108" s="23">
        <f>IF($A108="","",IF($C108="","EKSİK","TAM"))</f>
        <v/>
      </c>
    </row>
    <row r="109">
      <c r="L109" s="23">
        <f>IF($A109="","",IF($C109="","EKSİK","TAM"))</f>
        <v/>
      </c>
    </row>
    <row r="110">
      <c r="L110" s="23">
        <f>IF($A110="","",IF($C110="","EKSİK","TAM"))</f>
        <v/>
      </c>
    </row>
    <row r="111">
      <c r="L111" s="23">
        <f>IF($A111="","",IF($C111="","EKSİK","TAM"))</f>
        <v/>
      </c>
    </row>
    <row r="112">
      <c r="L112" s="23">
        <f>IF($A112="","",IF($C112="","EKSİK","TAM"))</f>
        <v/>
      </c>
    </row>
    <row r="113">
      <c r="L113" s="23">
        <f>IF($A113="","",IF($C113="","EKSİK","TAM"))</f>
        <v/>
      </c>
    </row>
    <row r="114">
      <c r="L114" s="23">
        <f>IF($A114="","",IF($C114="","EKSİK","TAM"))</f>
        <v/>
      </c>
    </row>
    <row r="115">
      <c r="L115" s="23">
        <f>IF($A115="","",IF($C115="","EKSİK","TAM"))</f>
        <v/>
      </c>
    </row>
    <row r="116">
      <c r="L116" s="23">
        <f>IF($A116="","",IF($C116="","EKSİK","TAM"))</f>
        <v/>
      </c>
    </row>
    <row r="117">
      <c r="L117" s="23">
        <f>IF($A117="","",IF($C117="","EKSİK","TAM"))</f>
        <v/>
      </c>
    </row>
    <row r="118">
      <c r="L118" s="23">
        <f>IF($A118="","",IF($C118="","EKSİK","TAM"))</f>
        <v/>
      </c>
    </row>
    <row r="119">
      <c r="L119" s="23">
        <f>IF($A119="","",IF($C119="","EKSİK","TAM"))</f>
        <v/>
      </c>
    </row>
    <row r="120">
      <c r="L120" s="23">
        <f>IF($A120="","",IF($C120="","EKSİK","TAM"))</f>
        <v/>
      </c>
    </row>
    <row r="121">
      <c r="L121" s="23">
        <f>IF($A121="","",IF($C121="","EKSİK","TAM"))</f>
        <v/>
      </c>
    </row>
    <row r="122">
      <c r="L122" s="23">
        <f>IF($A122="","",IF($C122="","EKSİK","TAM"))</f>
        <v/>
      </c>
    </row>
    <row r="123">
      <c r="L123" s="23">
        <f>IF($A123="","",IF($C123="","EKSİK","TAM"))</f>
        <v/>
      </c>
    </row>
    <row r="124">
      <c r="L124" s="23">
        <f>IF($A124="","",IF($C124="","EKSİK","TAM"))</f>
        <v/>
      </c>
    </row>
    <row r="125">
      <c r="L125" s="23">
        <f>IF($A125="","",IF($C125="","EKSİK","TAM"))</f>
        <v/>
      </c>
    </row>
    <row r="126">
      <c r="L126" s="23">
        <f>IF($A126="","",IF($C126="","EKSİK","TAM"))</f>
        <v/>
      </c>
    </row>
    <row r="127">
      <c r="L127" s="23">
        <f>IF($A127="","",IF($C127="","EKSİK","TAM"))</f>
        <v/>
      </c>
    </row>
    <row r="128">
      <c r="L128" s="23">
        <f>IF($A128="","",IF($C128="","EKSİK","TAM"))</f>
        <v/>
      </c>
    </row>
    <row r="129">
      <c r="L129" s="23">
        <f>IF($A129="","",IF($C129="","EKSİK","TAM"))</f>
        <v/>
      </c>
    </row>
    <row r="130">
      <c r="L130" s="23">
        <f>IF($A130="","",IF($C130="","EKSİK","TAM"))</f>
        <v/>
      </c>
    </row>
    <row r="131">
      <c r="L131" s="23">
        <f>IF($A131="","",IF($C131="","EKSİK","TAM"))</f>
        <v/>
      </c>
    </row>
    <row r="132">
      <c r="L132" s="23">
        <f>IF($A132="","",IF($C132="","EKSİK","TAM"))</f>
        <v/>
      </c>
    </row>
    <row r="133">
      <c r="L133" s="23">
        <f>IF($A133="","",IF($C133="","EKSİK","TAM"))</f>
        <v/>
      </c>
    </row>
    <row r="134">
      <c r="L134" s="23">
        <f>IF($A134="","",IF($C134="","EKSİK","TAM"))</f>
        <v/>
      </c>
    </row>
    <row r="135">
      <c r="L135" s="23">
        <f>IF($A135="","",IF($C135="","EKSİK","TAM"))</f>
        <v/>
      </c>
    </row>
    <row r="136">
      <c r="L136" s="23">
        <f>IF($A136="","",IF($C136="","EKSİK","TAM"))</f>
        <v/>
      </c>
    </row>
    <row r="137">
      <c r="L137" s="23">
        <f>IF($A137="","",IF($C137="","EKSİK","TAM"))</f>
        <v/>
      </c>
    </row>
    <row r="138">
      <c r="L138" s="23">
        <f>IF($A138="","",IF($C138="","EKSİK","TAM"))</f>
        <v/>
      </c>
    </row>
    <row r="139">
      <c r="L139" s="23">
        <f>IF($A139="","",IF($C139="","EKSİK","TAM"))</f>
        <v/>
      </c>
    </row>
    <row r="140">
      <c r="L140" s="23">
        <f>IF($A140="","",IF($C140="","EKSİK","TAM"))</f>
        <v/>
      </c>
    </row>
    <row r="141">
      <c r="L141" s="23">
        <f>IF($A141="","",IF($C141="","EKSİK","TAM"))</f>
        <v/>
      </c>
    </row>
    <row r="142">
      <c r="L142" s="23">
        <f>IF($A142="","",IF($C142="","EKSİK","TAM"))</f>
        <v/>
      </c>
    </row>
    <row r="143">
      <c r="L143" s="23">
        <f>IF($A143="","",IF($C143="","EKSİK","TAM"))</f>
        <v/>
      </c>
    </row>
    <row r="144">
      <c r="L144" s="23">
        <f>IF($A144="","",IF($C144="","EKSİK","TAM"))</f>
        <v/>
      </c>
    </row>
    <row r="145">
      <c r="L145" s="23">
        <f>IF($A145="","",IF($C145="","EKSİK","TAM"))</f>
        <v/>
      </c>
    </row>
    <row r="146">
      <c r="L146" s="23">
        <f>IF($A146="","",IF($C146="","EKSİK","TAM"))</f>
        <v/>
      </c>
    </row>
    <row r="147">
      <c r="L147" s="23">
        <f>IF($A147="","",IF($C147="","EKSİK","TAM"))</f>
        <v/>
      </c>
    </row>
    <row r="148">
      <c r="L148" s="23">
        <f>IF($A148="","",IF($C148="","EKSİK","TAM"))</f>
        <v/>
      </c>
    </row>
    <row r="149">
      <c r="L149" s="23">
        <f>IF($A149="","",IF($C149="","EKSİK","TAM"))</f>
        <v/>
      </c>
    </row>
    <row r="150">
      <c r="L150" s="23">
        <f>IF($A150="","",IF($C150="","EKSİK","TAM"))</f>
        <v/>
      </c>
    </row>
    <row r="151">
      <c r="L151" s="23">
        <f>IF($A151="","",IF($C151="","EKSİK","TAM"))</f>
        <v/>
      </c>
    </row>
    <row r="152">
      <c r="L152" s="23">
        <f>IF($A152="","",IF($C152="","EKSİK","TAM"))</f>
        <v/>
      </c>
    </row>
    <row r="153">
      <c r="L153" s="23">
        <f>IF($A153="","",IF($C153="","EKSİK","TAM"))</f>
        <v/>
      </c>
    </row>
    <row r="154">
      <c r="L154" s="23">
        <f>IF($A154="","",IF($C154="","EKSİK","TAM"))</f>
        <v/>
      </c>
    </row>
    <row r="155">
      <c r="L155" s="23">
        <f>IF($A155="","",IF($C155="","EKSİK","TAM"))</f>
        <v/>
      </c>
    </row>
    <row r="156">
      <c r="L156" s="23">
        <f>IF($A156="","",IF($C156="","EKSİK","TAM"))</f>
        <v/>
      </c>
    </row>
    <row r="157">
      <c r="L157" s="23">
        <f>IF($A157="","",IF($C157="","EKSİK","TAM"))</f>
        <v/>
      </c>
    </row>
    <row r="158">
      <c r="L158" s="23">
        <f>IF($A158="","",IF($C158="","EKSİK","TAM"))</f>
        <v/>
      </c>
    </row>
    <row r="159">
      <c r="L159" s="23">
        <f>IF($A159="","",IF($C159="","EKSİK","TAM"))</f>
        <v/>
      </c>
    </row>
    <row r="160">
      <c r="L160" s="23">
        <f>IF($A160="","",IF($C160="","EKSİK","TAM"))</f>
        <v/>
      </c>
    </row>
    <row r="161">
      <c r="L161" s="23">
        <f>IF($A161="","",IF($C161="","EKSİK","TAM"))</f>
        <v/>
      </c>
    </row>
    <row r="162">
      <c r="L162" s="23">
        <f>IF($A162="","",IF($C162="","EKSİK","TAM"))</f>
        <v/>
      </c>
    </row>
    <row r="163">
      <c r="L163" s="23">
        <f>IF($A163="","",IF($C163="","EKSİK","TAM"))</f>
        <v/>
      </c>
    </row>
    <row r="164">
      <c r="L164" s="23">
        <f>IF($A164="","",IF($C164="","EKSİK","TAM"))</f>
        <v/>
      </c>
    </row>
    <row r="165">
      <c r="L165" s="23">
        <f>IF($A165="","",IF($C165="","EKSİK","TAM"))</f>
        <v/>
      </c>
    </row>
    <row r="166">
      <c r="L166" s="23">
        <f>IF($A166="","",IF($C166="","EKSİK","TAM"))</f>
        <v/>
      </c>
    </row>
    <row r="167">
      <c r="L167" s="23">
        <f>IF($A167="","",IF($C167="","EKSİK","TAM"))</f>
        <v/>
      </c>
    </row>
    <row r="168">
      <c r="L168" s="23">
        <f>IF($A168="","",IF($C168="","EKSİK","TAM"))</f>
        <v/>
      </c>
    </row>
    <row r="169">
      <c r="L169" s="23">
        <f>IF($A169="","",IF($C169="","EKSİK","TAM"))</f>
        <v/>
      </c>
    </row>
    <row r="170">
      <c r="L170" s="23">
        <f>IF($A170="","",IF($C170="","EKSİK","TAM"))</f>
        <v/>
      </c>
    </row>
    <row r="171">
      <c r="L171" s="23">
        <f>IF($A171="","",IF($C171="","EKSİK","TAM"))</f>
        <v/>
      </c>
    </row>
    <row r="172">
      <c r="L172" s="23">
        <f>IF($A172="","",IF($C172="","EKSİK","TAM"))</f>
        <v/>
      </c>
    </row>
    <row r="173">
      <c r="L173" s="23">
        <f>IF($A173="","",IF($C173="","EKSİK","TAM"))</f>
        <v/>
      </c>
    </row>
    <row r="174">
      <c r="L174" s="23">
        <f>IF($A174="","",IF($C174="","EKSİK","TAM"))</f>
        <v/>
      </c>
    </row>
    <row r="175">
      <c r="L175" s="23">
        <f>IF($A175="","",IF($C175="","EKSİK","TAM"))</f>
        <v/>
      </c>
    </row>
    <row r="176">
      <c r="L176" s="23">
        <f>IF($A176="","",IF($C176="","EKSİK","TAM"))</f>
        <v/>
      </c>
    </row>
    <row r="177">
      <c r="L177" s="23">
        <f>IF($A177="","",IF($C177="","EKSİK","TAM"))</f>
        <v/>
      </c>
    </row>
    <row r="178">
      <c r="L178" s="23">
        <f>IF($A178="","",IF($C178="","EKSİK","TAM"))</f>
        <v/>
      </c>
    </row>
    <row r="179">
      <c r="L179" s="23">
        <f>IF($A179="","",IF($C179="","EKSİK","TAM"))</f>
        <v/>
      </c>
    </row>
    <row r="180">
      <c r="L180" s="23">
        <f>IF($A180="","",IF($C180="","EKSİK","TAM"))</f>
        <v/>
      </c>
    </row>
    <row r="181">
      <c r="L181" s="23">
        <f>IF($A181="","",IF($C181="","EKSİK","TAM"))</f>
        <v/>
      </c>
    </row>
    <row r="182">
      <c r="L182" s="23">
        <f>IF($A182="","",IF($C182="","EKSİK","TAM"))</f>
        <v/>
      </c>
    </row>
    <row r="183">
      <c r="L183" s="23">
        <f>IF($A183="","",IF($C183="","EKSİK","TAM"))</f>
        <v/>
      </c>
    </row>
    <row r="184">
      <c r="L184" s="23">
        <f>IF($A184="","",IF($C184="","EKSİK","TAM"))</f>
        <v/>
      </c>
    </row>
    <row r="185">
      <c r="L185" s="23">
        <f>IF($A185="","",IF($C185="","EKSİK","TAM"))</f>
        <v/>
      </c>
    </row>
    <row r="186">
      <c r="L186" s="23">
        <f>IF($A186="","",IF($C186="","EKSİK","TAM"))</f>
        <v/>
      </c>
    </row>
    <row r="187">
      <c r="L187" s="23">
        <f>IF($A187="","",IF($C187="","EKSİK","TAM"))</f>
        <v/>
      </c>
    </row>
    <row r="188">
      <c r="L188" s="23">
        <f>IF($A188="","",IF($C188="","EKSİK","TAM"))</f>
        <v/>
      </c>
    </row>
    <row r="189">
      <c r="L189" s="23">
        <f>IF($A189="","",IF($C189="","EKSİK","TAM"))</f>
        <v/>
      </c>
    </row>
    <row r="190">
      <c r="L190" s="23">
        <f>IF($A190="","",IF($C190="","EKSİK","TAM"))</f>
        <v/>
      </c>
    </row>
    <row r="191">
      <c r="L191" s="23">
        <f>IF($A191="","",IF($C191="","EKSİK","TAM"))</f>
        <v/>
      </c>
    </row>
    <row r="192">
      <c r="L192" s="23">
        <f>IF($A192="","",IF($C192="","EKSİK","TAM"))</f>
        <v/>
      </c>
    </row>
    <row r="193">
      <c r="L193" s="23">
        <f>IF($A193="","",IF($C193="","EKSİK","TAM"))</f>
        <v/>
      </c>
    </row>
    <row r="194">
      <c r="L194" s="23">
        <f>IF($A194="","",IF($C194="","EKSİK","TAM"))</f>
        <v/>
      </c>
    </row>
    <row r="195">
      <c r="L195" s="23">
        <f>IF($A195="","",IF($C195="","EKSİK","TAM"))</f>
        <v/>
      </c>
    </row>
    <row r="196">
      <c r="L196" s="23">
        <f>IF($A196="","",IF($C196="","EKSİK","TAM"))</f>
        <v/>
      </c>
    </row>
    <row r="197">
      <c r="L197" s="23">
        <f>IF($A197="","",IF($C197="","EKSİK","TAM"))</f>
        <v/>
      </c>
    </row>
    <row r="198">
      <c r="L198" s="23">
        <f>IF($A198="","",IF($C198="","EKSİK","TAM"))</f>
        <v/>
      </c>
    </row>
    <row r="199">
      <c r="L199" s="23">
        <f>IF($A199="","",IF($C199="","EKSİK","TAM"))</f>
        <v/>
      </c>
    </row>
    <row r="200">
      <c r="L200" s="23">
        <f>IF($A200="","",IF($C200="","EKSİK","TAM"))</f>
        <v/>
      </c>
    </row>
    <row r="201">
      <c r="L201" s="23">
        <f>IF($A201="","",IF($C201="","EKSİK","TAM"))</f>
        <v/>
      </c>
    </row>
    <row r="202">
      <c r="L202" s="23">
        <f>IF($A202="","",IF($C202="","EKSİK","TAM"))</f>
        <v/>
      </c>
    </row>
    <row r="203">
      <c r="L203" s="23">
        <f>IF($A203="","",IF($C203="","EKSİK","TAM"))</f>
        <v/>
      </c>
    </row>
    <row r="204">
      <c r="L204" s="23">
        <f>IF($A204="","",IF($C204="","EKSİK","TAM"))</f>
        <v/>
      </c>
    </row>
    <row r="205">
      <c r="L205" s="23">
        <f>IF($A205="","",IF($C205="","EKSİK","TAM"))</f>
        <v/>
      </c>
    </row>
    <row r="206">
      <c r="L206" s="23">
        <f>IF($A206="","",IF($C206="","EKSİK","TAM"))</f>
        <v/>
      </c>
    </row>
    <row r="207">
      <c r="L207" s="23">
        <f>IF($A207="","",IF($C207="","EKSİK","TAM"))</f>
        <v/>
      </c>
    </row>
    <row r="208">
      <c r="L208" s="23">
        <f>IF($A208="","",IF($C208="","EKSİK","TAM"))</f>
        <v/>
      </c>
    </row>
    <row r="209">
      <c r="L209" s="23">
        <f>IF($A209="","",IF($C209="","EKSİK","TAM"))</f>
        <v/>
      </c>
    </row>
    <row r="210">
      <c r="L210" s="23">
        <f>IF($A210="","",IF($C210="","EKSİK","TAM"))</f>
        <v/>
      </c>
    </row>
    <row r="211">
      <c r="L211" s="23">
        <f>IF($A211="","",IF($C211="","EKSİK","TAM"))</f>
        <v/>
      </c>
    </row>
    <row r="212">
      <c r="L212" s="23">
        <f>IF($A212="","",IF($C212="","EKSİK","TAM"))</f>
        <v/>
      </c>
    </row>
    <row r="213">
      <c r="L213" s="23">
        <f>IF($A213="","",IF($C213="","EKSİK","TAM"))</f>
        <v/>
      </c>
    </row>
    <row r="214">
      <c r="L214" s="23">
        <f>IF($A214="","",IF($C214="","EKSİK","TAM"))</f>
        <v/>
      </c>
    </row>
    <row r="215">
      <c r="L215" s="23">
        <f>IF($A215="","",IF($C215="","EKSİK","TAM"))</f>
        <v/>
      </c>
    </row>
    <row r="216">
      <c r="L216" s="23">
        <f>IF($A216="","",IF($C216="","EKSİK","TAM"))</f>
        <v/>
      </c>
    </row>
    <row r="217">
      <c r="L217" s="23">
        <f>IF($A217="","",IF($C217="","EKSİK","TAM"))</f>
        <v/>
      </c>
    </row>
    <row r="218">
      <c r="L218" s="23">
        <f>IF($A218="","",IF($C218="","EKSİK","TAM"))</f>
        <v/>
      </c>
    </row>
    <row r="219">
      <c r="L219" s="23">
        <f>IF($A219="","",IF($C219="","EKSİK","TAM"))</f>
        <v/>
      </c>
    </row>
    <row r="220">
      <c r="L220" s="23">
        <f>IF($A220="","",IF($C220="","EKSİK","TAM"))</f>
        <v/>
      </c>
    </row>
    <row r="221">
      <c r="L221" s="23">
        <f>IF($A221="","",IF($C221="","EKSİK","TAM"))</f>
        <v/>
      </c>
    </row>
    <row r="222">
      <c r="L222" s="23">
        <f>IF($A222="","",IF($C222="","EKSİK","TAM"))</f>
        <v/>
      </c>
    </row>
    <row r="223">
      <c r="L223" s="23">
        <f>IF($A223="","",IF($C223="","EKSİK","TAM"))</f>
        <v/>
      </c>
    </row>
    <row r="224">
      <c r="L224" s="23">
        <f>IF($A224="","",IF($C224="","EKSİK","TAM"))</f>
        <v/>
      </c>
    </row>
    <row r="225">
      <c r="L225" s="23">
        <f>IF($A225="","",IF($C225="","EKSİK","TAM"))</f>
        <v/>
      </c>
    </row>
    <row r="226">
      <c r="L226" s="23">
        <f>IF($A226="","",IF($C226="","EKSİK","TAM"))</f>
        <v/>
      </c>
    </row>
    <row r="227">
      <c r="L227" s="23">
        <f>IF($A227="","",IF($C227="","EKSİK","TAM"))</f>
        <v/>
      </c>
    </row>
    <row r="228">
      <c r="L228" s="23">
        <f>IF($A228="","",IF($C228="","EKSİK","TAM"))</f>
        <v/>
      </c>
    </row>
    <row r="229">
      <c r="L229" s="23">
        <f>IF($A229="","",IF($C229="","EKSİK","TAM"))</f>
        <v/>
      </c>
    </row>
    <row r="230">
      <c r="L230" s="23">
        <f>IF($A230="","",IF($C230="","EKSİK","TAM"))</f>
        <v/>
      </c>
    </row>
    <row r="231">
      <c r="L231" s="23">
        <f>IF($A231="","",IF($C231="","EKSİK","TAM"))</f>
        <v/>
      </c>
    </row>
    <row r="232">
      <c r="L232" s="23">
        <f>IF($A232="","",IF($C232="","EKSİK","TAM"))</f>
        <v/>
      </c>
    </row>
    <row r="233">
      <c r="L233" s="23">
        <f>IF($A233="","",IF($C233="","EKSİK","TAM"))</f>
        <v/>
      </c>
    </row>
    <row r="234">
      <c r="L234" s="23">
        <f>IF($A234="","",IF($C234="","EKSİK","TAM"))</f>
        <v/>
      </c>
    </row>
    <row r="235">
      <c r="L235" s="23">
        <f>IF($A235="","",IF($C235="","EKSİK","TAM"))</f>
        <v/>
      </c>
    </row>
    <row r="236">
      <c r="L236" s="23">
        <f>IF($A236="","",IF($C236="","EKSİK","TAM"))</f>
        <v/>
      </c>
    </row>
    <row r="237">
      <c r="L237" s="23">
        <f>IF($A237="","",IF($C237="","EKSİK","TAM"))</f>
        <v/>
      </c>
    </row>
    <row r="238">
      <c r="L238" s="23">
        <f>IF($A238="","",IF($C238="","EKSİK","TAM"))</f>
        <v/>
      </c>
    </row>
    <row r="239">
      <c r="L239" s="23">
        <f>IF($A239="","",IF($C239="","EKSİK","TAM"))</f>
        <v/>
      </c>
    </row>
    <row r="240">
      <c r="L240" s="23">
        <f>IF($A240="","",IF($C240="","EKSİK","TAM"))</f>
        <v/>
      </c>
    </row>
    <row r="241">
      <c r="L241" s="23">
        <f>IF($A241="","",IF($C241="","EKSİK","TAM"))</f>
        <v/>
      </c>
    </row>
    <row r="242">
      <c r="L242" s="23">
        <f>IF($A242="","",IF($C242="","EKSİK","TAM"))</f>
        <v/>
      </c>
    </row>
    <row r="243">
      <c r="L243" s="23">
        <f>IF($A243="","",IF($C243="","EKSİK","TAM"))</f>
        <v/>
      </c>
    </row>
    <row r="244">
      <c r="L244" s="23">
        <f>IF($A244="","",IF($C244="","EKSİK","TAM"))</f>
        <v/>
      </c>
    </row>
    <row r="245">
      <c r="L245" s="23">
        <f>IF($A245="","",IF($C245="","EKSİK","TAM"))</f>
        <v/>
      </c>
    </row>
    <row r="246">
      <c r="L246" s="23">
        <f>IF($A246="","",IF($C246="","EKSİK","TAM"))</f>
        <v/>
      </c>
    </row>
    <row r="247">
      <c r="L247" s="23">
        <f>IF($A247="","",IF($C247="","EKSİK","TAM"))</f>
        <v/>
      </c>
    </row>
    <row r="248">
      <c r="L248" s="23">
        <f>IF($A248="","",IF($C248="","EKSİK","TAM"))</f>
        <v/>
      </c>
    </row>
    <row r="249">
      <c r="L249" s="23">
        <f>IF($A249="","",IF($C249="","EKSİK","TAM"))</f>
        <v/>
      </c>
    </row>
    <row r="250">
      <c r="L250" s="23">
        <f>IF($A250="","",IF($C250="","EKSİK","TAM"))</f>
        <v/>
      </c>
    </row>
    <row r="251">
      <c r="L251" s="23">
        <f>IF($A251="","",IF($C251="","EKSİK","TAM"))</f>
        <v/>
      </c>
    </row>
    <row r="252">
      <c r="L252" s="23">
        <f>IF($A252="","",IF($C252="","EKSİK","TAM"))</f>
        <v/>
      </c>
    </row>
    <row r="253">
      <c r="L253" s="23">
        <f>IF($A253="","",IF($C253="","EKSİK","TAM"))</f>
        <v/>
      </c>
    </row>
    <row r="254">
      <c r="L254" s="23">
        <f>IF($A254="","",IF($C254="","EKSİK","TAM"))</f>
        <v/>
      </c>
    </row>
    <row r="255">
      <c r="L255" s="23">
        <f>IF($A255="","",IF($C255="","EKSİK","TAM"))</f>
        <v/>
      </c>
    </row>
    <row r="256">
      <c r="L256" s="23">
        <f>IF($A256="","",IF($C256="","EKSİK","TAM"))</f>
        <v/>
      </c>
    </row>
    <row r="257">
      <c r="L257" s="23">
        <f>IF($A257="","",IF($C257="","EKSİK","TAM"))</f>
        <v/>
      </c>
    </row>
    <row r="258">
      <c r="L258" s="23">
        <f>IF($A258="","",IF($C258="","EKSİK","TAM"))</f>
        <v/>
      </c>
    </row>
    <row r="259">
      <c r="L259" s="23">
        <f>IF($A259="","",IF($C259="","EKSİK","TAM"))</f>
        <v/>
      </c>
    </row>
    <row r="260">
      <c r="L260" s="23">
        <f>IF($A260="","",IF($C260="","EKSİK","TAM"))</f>
        <v/>
      </c>
    </row>
    <row r="261">
      <c r="L261" s="23">
        <f>IF($A261="","",IF($C261="","EKSİK","TAM"))</f>
        <v/>
      </c>
    </row>
    <row r="262">
      <c r="L262" s="23">
        <f>IF($A262="","",IF($C262="","EKSİK","TAM"))</f>
        <v/>
      </c>
    </row>
    <row r="263">
      <c r="L263" s="23">
        <f>IF($A263="","",IF($C263="","EKSİK","TAM"))</f>
        <v/>
      </c>
    </row>
    <row r="264">
      <c r="L264" s="23">
        <f>IF($A264="","",IF($C264="","EKSİK","TAM"))</f>
        <v/>
      </c>
    </row>
    <row r="265">
      <c r="L265" s="23">
        <f>IF($A265="","",IF($C265="","EKSİK","TAM"))</f>
        <v/>
      </c>
    </row>
    <row r="266">
      <c r="L266" s="23">
        <f>IF($A266="","",IF($C266="","EKSİK","TAM"))</f>
        <v/>
      </c>
    </row>
    <row r="267">
      <c r="L267" s="23">
        <f>IF($A267="","",IF($C267="","EKSİK","TAM"))</f>
        <v/>
      </c>
    </row>
    <row r="268">
      <c r="L268" s="23">
        <f>IF($A268="","",IF($C268="","EKSİK","TAM"))</f>
        <v/>
      </c>
    </row>
    <row r="269">
      <c r="L269" s="23">
        <f>IF($A269="","",IF($C269="","EKSİK","TAM"))</f>
        <v/>
      </c>
    </row>
    <row r="270">
      <c r="L270" s="23">
        <f>IF($A270="","",IF($C270="","EKSİK","TAM"))</f>
        <v/>
      </c>
    </row>
    <row r="271">
      <c r="L271" s="23">
        <f>IF($A271="","",IF($C271="","EKSİK","TAM"))</f>
        <v/>
      </c>
    </row>
    <row r="272">
      <c r="L272" s="23">
        <f>IF($A272="","",IF($C272="","EKSİK","TAM"))</f>
        <v/>
      </c>
    </row>
    <row r="273">
      <c r="L273" s="23">
        <f>IF($A273="","",IF($C273="","EKSİK","TAM"))</f>
        <v/>
      </c>
    </row>
    <row r="274">
      <c r="L274" s="23">
        <f>IF($A274="","",IF($C274="","EKSİK","TAM"))</f>
        <v/>
      </c>
    </row>
    <row r="275">
      <c r="L275" s="23">
        <f>IF($A275="","",IF($C275="","EKSİK","TAM"))</f>
        <v/>
      </c>
    </row>
    <row r="276">
      <c r="L276" s="23">
        <f>IF($A276="","",IF($C276="","EKSİK","TAM"))</f>
        <v/>
      </c>
    </row>
    <row r="277">
      <c r="L277" s="23">
        <f>IF($A277="","",IF($C277="","EKSİK","TAM"))</f>
        <v/>
      </c>
    </row>
    <row r="278">
      <c r="L278" s="23">
        <f>IF($A278="","",IF($C278="","EKSİK","TAM"))</f>
        <v/>
      </c>
    </row>
    <row r="279">
      <c r="L279" s="23">
        <f>IF($A279="","",IF($C279="","EKSİK","TAM"))</f>
        <v/>
      </c>
    </row>
    <row r="280">
      <c r="L280" s="23">
        <f>IF($A280="","",IF($C280="","EKSİK","TAM"))</f>
        <v/>
      </c>
    </row>
    <row r="281">
      <c r="L281" s="23">
        <f>IF($A281="","",IF($C281="","EKSİK","TAM"))</f>
        <v/>
      </c>
    </row>
    <row r="282">
      <c r="L282" s="23">
        <f>IF($A282="","",IF($C282="","EKSİK","TAM"))</f>
        <v/>
      </c>
    </row>
    <row r="283">
      <c r="L283" s="23">
        <f>IF($A283="","",IF($C283="","EKSİK","TAM"))</f>
        <v/>
      </c>
    </row>
    <row r="284">
      <c r="L284" s="23">
        <f>IF($A284="","",IF($C284="","EKSİK","TAM"))</f>
        <v/>
      </c>
    </row>
    <row r="285">
      <c r="L285" s="23">
        <f>IF($A285="","",IF($C285="","EKSİK","TAM"))</f>
        <v/>
      </c>
    </row>
    <row r="286">
      <c r="L286" s="23">
        <f>IF($A286="","",IF($C286="","EKSİK","TAM"))</f>
        <v/>
      </c>
    </row>
    <row r="287">
      <c r="L287" s="23">
        <f>IF($A287="","",IF($C287="","EKSİK","TAM"))</f>
        <v/>
      </c>
    </row>
    <row r="288">
      <c r="L288" s="23">
        <f>IF($A288="","",IF($C288="","EKSİK","TAM"))</f>
        <v/>
      </c>
    </row>
    <row r="289">
      <c r="L289" s="23">
        <f>IF($A289="","",IF($C289="","EKSİK","TAM"))</f>
        <v/>
      </c>
    </row>
    <row r="290">
      <c r="L290" s="23">
        <f>IF($A290="","",IF($C290="","EKSİK","TAM"))</f>
        <v/>
      </c>
    </row>
    <row r="291">
      <c r="L291" s="23">
        <f>IF($A291="","",IF($C291="","EKSİK","TAM"))</f>
        <v/>
      </c>
    </row>
    <row r="292">
      <c r="L292" s="23">
        <f>IF($A292="","",IF($C292="","EKSİK","TAM"))</f>
        <v/>
      </c>
    </row>
    <row r="293">
      <c r="L293" s="23">
        <f>IF($A293="","",IF($C293="","EKSİK","TAM"))</f>
        <v/>
      </c>
    </row>
    <row r="294">
      <c r="L294" s="23">
        <f>IF($A294="","",IF($C294="","EKSİK","TAM"))</f>
        <v/>
      </c>
    </row>
    <row r="295">
      <c r="L295" s="23">
        <f>IF($A295="","",IF($C295="","EKSİK","TAM"))</f>
        <v/>
      </c>
    </row>
    <row r="296">
      <c r="L296" s="23">
        <f>IF($A296="","",IF($C296="","EKSİK","TAM"))</f>
        <v/>
      </c>
    </row>
    <row r="297">
      <c r="L297" s="23">
        <f>IF($A297="","",IF($C297="","EKSİK","TAM"))</f>
        <v/>
      </c>
    </row>
    <row r="298">
      <c r="L298" s="23">
        <f>IF($A298="","",IF($C298="","EKSİK","TAM"))</f>
        <v/>
      </c>
    </row>
    <row r="299">
      <c r="L299" s="23">
        <f>IF($A299="","",IF($C299="","EKSİK","TAM"))</f>
        <v/>
      </c>
    </row>
    <row r="300">
      <c r="L300" s="23">
        <f>IF($A300="","",IF($C300="","EKSİK","TAM"))</f>
        <v/>
      </c>
    </row>
    <row r="301">
      <c r="L301" s="23">
        <f>IF($A301="","",IF($C301="","EKSİK","TAM"))</f>
        <v/>
      </c>
    </row>
    <row r="302">
      <c r="L302" s="23">
        <f>IF($A302="","",IF($C302="","EKSİK","TAM"))</f>
        <v/>
      </c>
    </row>
    <row r="303">
      <c r="L303" s="23">
        <f>IF($A303="","",IF($C303="","EKSİK","TAM"))</f>
        <v/>
      </c>
    </row>
    <row r="304">
      <c r="L304" s="23">
        <f>IF($A304="","",IF($C304="","EKSİK","TAM"))</f>
        <v/>
      </c>
    </row>
    <row r="305">
      <c r="L305" s="23">
        <f>IF($A305="","",IF($C305="","EKSİK","TAM"))</f>
        <v/>
      </c>
    </row>
    <row r="306">
      <c r="L306" s="23">
        <f>IF($A306="","",IF($C306="","EKSİK","TAM"))</f>
        <v/>
      </c>
    </row>
    <row r="307">
      <c r="L307" s="23">
        <f>IF($A307="","",IF($C307="","EKSİK","TAM"))</f>
        <v/>
      </c>
    </row>
    <row r="308">
      <c r="L308" s="23">
        <f>IF($A308="","",IF($C308="","EKSİK","TAM"))</f>
        <v/>
      </c>
    </row>
    <row r="309">
      <c r="L309" s="23">
        <f>IF($A309="","",IF($C309="","EKSİK","TAM"))</f>
        <v/>
      </c>
    </row>
    <row r="310">
      <c r="L310" s="23">
        <f>IF($A310="","",IF($C310="","EKSİK","TAM"))</f>
        <v/>
      </c>
    </row>
    <row r="311">
      <c r="L311" s="23">
        <f>IF($A311="","",IF($C311="","EKSİK","TAM"))</f>
        <v/>
      </c>
    </row>
    <row r="312">
      <c r="L312" s="23">
        <f>IF($A312="","",IF($C312="","EKSİK","TAM"))</f>
        <v/>
      </c>
    </row>
    <row r="313">
      <c r="L313" s="23">
        <f>IF($A313="","",IF($C313="","EKSİK","TAM"))</f>
        <v/>
      </c>
    </row>
    <row r="314">
      <c r="L314" s="23">
        <f>IF($A314="","",IF($C314="","EKSİK","TAM"))</f>
        <v/>
      </c>
    </row>
    <row r="315">
      <c r="L315" s="23">
        <f>IF($A315="","",IF($C315="","EKSİK","TAM"))</f>
        <v/>
      </c>
    </row>
    <row r="316">
      <c r="L316" s="23">
        <f>IF($A316="","",IF($C316="","EKSİK","TAM"))</f>
        <v/>
      </c>
    </row>
    <row r="317">
      <c r="L317" s="23">
        <f>IF($A317="","",IF($C317="","EKSİK","TAM"))</f>
        <v/>
      </c>
    </row>
    <row r="318">
      <c r="L318" s="23">
        <f>IF($A318="","",IF($C318="","EKSİK","TAM"))</f>
        <v/>
      </c>
    </row>
    <row r="319">
      <c r="L319" s="23">
        <f>IF($A319="","",IF($C319="","EKSİK","TAM"))</f>
        <v/>
      </c>
    </row>
    <row r="320">
      <c r="L320" s="23">
        <f>IF($A320="","",IF($C320="","EKSİK","TAM"))</f>
        <v/>
      </c>
    </row>
    <row r="321">
      <c r="L321" s="23">
        <f>IF($A321="","",IF($C321="","EKSİK","TAM"))</f>
        <v/>
      </c>
    </row>
    <row r="322">
      <c r="L322" s="23">
        <f>IF($A322="","",IF($C322="","EKSİK","TAM"))</f>
        <v/>
      </c>
    </row>
    <row r="323">
      <c r="L323" s="23">
        <f>IF($A323="","",IF($C323="","EKSİK","TAM"))</f>
        <v/>
      </c>
    </row>
    <row r="324">
      <c r="L324" s="23">
        <f>IF($A324="","",IF($C324="","EKSİK","TAM"))</f>
        <v/>
      </c>
    </row>
    <row r="325">
      <c r="L325" s="23">
        <f>IF($A325="","",IF($C325="","EKSİK","TAM"))</f>
        <v/>
      </c>
    </row>
    <row r="326">
      <c r="L326" s="23">
        <f>IF($A326="","",IF($C326="","EKSİK","TAM"))</f>
        <v/>
      </c>
    </row>
    <row r="327">
      <c r="L327" s="23">
        <f>IF($A327="","",IF($C327="","EKSİK","TAM"))</f>
        <v/>
      </c>
    </row>
    <row r="328">
      <c r="L328" s="23">
        <f>IF($A328="","",IF($C328="","EKSİK","TAM"))</f>
        <v/>
      </c>
    </row>
    <row r="329">
      <c r="L329" s="23">
        <f>IF($A329="","",IF($C329="","EKSİK","TAM"))</f>
        <v/>
      </c>
    </row>
    <row r="330">
      <c r="L330" s="23">
        <f>IF($A330="","",IF($C330="","EKSİK","TAM"))</f>
        <v/>
      </c>
    </row>
    <row r="331">
      <c r="L331" s="23">
        <f>IF($A331="","",IF($C331="","EKSİK","TAM"))</f>
        <v/>
      </c>
    </row>
    <row r="332">
      <c r="L332" s="23">
        <f>IF($A332="","",IF($C332="","EKSİK","TAM"))</f>
        <v/>
      </c>
    </row>
    <row r="333">
      <c r="L333" s="23">
        <f>IF($A333="","",IF($C333="","EKSİK","TAM"))</f>
        <v/>
      </c>
    </row>
    <row r="334">
      <c r="L334" s="23">
        <f>IF($A334="","",IF($C334="","EKSİK","TAM"))</f>
        <v/>
      </c>
    </row>
    <row r="335">
      <c r="L335" s="23">
        <f>IF($A335="","",IF($C335="","EKSİK","TAM"))</f>
        <v/>
      </c>
    </row>
    <row r="336">
      <c r="L336" s="23">
        <f>IF($A336="","",IF($C336="","EKSİK","TAM"))</f>
        <v/>
      </c>
    </row>
    <row r="337">
      <c r="L337" s="23">
        <f>IF($A337="","",IF($C337="","EKSİK","TAM"))</f>
        <v/>
      </c>
    </row>
    <row r="338">
      <c r="L338" s="23">
        <f>IF($A338="","",IF($C338="","EKSİK","TAM"))</f>
        <v/>
      </c>
    </row>
    <row r="339">
      <c r="L339" s="23">
        <f>IF($A339="","",IF($C339="","EKSİK","TAM"))</f>
        <v/>
      </c>
    </row>
    <row r="340">
      <c r="L340" s="23">
        <f>IF($A340="","",IF($C340="","EKSİK","TAM"))</f>
        <v/>
      </c>
    </row>
    <row r="341">
      <c r="L341" s="23">
        <f>IF($A341="","",IF($C341="","EKSİK","TAM"))</f>
        <v/>
      </c>
    </row>
    <row r="342">
      <c r="L342" s="23">
        <f>IF($A342="","",IF($C342="","EKSİK","TAM"))</f>
        <v/>
      </c>
    </row>
    <row r="343">
      <c r="L343" s="23">
        <f>IF($A343="","",IF($C343="","EKSİK","TAM"))</f>
        <v/>
      </c>
    </row>
    <row r="344">
      <c r="L344" s="23">
        <f>IF($A344="","",IF($C344="","EKSİK","TAM"))</f>
        <v/>
      </c>
    </row>
    <row r="345">
      <c r="L345" s="23">
        <f>IF($A345="","",IF($C345="","EKSİK","TAM"))</f>
        <v/>
      </c>
    </row>
    <row r="346">
      <c r="L346" s="23">
        <f>IF($A346="","",IF($C346="","EKSİK","TAM"))</f>
        <v/>
      </c>
    </row>
    <row r="347">
      <c r="L347" s="23">
        <f>IF($A347="","",IF($C347="","EKSİK","TAM"))</f>
        <v/>
      </c>
    </row>
    <row r="348">
      <c r="L348" s="23">
        <f>IF($A348="","",IF($C348="","EKSİK","TAM"))</f>
        <v/>
      </c>
    </row>
    <row r="349">
      <c r="L349" s="23">
        <f>IF($A349="","",IF($C349="","EKSİK","TAM"))</f>
        <v/>
      </c>
    </row>
    <row r="350">
      <c r="L350" s="23">
        <f>IF($A350="","",IF($C350="","EKSİK","TAM"))</f>
        <v/>
      </c>
    </row>
    <row r="351">
      <c r="L351" s="23">
        <f>IF($A351="","",IF($C351="","EKSİK","TAM"))</f>
        <v/>
      </c>
    </row>
    <row r="352">
      <c r="L352" s="23">
        <f>IF($A352="","",IF($C352="","EKSİK","TAM"))</f>
        <v/>
      </c>
    </row>
    <row r="353">
      <c r="L353" s="23">
        <f>IF($A353="","",IF($C353="","EKSİK","TAM"))</f>
        <v/>
      </c>
    </row>
    <row r="354">
      <c r="L354" s="23">
        <f>IF($A354="","",IF($C354="","EKSİK","TAM"))</f>
        <v/>
      </c>
    </row>
    <row r="355">
      <c r="L355" s="23">
        <f>IF($A355="","",IF($C355="","EKSİK","TAM"))</f>
        <v/>
      </c>
    </row>
    <row r="356">
      <c r="L356" s="23">
        <f>IF($A356="","",IF($C356="","EKSİK","TAM"))</f>
        <v/>
      </c>
    </row>
    <row r="357">
      <c r="L357" s="23">
        <f>IF($A357="","",IF($C357="","EKSİK","TAM"))</f>
        <v/>
      </c>
    </row>
    <row r="358">
      <c r="L358" s="23">
        <f>IF($A358="","",IF($C358="","EKSİK","TAM"))</f>
        <v/>
      </c>
    </row>
    <row r="359">
      <c r="L359" s="23">
        <f>IF($A359="","",IF($C359="","EKSİK","TAM"))</f>
        <v/>
      </c>
    </row>
    <row r="360">
      <c r="L360" s="23">
        <f>IF($A360="","",IF($C360="","EKSİK","TAM"))</f>
        <v/>
      </c>
    </row>
    <row r="361">
      <c r="L361" s="23">
        <f>IF($A361="","",IF($C361="","EKSİK","TAM"))</f>
        <v/>
      </c>
    </row>
    <row r="362">
      <c r="L362" s="23">
        <f>IF($A362="","",IF($C362="","EKSİK","TAM"))</f>
        <v/>
      </c>
    </row>
    <row r="363">
      <c r="L363" s="23">
        <f>IF($A363="","",IF($C363="","EKSİK","TAM"))</f>
        <v/>
      </c>
    </row>
    <row r="364">
      <c r="L364" s="23">
        <f>IF($A364="","",IF($C364="","EKSİK","TAM"))</f>
        <v/>
      </c>
    </row>
    <row r="365">
      <c r="L365" s="23">
        <f>IF($A365="","",IF($C365="","EKSİK","TAM"))</f>
        <v/>
      </c>
    </row>
    <row r="366">
      <c r="L366" s="23">
        <f>IF($A366="","",IF($C366="","EKSİK","TAM"))</f>
        <v/>
      </c>
    </row>
    <row r="367">
      <c r="L367" s="23">
        <f>IF($A367="","",IF($C367="","EKSİK","TAM"))</f>
        <v/>
      </c>
    </row>
    <row r="368">
      <c r="L368" s="23">
        <f>IF($A368="","",IF($C368="","EKSİK","TAM"))</f>
        <v/>
      </c>
    </row>
    <row r="369">
      <c r="L369" s="23">
        <f>IF($A369="","",IF($C369="","EKSİK","TAM"))</f>
        <v/>
      </c>
    </row>
    <row r="370">
      <c r="L370" s="23">
        <f>IF($A370="","",IF($C370="","EKSİK","TAM"))</f>
        <v/>
      </c>
    </row>
    <row r="371">
      <c r="L371" s="23">
        <f>IF($A371="","",IF($C371="","EKSİK","TAM"))</f>
        <v/>
      </c>
    </row>
    <row r="372">
      <c r="L372" s="23">
        <f>IF($A372="","",IF($C372="","EKSİK","TAM"))</f>
        <v/>
      </c>
    </row>
    <row r="373">
      <c r="L373" s="23">
        <f>IF($A373="","",IF($C373="","EKSİK","TAM"))</f>
        <v/>
      </c>
    </row>
    <row r="374">
      <c r="L374" s="23">
        <f>IF($A374="","",IF($C374="","EKSİK","TAM"))</f>
        <v/>
      </c>
    </row>
    <row r="375">
      <c r="L375" s="23">
        <f>IF($A375="","",IF($C375="","EKSİK","TAM"))</f>
        <v/>
      </c>
    </row>
    <row r="376">
      <c r="L376" s="23">
        <f>IF($A376="","",IF($C376="","EKSİK","TAM"))</f>
        <v/>
      </c>
    </row>
    <row r="377">
      <c r="L377" s="23">
        <f>IF($A377="","",IF($C377="","EKSİK","TAM"))</f>
        <v/>
      </c>
    </row>
    <row r="378">
      <c r="L378" s="23">
        <f>IF($A378="","",IF($C378="","EKSİK","TAM"))</f>
        <v/>
      </c>
    </row>
    <row r="379">
      <c r="L379" s="23">
        <f>IF($A379="","",IF($C379="","EKSİK","TAM"))</f>
        <v/>
      </c>
    </row>
    <row r="380">
      <c r="L380" s="23">
        <f>IF($A380="","",IF($C380="","EKSİK","TAM"))</f>
        <v/>
      </c>
    </row>
    <row r="381">
      <c r="L381" s="23">
        <f>IF($A381="","",IF($C381="","EKSİK","TAM"))</f>
        <v/>
      </c>
    </row>
    <row r="382">
      <c r="L382" s="23">
        <f>IF($A382="","",IF($C382="","EKSİK","TAM"))</f>
        <v/>
      </c>
    </row>
    <row r="383">
      <c r="L383" s="23">
        <f>IF($A383="","",IF($C383="","EKSİK","TAM"))</f>
        <v/>
      </c>
    </row>
    <row r="384">
      <c r="L384" s="23">
        <f>IF($A384="","",IF($C384="","EKSİK","TAM"))</f>
        <v/>
      </c>
    </row>
    <row r="385">
      <c r="L385" s="23">
        <f>IF($A385="","",IF($C385="","EKSİK","TAM"))</f>
        <v/>
      </c>
    </row>
    <row r="386">
      <c r="L386" s="23">
        <f>IF($A386="","",IF($C386="","EKSİK","TAM"))</f>
        <v/>
      </c>
    </row>
    <row r="387">
      <c r="L387" s="23">
        <f>IF($A387="","",IF($C387="","EKSİK","TAM"))</f>
        <v/>
      </c>
    </row>
    <row r="388">
      <c r="L388" s="23">
        <f>IF($A388="","",IF($C388="","EKSİK","TAM"))</f>
        <v/>
      </c>
    </row>
    <row r="389">
      <c r="L389" s="23">
        <f>IF($A389="","",IF($C389="","EKSİK","TAM"))</f>
        <v/>
      </c>
    </row>
    <row r="390">
      <c r="L390" s="23">
        <f>IF($A390="","",IF($C390="","EKSİK","TAM"))</f>
        <v/>
      </c>
    </row>
    <row r="391">
      <c r="L391" s="23">
        <f>IF($A391="","",IF($C391="","EKSİK","TAM"))</f>
        <v/>
      </c>
    </row>
    <row r="392">
      <c r="L392" s="23">
        <f>IF($A392="","",IF($C392="","EKSİK","TAM"))</f>
        <v/>
      </c>
    </row>
    <row r="393">
      <c r="L393" s="23">
        <f>IF($A393="","",IF($C393="","EKSİK","TAM"))</f>
        <v/>
      </c>
    </row>
    <row r="394">
      <c r="L394" s="23">
        <f>IF($A394="","",IF($C394="","EKSİK","TAM"))</f>
        <v/>
      </c>
    </row>
    <row r="395">
      <c r="L395" s="23">
        <f>IF($A395="","",IF($C395="","EKSİK","TAM"))</f>
        <v/>
      </c>
    </row>
    <row r="396">
      <c r="L396" s="23">
        <f>IF($A396="","",IF($C396="","EKSİK","TAM"))</f>
        <v/>
      </c>
    </row>
    <row r="397">
      <c r="L397" s="23">
        <f>IF($A397="","",IF($C397="","EKSİK","TAM"))</f>
        <v/>
      </c>
    </row>
    <row r="398">
      <c r="L398" s="23">
        <f>IF($A398="","",IF($C398="","EKSİK","TAM"))</f>
        <v/>
      </c>
    </row>
    <row r="399">
      <c r="L399" s="23">
        <f>IF($A399="","",IF($C399="","EKSİK","TAM"))</f>
        <v/>
      </c>
    </row>
    <row r="400">
      <c r="L400" s="23">
        <f>IF($A400="","",IF($C400="","EKSİK","TAM"))</f>
        <v/>
      </c>
    </row>
    <row r="401">
      <c r="L401" s="23">
        <f>IF($A401="","",IF($C401="","EKSİK","TAM"))</f>
        <v/>
      </c>
    </row>
    <row r="402">
      <c r="L402" s="23">
        <f>IF($A402="","",IF($C402="","EKSİK","TAM"))</f>
        <v/>
      </c>
    </row>
    <row r="403">
      <c r="L403" s="23">
        <f>IF($A403="","",IF($C403="","EKSİK","TAM"))</f>
        <v/>
      </c>
    </row>
    <row r="404">
      <c r="L404" s="23">
        <f>IF($A404="","",IF($C404="","EKSİK","TAM"))</f>
        <v/>
      </c>
    </row>
    <row r="405">
      <c r="L405" s="23">
        <f>IF($A405="","",IF($C405="","EKSİK","TAM"))</f>
        <v/>
      </c>
    </row>
    <row r="406">
      <c r="L406" s="23">
        <f>IF($A406="","",IF($C406="","EKSİK","TAM"))</f>
        <v/>
      </c>
    </row>
    <row r="407">
      <c r="L407" s="23">
        <f>IF($A407="","",IF($C407="","EKSİK","TAM"))</f>
        <v/>
      </c>
    </row>
    <row r="408">
      <c r="L408" s="23">
        <f>IF($A408="","",IF($C408="","EKSİK","TAM"))</f>
        <v/>
      </c>
    </row>
    <row r="409">
      <c r="L409" s="23">
        <f>IF($A409="","",IF($C409="","EKSİK","TAM"))</f>
        <v/>
      </c>
    </row>
    <row r="410">
      <c r="L410" s="23">
        <f>IF($A410="","",IF($C410="","EKSİK","TAM"))</f>
        <v/>
      </c>
    </row>
    <row r="411">
      <c r="L411" s="23">
        <f>IF($A411="","",IF($C411="","EKSİK","TAM"))</f>
        <v/>
      </c>
    </row>
    <row r="412">
      <c r="L412" s="23">
        <f>IF($A412="","",IF($C412="","EKSİK","TAM"))</f>
        <v/>
      </c>
    </row>
    <row r="413">
      <c r="L413" s="23">
        <f>IF($A413="","",IF($C413="","EKSİK","TAM"))</f>
        <v/>
      </c>
    </row>
    <row r="414">
      <c r="L414" s="23">
        <f>IF($A414="","",IF($C414="","EKSİK","TAM"))</f>
        <v/>
      </c>
    </row>
    <row r="415">
      <c r="L415" s="23">
        <f>IF($A415="","",IF($C415="","EKSİK","TAM"))</f>
        <v/>
      </c>
    </row>
    <row r="416">
      <c r="L416" s="23">
        <f>IF($A416="","",IF($C416="","EKSİK","TAM"))</f>
        <v/>
      </c>
    </row>
    <row r="417">
      <c r="L417" s="23">
        <f>IF($A417="","",IF($C417="","EKSİK","TAM"))</f>
        <v/>
      </c>
    </row>
    <row r="418">
      <c r="L418" s="23">
        <f>IF($A418="","",IF($C418="","EKSİK","TAM"))</f>
        <v/>
      </c>
    </row>
    <row r="419">
      <c r="L419" s="23">
        <f>IF($A419="","",IF($C419="","EKSİK","TAM"))</f>
        <v/>
      </c>
    </row>
    <row r="420">
      <c r="L420" s="23">
        <f>IF($A420="","",IF($C420="","EKSİK","TAM"))</f>
        <v/>
      </c>
    </row>
    <row r="421">
      <c r="L421" s="23">
        <f>IF($A421="","",IF($C421="","EKSİK","TAM"))</f>
        <v/>
      </c>
    </row>
    <row r="422">
      <c r="L422" s="23">
        <f>IF($A422="","",IF($C422="","EKSİK","TAM"))</f>
        <v/>
      </c>
    </row>
    <row r="423">
      <c r="L423" s="23">
        <f>IF($A423="","",IF($C423="","EKSİK","TAM"))</f>
        <v/>
      </c>
    </row>
    <row r="424">
      <c r="L424" s="23">
        <f>IF($A424="","",IF($C424="","EKSİK","TAM"))</f>
        <v/>
      </c>
    </row>
    <row r="425">
      <c r="L425" s="23">
        <f>IF($A425="","",IF($C425="","EKSİK","TAM"))</f>
        <v/>
      </c>
    </row>
    <row r="426">
      <c r="L426" s="23">
        <f>IF($A426="","",IF($C426="","EKSİK","TAM"))</f>
        <v/>
      </c>
    </row>
    <row r="427">
      <c r="L427" s="23">
        <f>IF($A427="","",IF($C427="","EKSİK","TAM"))</f>
        <v/>
      </c>
    </row>
    <row r="428">
      <c r="L428" s="23">
        <f>IF($A428="","",IF($C428="","EKSİK","TAM"))</f>
        <v/>
      </c>
    </row>
    <row r="429">
      <c r="L429" s="23">
        <f>IF($A429="","",IF($C429="","EKSİK","TAM"))</f>
        <v/>
      </c>
    </row>
    <row r="430">
      <c r="L430" s="23">
        <f>IF($A430="","",IF($C430="","EKSİK","TAM"))</f>
        <v/>
      </c>
    </row>
    <row r="431">
      <c r="L431" s="23">
        <f>IF($A431="","",IF($C431="","EKSİK","TAM"))</f>
        <v/>
      </c>
    </row>
    <row r="432">
      <c r="L432" s="23">
        <f>IF($A432="","",IF($C432="","EKSİK","TAM"))</f>
        <v/>
      </c>
    </row>
    <row r="433">
      <c r="L433" s="23">
        <f>IF($A433="","",IF($C433="","EKSİK","TAM"))</f>
        <v/>
      </c>
    </row>
    <row r="434">
      <c r="L434" s="23">
        <f>IF($A434="","",IF($C434="","EKSİK","TAM"))</f>
        <v/>
      </c>
    </row>
    <row r="435">
      <c r="L435" s="23">
        <f>IF($A435="","",IF($C435="","EKSİK","TAM"))</f>
        <v/>
      </c>
    </row>
    <row r="436">
      <c r="L436" s="23">
        <f>IF($A436="","",IF($C436="","EKSİK","TAM"))</f>
        <v/>
      </c>
    </row>
    <row r="437">
      <c r="L437" s="23">
        <f>IF($A437="","",IF($C437="","EKSİK","TAM"))</f>
        <v/>
      </c>
    </row>
    <row r="438">
      <c r="L438" s="23">
        <f>IF($A438="","",IF($C438="","EKSİK","TAM"))</f>
        <v/>
      </c>
    </row>
    <row r="439">
      <c r="L439" s="23">
        <f>IF($A439="","",IF($C439="","EKSİK","TAM"))</f>
        <v/>
      </c>
    </row>
    <row r="440">
      <c r="L440" s="23">
        <f>IF($A440="","",IF($C440="","EKSİK","TAM"))</f>
        <v/>
      </c>
    </row>
    <row r="441">
      <c r="L441" s="23">
        <f>IF($A441="","",IF($C441="","EKSİK","TAM"))</f>
        <v/>
      </c>
    </row>
    <row r="442">
      <c r="L442" s="23">
        <f>IF($A442="","",IF($C442="","EKSİK","TAM"))</f>
        <v/>
      </c>
    </row>
    <row r="443">
      <c r="L443" s="23">
        <f>IF($A443="","",IF($C443="","EKSİK","TAM"))</f>
        <v/>
      </c>
    </row>
    <row r="444">
      <c r="L444" s="23">
        <f>IF($A444="","",IF($C444="","EKSİK","TAM"))</f>
        <v/>
      </c>
    </row>
    <row r="445">
      <c r="L445" s="23">
        <f>IF($A445="","",IF($C445="","EKSİK","TAM"))</f>
        <v/>
      </c>
    </row>
    <row r="446">
      <c r="L446" s="23">
        <f>IF($A446="","",IF($C446="","EKSİK","TAM"))</f>
        <v/>
      </c>
    </row>
    <row r="447">
      <c r="L447" s="23">
        <f>IF($A447="","",IF($C447="","EKSİK","TAM"))</f>
        <v/>
      </c>
    </row>
    <row r="448">
      <c r="L448" s="23">
        <f>IF($A448="","",IF($C448="","EKSİK","TAM"))</f>
        <v/>
      </c>
    </row>
    <row r="449">
      <c r="L449" s="23">
        <f>IF($A449="","",IF($C449="","EKSİK","TAM"))</f>
        <v/>
      </c>
    </row>
    <row r="450">
      <c r="L450" s="23">
        <f>IF($A450="","",IF($C450="","EKSİK","TAM"))</f>
        <v/>
      </c>
    </row>
    <row r="451">
      <c r="L451" s="23">
        <f>IF($A451="","",IF($C451="","EKSİK","TAM"))</f>
        <v/>
      </c>
    </row>
    <row r="452">
      <c r="L452" s="23">
        <f>IF($A452="","",IF($C452="","EKSİK","TAM"))</f>
        <v/>
      </c>
    </row>
    <row r="453">
      <c r="L453" s="23">
        <f>IF($A453="","",IF($C453="","EKSİK","TAM"))</f>
        <v/>
      </c>
    </row>
    <row r="454">
      <c r="L454" s="23">
        <f>IF($A454="","",IF($C454="","EKSİK","TAM"))</f>
        <v/>
      </c>
    </row>
    <row r="455">
      <c r="L455" s="23">
        <f>IF($A455="","",IF($C455="","EKSİK","TAM"))</f>
        <v/>
      </c>
    </row>
    <row r="456">
      <c r="L456" s="23">
        <f>IF($A456="","",IF($C456="","EKSİK","TAM"))</f>
        <v/>
      </c>
    </row>
    <row r="457">
      <c r="L457" s="23">
        <f>IF($A457="","",IF($C457="","EKSİK","TAM"))</f>
        <v/>
      </c>
    </row>
    <row r="458">
      <c r="L458" s="23">
        <f>IF($A458="","",IF($C458="","EKSİK","TAM"))</f>
        <v/>
      </c>
    </row>
    <row r="459">
      <c r="L459" s="23">
        <f>IF($A459="","",IF($C459="","EKSİK","TAM"))</f>
        <v/>
      </c>
    </row>
    <row r="460">
      <c r="L460" s="23">
        <f>IF($A460="","",IF($C460="","EKSİK","TAM"))</f>
        <v/>
      </c>
    </row>
    <row r="461">
      <c r="L461" s="23">
        <f>IF($A461="","",IF($C461="","EKSİK","TAM"))</f>
        <v/>
      </c>
    </row>
    <row r="462">
      <c r="L462" s="23">
        <f>IF($A462="","",IF($C462="","EKSİK","TAM"))</f>
        <v/>
      </c>
    </row>
    <row r="463">
      <c r="L463" s="23">
        <f>IF($A463="","",IF($C463="","EKSİK","TAM"))</f>
        <v/>
      </c>
    </row>
    <row r="464">
      <c r="L464" s="23">
        <f>IF($A464="","",IF($C464="","EKSİK","TAM"))</f>
        <v/>
      </c>
    </row>
    <row r="465">
      <c r="L465" s="23">
        <f>IF($A465="","",IF($C465="","EKSİK","TAM"))</f>
        <v/>
      </c>
    </row>
    <row r="466">
      <c r="L466" s="23">
        <f>IF($A466="","",IF($C466="","EKSİK","TAM"))</f>
        <v/>
      </c>
    </row>
    <row r="467">
      <c r="L467" s="23">
        <f>IF($A467="","",IF($C467="","EKSİK","TAM"))</f>
        <v/>
      </c>
    </row>
    <row r="468">
      <c r="L468" s="23">
        <f>IF($A468="","",IF($C468="","EKSİK","TAM"))</f>
        <v/>
      </c>
    </row>
    <row r="469">
      <c r="L469" s="23">
        <f>IF($A469="","",IF($C469="","EKSİK","TAM"))</f>
        <v/>
      </c>
    </row>
    <row r="470">
      <c r="L470" s="23">
        <f>IF($A470="","",IF($C470="","EKSİK","TAM"))</f>
        <v/>
      </c>
    </row>
    <row r="471">
      <c r="L471" s="23">
        <f>IF($A471="","",IF($C471="","EKSİK","TAM"))</f>
        <v/>
      </c>
    </row>
    <row r="472">
      <c r="L472" s="23">
        <f>IF($A472="","",IF($C472="","EKSİK","TAM"))</f>
        <v/>
      </c>
    </row>
    <row r="473">
      <c r="L473" s="23">
        <f>IF($A473="","",IF($C473="","EKSİK","TAM"))</f>
        <v/>
      </c>
    </row>
    <row r="474">
      <c r="L474" s="23">
        <f>IF($A474="","",IF($C474="","EKSİK","TAM"))</f>
        <v/>
      </c>
    </row>
    <row r="475">
      <c r="L475" s="23">
        <f>IF($A475="","",IF($C475="","EKSİK","TAM"))</f>
        <v/>
      </c>
    </row>
    <row r="476">
      <c r="L476" s="23">
        <f>IF($A476="","",IF($C476="","EKSİK","TAM"))</f>
        <v/>
      </c>
    </row>
    <row r="477">
      <c r="L477" s="23">
        <f>IF($A477="","",IF($C477="","EKSİK","TAM"))</f>
        <v/>
      </c>
    </row>
    <row r="478">
      <c r="L478" s="23">
        <f>IF($A478="","",IF($C478="","EKSİK","TAM"))</f>
        <v/>
      </c>
    </row>
    <row r="479">
      <c r="L479" s="23">
        <f>IF($A479="","",IF($C479="","EKSİK","TAM"))</f>
        <v/>
      </c>
    </row>
    <row r="480">
      <c r="L480" s="23">
        <f>IF($A480="","",IF($C480="","EKSİK","TAM"))</f>
        <v/>
      </c>
    </row>
    <row r="481">
      <c r="L481" s="23">
        <f>IF($A481="","",IF($C481="","EKSİK","TAM"))</f>
        <v/>
      </c>
    </row>
    <row r="482">
      <c r="L482" s="23">
        <f>IF($A482="","",IF($C482="","EKSİK","TAM"))</f>
        <v/>
      </c>
    </row>
    <row r="483">
      <c r="L483" s="23">
        <f>IF($A483="","",IF($C483="","EKSİK","TAM"))</f>
        <v/>
      </c>
    </row>
    <row r="484">
      <c r="L484" s="23">
        <f>IF($A484="","",IF($C484="","EKSİK","TAM"))</f>
        <v/>
      </c>
    </row>
    <row r="485">
      <c r="L485" s="23">
        <f>IF($A485="","",IF($C485="","EKSİK","TAM"))</f>
        <v/>
      </c>
    </row>
    <row r="486">
      <c r="L486" s="23">
        <f>IF($A486="","",IF($C486="","EKSİK","TAM"))</f>
        <v/>
      </c>
    </row>
    <row r="487">
      <c r="L487" s="23">
        <f>IF($A487="","",IF($C487="","EKSİK","TAM"))</f>
        <v/>
      </c>
    </row>
    <row r="488">
      <c r="L488" s="23">
        <f>IF($A488="","",IF($C488="","EKSİK","TAM"))</f>
        <v/>
      </c>
    </row>
    <row r="489">
      <c r="L489" s="23">
        <f>IF($A489="","",IF($C489="","EKSİK","TAM"))</f>
        <v/>
      </c>
    </row>
    <row r="490">
      <c r="L490" s="23">
        <f>IF($A490="","",IF($C490="","EKSİK","TAM"))</f>
        <v/>
      </c>
    </row>
    <row r="491">
      <c r="L491" s="23">
        <f>IF($A491="","",IF($C491="","EKSİK","TAM"))</f>
        <v/>
      </c>
    </row>
    <row r="492">
      <c r="L492" s="23">
        <f>IF($A492="","",IF($C492="","EKSİK","TAM"))</f>
        <v/>
      </c>
    </row>
    <row r="493">
      <c r="L493" s="23">
        <f>IF($A493="","",IF($C493="","EKSİK","TAM"))</f>
        <v/>
      </c>
    </row>
    <row r="494">
      <c r="L494" s="23">
        <f>IF($A494="","",IF($C494="","EKSİK","TAM"))</f>
        <v/>
      </c>
    </row>
    <row r="495">
      <c r="L495" s="23">
        <f>IF($A495="","",IF($C495="","EKSİK","TAM"))</f>
        <v/>
      </c>
    </row>
    <row r="496">
      <c r="L496" s="23">
        <f>IF($A496="","",IF($C496="","EKSİK","TAM"))</f>
        <v/>
      </c>
    </row>
    <row r="497">
      <c r="L497" s="23">
        <f>IF($A497="","",IF($C497="","EKSİK","TAM"))</f>
        <v/>
      </c>
    </row>
    <row r="498">
      <c r="L498" s="23">
        <f>IF($A498="","",IF($C498="","EKSİK","TAM"))</f>
        <v/>
      </c>
    </row>
    <row r="499">
      <c r="L499" s="23">
        <f>IF($A499="","",IF($C499="","EKSİK","TAM"))</f>
        <v/>
      </c>
    </row>
    <row r="500">
      <c r="L500" s="23">
        <f>IF($A500="","",IF($C500="","EKSİK","TAM"))</f>
        <v/>
      </c>
    </row>
    <row r="501">
      <c r="L501" s="23">
        <f>IF($A501="","",IF($C501="","EKSİK","TAM"))</f>
        <v/>
      </c>
    </row>
    <row r="502">
      <c r="L502" s="23">
        <f>IF($A502="","",IF($C502="","EKSİK","TAM"))</f>
        <v/>
      </c>
    </row>
    <row r="503">
      <c r="L503" s="23">
        <f>IF($A503="","",IF($C503="","EKSİK","TAM"))</f>
        <v/>
      </c>
    </row>
    <row r="504">
      <c r="L504" s="23">
        <f>IF($A504="","",IF($C504="","EKSİK","TAM"))</f>
        <v/>
      </c>
    </row>
    <row r="505">
      <c r="L505" s="23">
        <f>IF($A505="","",IF($C505="","EKSİK","TAM"))</f>
        <v/>
      </c>
    </row>
    <row r="506">
      <c r="L506" s="23">
        <f>IF($A506="","",IF($C506="","EKSİK","TAM"))</f>
        <v/>
      </c>
    </row>
    <row r="507">
      <c r="L507" s="23">
        <f>IF($A507="","",IF($C507="","EKSİK","TAM"))</f>
        <v/>
      </c>
    </row>
    <row r="508">
      <c r="L508" s="23">
        <f>IF($A508="","",IF($C508="","EKSİK","TAM"))</f>
        <v/>
      </c>
    </row>
    <row r="509">
      <c r="L509" s="23">
        <f>IF($A509="","",IF($C509="","EKSİK","TAM"))</f>
        <v/>
      </c>
    </row>
    <row r="510">
      <c r="L510" s="23">
        <f>IF($A510="","",IF($C510="","EKSİK","TAM"))</f>
        <v/>
      </c>
    </row>
    <row r="511">
      <c r="L511" s="23">
        <f>IF($A511="","",IF($C511="","EKSİK","TAM"))</f>
        <v/>
      </c>
    </row>
    <row r="512">
      <c r="L512" s="23">
        <f>IF($A512="","",IF($C512="","EKSİK","TAM"))</f>
        <v/>
      </c>
    </row>
    <row r="513">
      <c r="L513" s="23">
        <f>IF($A513="","",IF($C513="","EKSİK","TAM"))</f>
        <v/>
      </c>
    </row>
    <row r="514">
      <c r="L514" s="23">
        <f>IF($A514="","",IF($C514="","EKSİK","TAM"))</f>
        <v/>
      </c>
    </row>
    <row r="515">
      <c r="L515" s="23">
        <f>IF($A515="","",IF($C515="","EKSİK","TAM"))</f>
        <v/>
      </c>
    </row>
    <row r="516">
      <c r="L516" s="23">
        <f>IF($A516="","",IF($C516="","EKSİK","TAM"))</f>
        <v/>
      </c>
    </row>
    <row r="517">
      <c r="L517" s="23">
        <f>IF($A517="","",IF($C517="","EKSİK","TAM"))</f>
        <v/>
      </c>
    </row>
    <row r="518">
      <c r="L518" s="23">
        <f>IF($A518="","",IF($C518="","EKSİK","TAM"))</f>
        <v/>
      </c>
    </row>
    <row r="519">
      <c r="L519" s="23">
        <f>IF($A519="","",IF($C519="","EKSİK","TAM"))</f>
        <v/>
      </c>
    </row>
    <row r="520">
      <c r="L520" s="23">
        <f>IF($A520="","",IF($C520="","EKSİK","TAM"))</f>
        <v/>
      </c>
    </row>
    <row r="521">
      <c r="L521" s="23">
        <f>IF($A521="","",IF($C521="","EKSİK","TAM"))</f>
        <v/>
      </c>
    </row>
    <row r="522">
      <c r="L522" s="23">
        <f>IF($A522="","",IF($C522="","EKSİK","TAM"))</f>
        <v/>
      </c>
    </row>
    <row r="523">
      <c r="L523" s="23">
        <f>IF($A523="","",IF($C523="","EKSİK","TAM"))</f>
        <v/>
      </c>
    </row>
    <row r="524">
      <c r="L524" s="23">
        <f>IF($A524="","",IF($C524="","EKSİK","TAM"))</f>
        <v/>
      </c>
    </row>
    <row r="525">
      <c r="L525" s="23">
        <f>IF($A525="","",IF($C525="","EKSİK","TAM"))</f>
        <v/>
      </c>
    </row>
    <row r="526">
      <c r="L526" s="23">
        <f>IF($A526="","",IF($C526="","EKSİK","TAM"))</f>
        <v/>
      </c>
    </row>
    <row r="527">
      <c r="L527" s="23">
        <f>IF($A527="","",IF($C527="","EKSİK","TAM"))</f>
        <v/>
      </c>
    </row>
    <row r="528">
      <c r="L528" s="23">
        <f>IF($A528="","",IF($C528="","EKSİK","TAM"))</f>
        <v/>
      </c>
    </row>
    <row r="529">
      <c r="L529" s="23">
        <f>IF($A529="","",IF($C529="","EKSİK","TAM"))</f>
        <v/>
      </c>
    </row>
    <row r="530">
      <c r="L530" s="23">
        <f>IF($A530="","",IF($C530="","EKSİK","TAM"))</f>
        <v/>
      </c>
    </row>
    <row r="531">
      <c r="L531" s="23">
        <f>IF($A531="","",IF($C531="","EKSİK","TAM"))</f>
        <v/>
      </c>
    </row>
    <row r="532">
      <c r="L532" s="23">
        <f>IF($A532="","",IF($C532="","EKSİK","TAM"))</f>
        <v/>
      </c>
    </row>
    <row r="533">
      <c r="L533" s="23">
        <f>IF($A533="","",IF($C533="","EKSİK","TAM"))</f>
        <v/>
      </c>
    </row>
    <row r="534">
      <c r="L534" s="23">
        <f>IF($A534="","",IF($C534="","EKSİK","TAM"))</f>
        <v/>
      </c>
    </row>
    <row r="535">
      <c r="L535" s="23">
        <f>IF($A535="","",IF($C535="","EKSİK","TAM"))</f>
        <v/>
      </c>
    </row>
    <row r="536">
      <c r="L536" s="23">
        <f>IF($A536="","",IF($C536="","EKSİK","TAM"))</f>
        <v/>
      </c>
    </row>
    <row r="537">
      <c r="L537" s="23">
        <f>IF($A537="","",IF($C537="","EKSİK","TAM"))</f>
        <v/>
      </c>
    </row>
    <row r="538">
      <c r="L538" s="23">
        <f>IF($A538="","",IF($C538="","EKSİK","TAM"))</f>
        <v/>
      </c>
    </row>
    <row r="539">
      <c r="L539" s="23">
        <f>IF($A539="","",IF($C539="","EKSİK","TAM"))</f>
        <v/>
      </c>
    </row>
    <row r="540">
      <c r="L540" s="23">
        <f>IF($A540="","",IF($C540="","EKSİK","TAM"))</f>
        <v/>
      </c>
    </row>
    <row r="541">
      <c r="L541" s="23">
        <f>IF($A541="","",IF($C541="","EKSİK","TAM"))</f>
        <v/>
      </c>
    </row>
    <row r="542">
      <c r="L542" s="23">
        <f>IF($A542="","",IF($C542="","EKSİK","TAM"))</f>
        <v/>
      </c>
    </row>
    <row r="543">
      <c r="L543" s="23">
        <f>IF($A543="","",IF($C543="","EKSİK","TAM"))</f>
        <v/>
      </c>
    </row>
    <row r="544">
      <c r="L544" s="23">
        <f>IF($A544="","",IF($C544="","EKSİK","TAM"))</f>
        <v/>
      </c>
    </row>
    <row r="545">
      <c r="L545" s="23">
        <f>IF($A545="","",IF($C545="","EKSİK","TAM"))</f>
        <v/>
      </c>
    </row>
    <row r="546">
      <c r="L546" s="23">
        <f>IF($A546="","",IF($C546="","EKSİK","TAM"))</f>
        <v/>
      </c>
    </row>
    <row r="547">
      <c r="L547" s="23">
        <f>IF($A547="","",IF($C547="","EKSİK","TAM"))</f>
        <v/>
      </c>
    </row>
    <row r="548">
      <c r="L548" s="23">
        <f>IF($A548="","",IF($C548="","EKSİK","TAM"))</f>
        <v/>
      </c>
    </row>
    <row r="549">
      <c r="L549" s="23">
        <f>IF($A549="","",IF($C549="","EKSİK","TAM"))</f>
        <v/>
      </c>
    </row>
    <row r="550">
      <c r="L550" s="23">
        <f>IF($A550="","",IF($C550="","EKSİK","TAM"))</f>
        <v/>
      </c>
    </row>
    <row r="551">
      <c r="L551" s="23">
        <f>IF($A551="","",IF($C551="","EKSİK","TAM"))</f>
        <v/>
      </c>
    </row>
    <row r="552">
      <c r="L552" s="23">
        <f>IF($A552="","",IF($C552="","EKSİK","TAM"))</f>
        <v/>
      </c>
    </row>
    <row r="553">
      <c r="L553" s="23">
        <f>IF($A553="","",IF($C553="","EKSİK","TAM"))</f>
        <v/>
      </c>
    </row>
    <row r="554">
      <c r="L554" s="23">
        <f>IF($A554="","",IF($C554="","EKSİK","TAM"))</f>
        <v/>
      </c>
    </row>
    <row r="555">
      <c r="L555" s="23">
        <f>IF($A555="","",IF($C555="","EKSİK","TAM"))</f>
        <v/>
      </c>
    </row>
    <row r="556">
      <c r="L556" s="23">
        <f>IF($A556="","",IF($C556="","EKSİK","TAM"))</f>
        <v/>
      </c>
    </row>
    <row r="557">
      <c r="L557" s="23">
        <f>IF($A557="","",IF($C557="","EKSİK","TAM"))</f>
        <v/>
      </c>
    </row>
    <row r="558">
      <c r="L558" s="23">
        <f>IF($A558="","",IF($C558="","EKSİK","TAM"))</f>
        <v/>
      </c>
    </row>
    <row r="559">
      <c r="L559" s="23">
        <f>IF($A559="","",IF($C559="","EKSİK","TAM"))</f>
        <v/>
      </c>
    </row>
    <row r="560">
      <c r="L560" s="23">
        <f>IF($A560="","",IF($C560="","EKSİK","TAM"))</f>
        <v/>
      </c>
    </row>
    <row r="561">
      <c r="L561" s="23">
        <f>IF($A561="","",IF($C561="","EKSİK","TAM"))</f>
        <v/>
      </c>
    </row>
    <row r="562">
      <c r="L562" s="23">
        <f>IF($A562="","",IF($C562="","EKSİK","TAM"))</f>
        <v/>
      </c>
    </row>
    <row r="563">
      <c r="L563" s="23">
        <f>IF($A563="","",IF($C563="","EKSİK","TAM"))</f>
        <v/>
      </c>
    </row>
    <row r="564">
      <c r="L564" s="23">
        <f>IF($A564="","",IF($C564="","EKSİK","TAM"))</f>
        <v/>
      </c>
    </row>
    <row r="565">
      <c r="L565" s="23">
        <f>IF($A565="","",IF($C565="","EKSİK","TAM"))</f>
        <v/>
      </c>
    </row>
    <row r="566">
      <c r="L566" s="23">
        <f>IF($A566="","",IF($C566="","EKSİK","TAM"))</f>
        <v/>
      </c>
    </row>
    <row r="567">
      <c r="L567" s="23">
        <f>IF($A567="","",IF($C567="","EKSİK","TAM"))</f>
        <v/>
      </c>
    </row>
    <row r="568">
      <c r="L568" s="23">
        <f>IF($A568="","",IF($C568="","EKSİK","TAM"))</f>
        <v/>
      </c>
    </row>
    <row r="569">
      <c r="L569" s="23">
        <f>IF($A569="","",IF($C569="","EKSİK","TAM"))</f>
        <v/>
      </c>
    </row>
    <row r="570">
      <c r="L570" s="23">
        <f>IF($A570="","",IF($C570="","EKSİK","TAM"))</f>
        <v/>
      </c>
    </row>
    <row r="571">
      <c r="L571" s="23">
        <f>IF($A571="","",IF($C571="","EKSİK","TAM"))</f>
        <v/>
      </c>
    </row>
    <row r="572">
      <c r="L572" s="23">
        <f>IF($A572="","",IF($C572="","EKSİK","TAM"))</f>
        <v/>
      </c>
    </row>
    <row r="573">
      <c r="L573" s="23">
        <f>IF($A573="","",IF($C573="","EKSİK","TAM"))</f>
        <v/>
      </c>
    </row>
    <row r="574">
      <c r="L574" s="23">
        <f>IF($A574="","",IF($C574="","EKSİK","TAM"))</f>
        <v/>
      </c>
    </row>
    <row r="575">
      <c r="L575" s="23">
        <f>IF($A575="","",IF($C575="","EKSİK","TAM"))</f>
        <v/>
      </c>
    </row>
    <row r="576">
      <c r="L576" s="23">
        <f>IF($A576="","",IF($C576="","EKSİK","TAM"))</f>
        <v/>
      </c>
    </row>
    <row r="577">
      <c r="L577" s="23">
        <f>IF($A577="","",IF($C577="","EKSİK","TAM"))</f>
        <v/>
      </c>
    </row>
    <row r="578">
      <c r="L578" s="23">
        <f>IF($A578="","",IF($C578="","EKSİK","TAM"))</f>
        <v/>
      </c>
    </row>
    <row r="579">
      <c r="L579" s="23">
        <f>IF($A579="","",IF($C579="","EKSİK","TAM"))</f>
        <v/>
      </c>
    </row>
    <row r="580">
      <c r="L580" s="23">
        <f>IF($A580="","",IF($C580="","EKSİK","TAM"))</f>
        <v/>
      </c>
    </row>
    <row r="581">
      <c r="L581" s="23">
        <f>IF($A581="","",IF($C581="","EKSİK","TAM"))</f>
        <v/>
      </c>
    </row>
    <row r="582">
      <c r="L582" s="23">
        <f>IF($A582="","",IF($C582="","EKSİK","TAM"))</f>
        <v/>
      </c>
    </row>
    <row r="583">
      <c r="L583" s="23">
        <f>IF($A583="","",IF($C583="","EKSİK","TAM"))</f>
        <v/>
      </c>
    </row>
    <row r="584">
      <c r="L584" s="23">
        <f>IF($A584="","",IF($C584="","EKSİK","TAM"))</f>
        <v/>
      </c>
    </row>
    <row r="585">
      <c r="L585" s="23">
        <f>IF($A585="","",IF($C585="","EKSİK","TAM"))</f>
        <v/>
      </c>
    </row>
    <row r="586">
      <c r="L586" s="23">
        <f>IF($A586="","",IF($C586="","EKSİK","TAM"))</f>
        <v/>
      </c>
    </row>
    <row r="587">
      <c r="L587" s="23">
        <f>IF($A587="","",IF($C587="","EKSİK","TAM"))</f>
        <v/>
      </c>
    </row>
    <row r="588">
      <c r="L588" s="23">
        <f>IF($A588="","",IF($C588="","EKSİK","TAM"))</f>
        <v/>
      </c>
    </row>
    <row r="589">
      <c r="L589" s="23">
        <f>IF($A589="","",IF($C589="","EKSİK","TAM"))</f>
        <v/>
      </c>
    </row>
    <row r="590">
      <c r="L590" s="23">
        <f>IF($A590="","",IF($C590="","EKSİK","TAM"))</f>
        <v/>
      </c>
    </row>
    <row r="591">
      <c r="L591" s="23">
        <f>IF($A591="","",IF($C591="","EKSİK","TAM"))</f>
        <v/>
      </c>
    </row>
    <row r="592">
      <c r="L592" s="23">
        <f>IF($A592="","",IF($C592="","EKSİK","TAM"))</f>
        <v/>
      </c>
    </row>
    <row r="593">
      <c r="L593" s="23">
        <f>IF($A593="","",IF($C593="","EKSİK","TAM"))</f>
        <v/>
      </c>
    </row>
    <row r="594">
      <c r="L594" s="23">
        <f>IF($A594="","",IF($C594="","EKSİK","TAM"))</f>
        <v/>
      </c>
    </row>
    <row r="595">
      <c r="L595" s="23">
        <f>IF($A595="","",IF($C595="","EKSİK","TAM"))</f>
        <v/>
      </c>
    </row>
    <row r="596">
      <c r="L596" s="23">
        <f>IF($A596="","",IF($C596="","EKSİK","TAM"))</f>
        <v/>
      </c>
    </row>
    <row r="597">
      <c r="L597" s="23">
        <f>IF($A597="","",IF($C597="","EKSİK","TAM"))</f>
        <v/>
      </c>
    </row>
    <row r="598">
      <c r="L598" s="23">
        <f>IF($A598="","",IF($C598="","EKSİK","TAM"))</f>
        <v/>
      </c>
    </row>
    <row r="599">
      <c r="L599" s="23">
        <f>IF($A599="","",IF($C599="","EKSİK","TAM"))</f>
        <v/>
      </c>
    </row>
    <row r="600">
      <c r="L600" s="23">
        <f>IF($A600="","",IF($C600="","EKSİK","TAM"))</f>
        <v/>
      </c>
    </row>
    <row r="601">
      <c r="L601" s="23">
        <f>IF($A601="","",IF($C601="","EKSİK","TAM"))</f>
        <v/>
      </c>
    </row>
    <row r="602">
      <c r="L602" s="23">
        <f>IF($A602="","",IF($C602="","EKSİK","TAM"))</f>
        <v/>
      </c>
    </row>
    <row r="603">
      <c r="L603" s="23">
        <f>IF($A603="","",IF($C603="","EKSİK","TAM"))</f>
        <v/>
      </c>
    </row>
    <row r="604">
      <c r="L604" s="23">
        <f>IF($A604="","",IF($C604="","EKSİK","TAM"))</f>
        <v/>
      </c>
    </row>
    <row r="605">
      <c r="L605" s="23">
        <f>IF($A605="","",IF($C605="","EKSİK","TAM"))</f>
        <v/>
      </c>
    </row>
    <row r="606">
      <c r="L606" s="23">
        <f>IF($A606="","",IF($C606="","EKSİK","TAM"))</f>
        <v/>
      </c>
    </row>
    <row r="607">
      <c r="L607" s="23">
        <f>IF($A607="","",IF($C607="","EKSİK","TAM"))</f>
        <v/>
      </c>
    </row>
    <row r="608">
      <c r="L608" s="23">
        <f>IF($A608="","",IF($C608="","EKSİK","TAM"))</f>
        <v/>
      </c>
    </row>
    <row r="609">
      <c r="L609" s="23">
        <f>IF($A609="","",IF($C609="","EKSİK","TAM"))</f>
        <v/>
      </c>
    </row>
    <row r="610">
      <c r="L610" s="23">
        <f>IF($A610="","",IF($C610="","EKSİK","TAM"))</f>
        <v/>
      </c>
    </row>
    <row r="611">
      <c r="L611" s="23">
        <f>IF($A611="","",IF($C611="","EKSİK","TAM"))</f>
        <v/>
      </c>
    </row>
    <row r="612">
      <c r="L612" s="23">
        <f>IF($A612="","",IF($C612="","EKSİK","TAM"))</f>
        <v/>
      </c>
    </row>
    <row r="613">
      <c r="L613" s="23">
        <f>IF($A613="","",IF($C613="","EKSİK","TAM"))</f>
        <v/>
      </c>
    </row>
    <row r="614">
      <c r="L614" s="23">
        <f>IF($A614="","",IF($C614="","EKSİK","TAM"))</f>
        <v/>
      </c>
    </row>
    <row r="615">
      <c r="L615" s="23">
        <f>IF($A615="","",IF($C615="","EKSİK","TAM"))</f>
        <v/>
      </c>
    </row>
    <row r="616">
      <c r="L616" s="23">
        <f>IF($A616="","",IF($C616="","EKSİK","TAM"))</f>
        <v/>
      </c>
    </row>
    <row r="617">
      <c r="L617" s="23">
        <f>IF($A617="","",IF($C617="","EKSİK","TAM"))</f>
        <v/>
      </c>
    </row>
    <row r="618">
      <c r="L618" s="23">
        <f>IF($A618="","",IF($C618="","EKSİK","TAM"))</f>
        <v/>
      </c>
    </row>
    <row r="619">
      <c r="L619" s="23">
        <f>IF($A619="","",IF($C619="","EKSİK","TAM"))</f>
        <v/>
      </c>
    </row>
    <row r="620">
      <c r="L620" s="23">
        <f>IF($A620="","",IF($C620="","EKSİK","TAM"))</f>
        <v/>
      </c>
    </row>
    <row r="621">
      <c r="L621" s="23">
        <f>IF($A621="","",IF($C621="","EKSİK","TAM"))</f>
        <v/>
      </c>
    </row>
    <row r="622">
      <c r="L622" s="23">
        <f>IF($A622="","",IF($C622="","EKSİK","TAM"))</f>
        <v/>
      </c>
    </row>
    <row r="623">
      <c r="L623" s="23">
        <f>IF($A623="","",IF($C623="","EKSİK","TAM"))</f>
        <v/>
      </c>
    </row>
    <row r="624">
      <c r="L624" s="23">
        <f>IF($A624="","",IF($C624="","EKSİK","TAM"))</f>
        <v/>
      </c>
    </row>
    <row r="625">
      <c r="L625" s="23">
        <f>IF($A625="","",IF($C625="","EKSİK","TAM"))</f>
        <v/>
      </c>
    </row>
    <row r="626">
      <c r="L626" s="23">
        <f>IF($A626="","",IF($C626="","EKSİK","TAM"))</f>
        <v/>
      </c>
    </row>
    <row r="627">
      <c r="L627" s="23">
        <f>IF($A627="","",IF($C627="","EKSİK","TAM"))</f>
        <v/>
      </c>
    </row>
    <row r="628">
      <c r="L628" s="23">
        <f>IF($A628="","",IF($C628="","EKSİK","TAM"))</f>
        <v/>
      </c>
    </row>
    <row r="629">
      <c r="L629" s="23">
        <f>IF($A629="","",IF($C629="","EKSİK","TAM"))</f>
        <v/>
      </c>
    </row>
    <row r="630">
      <c r="L630" s="23">
        <f>IF($A630="","",IF($C630="","EKSİK","TAM"))</f>
        <v/>
      </c>
    </row>
    <row r="631">
      <c r="L631" s="23">
        <f>IF($A631="","",IF($C631="","EKSİK","TAM"))</f>
        <v/>
      </c>
    </row>
    <row r="632">
      <c r="L632" s="23">
        <f>IF($A632="","",IF($C632="","EKSİK","TAM"))</f>
        <v/>
      </c>
    </row>
    <row r="633">
      <c r="L633" s="23">
        <f>IF($A633="","",IF($C633="","EKSİK","TAM"))</f>
        <v/>
      </c>
    </row>
    <row r="634">
      <c r="L634" s="23">
        <f>IF($A634="","",IF($C634="","EKSİK","TAM"))</f>
        <v/>
      </c>
    </row>
    <row r="635">
      <c r="L635" s="23">
        <f>IF($A635="","",IF($C635="","EKSİK","TAM"))</f>
        <v/>
      </c>
    </row>
    <row r="636">
      <c r="L636" s="23">
        <f>IF($A636="","",IF($C636="","EKSİK","TAM"))</f>
        <v/>
      </c>
    </row>
    <row r="637">
      <c r="L637" s="23">
        <f>IF($A637="","",IF($C637="","EKSİK","TAM"))</f>
        <v/>
      </c>
    </row>
    <row r="638">
      <c r="L638" s="23">
        <f>IF($A638="","",IF($C638="","EKSİK","TAM"))</f>
        <v/>
      </c>
    </row>
    <row r="639">
      <c r="L639" s="23">
        <f>IF($A639="","",IF($C639="","EKSİK","TAM"))</f>
        <v/>
      </c>
    </row>
    <row r="640">
      <c r="L640" s="23">
        <f>IF($A640="","",IF($C640="","EKSİK","TAM"))</f>
        <v/>
      </c>
    </row>
    <row r="641">
      <c r="L641" s="23">
        <f>IF($A641="","",IF($C641="","EKSİK","TAM"))</f>
        <v/>
      </c>
    </row>
    <row r="642">
      <c r="L642" s="23">
        <f>IF($A642="","",IF($C642="","EKSİK","TAM"))</f>
        <v/>
      </c>
    </row>
    <row r="643">
      <c r="L643" s="23">
        <f>IF($A643="","",IF($C643="","EKSİK","TAM"))</f>
        <v/>
      </c>
    </row>
    <row r="644">
      <c r="L644" s="23">
        <f>IF($A644="","",IF($C644="","EKSİK","TAM"))</f>
        <v/>
      </c>
    </row>
    <row r="645">
      <c r="L645" s="23">
        <f>IF($A645="","",IF($C645="","EKSİK","TAM"))</f>
        <v/>
      </c>
    </row>
    <row r="646">
      <c r="L646" s="23">
        <f>IF($A646="","",IF($C646="","EKSİK","TAM"))</f>
        <v/>
      </c>
    </row>
    <row r="647">
      <c r="L647" s="23">
        <f>IF($A647="","",IF($C647="","EKSİK","TAM"))</f>
        <v/>
      </c>
    </row>
    <row r="648">
      <c r="L648" s="23">
        <f>IF($A648="","",IF($C648="","EKSİK","TAM"))</f>
        <v/>
      </c>
    </row>
    <row r="649">
      <c r="L649" s="23">
        <f>IF($A649="","",IF($C649="","EKSİK","TAM"))</f>
        <v/>
      </c>
    </row>
    <row r="650">
      <c r="L650" s="23">
        <f>IF($A650="","",IF($C650="","EKSİK","TAM"))</f>
        <v/>
      </c>
    </row>
    <row r="651">
      <c r="L651" s="23">
        <f>IF($A651="","",IF($C651="","EKSİK","TAM"))</f>
        <v/>
      </c>
    </row>
    <row r="652">
      <c r="L652" s="23">
        <f>IF($A652="","",IF($C652="","EKSİK","TAM"))</f>
        <v/>
      </c>
    </row>
    <row r="653">
      <c r="L653" s="23">
        <f>IF($A653="","",IF($C653="","EKSİK","TAM"))</f>
        <v/>
      </c>
    </row>
    <row r="654">
      <c r="L654" s="23">
        <f>IF($A654="","",IF($C654="","EKSİK","TAM"))</f>
        <v/>
      </c>
    </row>
    <row r="655">
      <c r="L655" s="23">
        <f>IF($A655="","",IF($C655="","EKSİK","TAM"))</f>
        <v/>
      </c>
    </row>
    <row r="656">
      <c r="L656" s="23">
        <f>IF($A656="","",IF($C656="","EKSİK","TAM"))</f>
        <v/>
      </c>
    </row>
    <row r="657">
      <c r="L657" s="23">
        <f>IF($A657="","",IF($C657="","EKSİK","TAM"))</f>
        <v/>
      </c>
    </row>
    <row r="658">
      <c r="L658" s="23">
        <f>IF($A658="","",IF($C658="","EKSİK","TAM"))</f>
        <v/>
      </c>
    </row>
    <row r="659">
      <c r="L659" s="23">
        <f>IF($A659="","",IF($C659="","EKSİK","TAM"))</f>
        <v/>
      </c>
    </row>
    <row r="660">
      <c r="L660" s="23">
        <f>IF($A660="","",IF($C660="","EKSİK","TAM"))</f>
        <v/>
      </c>
    </row>
    <row r="661">
      <c r="L661" s="23">
        <f>IF($A661="","",IF($C661="","EKSİK","TAM"))</f>
        <v/>
      </c>
    </row>
    <row r="662">
      <c r="L662" s="23">
        <f>IF($A662="","",IF($C662="","EKSİK","TAM"))</f>
        <v/>
      </c>
    </row>
    <row r="663">
      <c r="L663" s="23">
        <f>IF($A663="","",IF($C663="","EKSİK","TAM"))</f>
        <v/>
      </c>
    </row>
    <row r="664">
      <c r="L664" s="23">
        <f>IF($A664="","",IF($C664="","EKSİK","TAM"))</f>
        <v/>
      </c>
    </row>
    <row r="665">
      <c r="L665" s="23">
        <f>IF($A665="","",IF($C665="","EKSİK","TAM"))</f>
        <v/>
      </c>
    </row>
    <row r="666">
      <c r="L666" s="23">
        <f>IF($A666="","",IF($C666="","EKSİK","TAM"))</f>
        <v/>
      </c>
    </row>
    <row r="667">
      <c r="L667" s="23">
        <f>IF($A667="","",IF($C667="","EKSİK","TAM"))</f>
        <v/>
      </c>
    </row>
    <row r="668">
      <c r="L668" s="23">
        <f>IF($A668="","",IF($C668="","EKSİK","TAM"))</f>
        <v/>
      </c>
    </row>
    <row r="669">
      <c r="L669" s="23">
        <f>IF($A669="","",IF($C669="","EKSİK","TAM"))</f>
        <v/>
      </c>
    </row>
    <row r="670">
      <c r="L670" s="23">
        <f>IF($A670="","",IF($C670="","EKSİK","TAM"))</f>
        <v/>
      </c>
    </row>
    <row r="671">
      <c r="L671" s="23">
        <f>IF($A671="","",IF($C671="","EKSİK","TAM"))</f>
        <v/>
      </c>
    </row>
    <row r="672">
      <c r="L672" s="23">
        <f>IF($A672="","",IF($C672="","EKSİK","TAM"))</f>
        <v/>
      </c>
    </row>
    <row r="673">
      <c r="L673" s="23">
        <f>IF($A673="","",IF($C673="","EKSİK","TAM"))</f>
        <v/>
      </c>
    </row>
    <row r="674">
      <c r="L674" s="23">
        <f>IF($A674="","",IF($C674="","EKSİK","TAM"))</f>
        <v/>
      </c>
    </row>
    <row r="675">
      <c r="L675" s="23">
        <f>IF($A675="","",IF($C675="","EKSİK","TAM"))</f>
        <v/>
      </c>
    </row>
    <row r="676">
      <c r="L676" s="23">
        <f>IF($A676="","",IF($C676="","EKSİK","TAM"))</f>
        <v/>
      </c>
    </row>
    <row r="677">
      <c r="L677" s="23">
        <f>IF($A677="","",IF($C677="","EKSİK","TAM"))</f>
        <v/>
      </c>
    </row>
    <row r="678">
      <c r="L678" s="23">
        <f>IF($A678="","",IF($C678="","EKSİK","TAM"))</f>
        <v/>
      </c>
    </row>
    <row r="679">
      <c r="L679" s="23">
        <f>IF($A679="","",IF($C679="","EKSİK","TAM"))</f>
        <v/>
      </c>
    </row>
    <row r="680">
      <c r="L680" s="23">
        <f>IF($A680="","",IF($C680="","EKSİK","TAM"))</f>
        <v/>
      </c>
    </row>
    <row r="681">
      <c r="L681" s="23">
        <f>IF($A681="","",IF($C681="","EKSİK","TAM"))</f>
        <v/>
      </c>
    </row>
    <row r="682">
      <c r="L682" s="23">
        <f>IF($A682="","",IF($C682="","EKSİK","TAM"))</f>
        <v/>
      </c>
    </row>
    <row r="683">
      <c r="L683" s="23">
        <f>IF($A683="","",IF($C683="","EKSİK","TAM"))</f>
        <v/>
      </c>
    </row>
    <row r="684">
      <c r="L684" s="23">
        <f>IF($A684="","",IF($C684="","EKSİK","TAM"))</f>
        <v/>
      </c>
    </row>
    <row r="685">
      <c r="L685" s="23">
        <f>IF($A685="","",IF($C685="","EKSİK","TAM"))</f>
        <v/>
      </c>
    </row>
    <row r="686">
      <c r="L686" s="23">
        <f>IF($A686="","",IF($C686="","EKSİK","TAM"))</f>
        <v/>
      </c>
    </row>
    <row r="687">
      <c r="L687" s="23">
        <f>IF($A687="","",IF($C687="","EKSİK","TAM"))</f>
        <v/>
      </c>
    </row>
    <row r="688">
      <c r="L688" s="23">
        <f>IF($A688="","",IF($C688="","EKSİK","TAM"))</f>
        <v/>
      </c>
    </row>
    <row r="689">
      <c r="L689" s="23">
        <f>IF($A689="","",IF($C689="","EKSİK","TAM"))</f>
        <v/>
      </c>
    </row>
    <row r="690">
      <c r="L690" s="23">
        <f>IF($A690="","",IF($C690="","EKSİK","TAM"))</f>
        <v/>
      </c>
    </row>
    <row r="691">
      <c r="L691" s="23">
        <f>IF($A691="","",IF($C691="","EKSİK","TAM"))</f>
        <v/>
      </c>
    </row>
    <row r="692">
      <c r="L692" s="23">
        <f>IF($A692="","",IF($C692="","EKSİK","TAM"))</f>
        <v/>
      </c>
    </row>
    <row r="693">
      <c r="L693" s="23">
        <f>IF($A693="","",IF($C693="","EKSİK","TAM"))</f>
        <v/>
      </c>
    </row>
    <row r="694">
      <c r="L694" s="23">
        <f>IF($A694="","",IF($C694="","EKSİK","TAM"))</f>
        <v/>
      </c>
    </row>
    <row r="695">
      <c r="L695" s="23">
        <f>IF($A695="","",IF($C695="","EKSİK","TAM"))</f>
        <v/>
      </c>
    </row>
    <row r="696">
      <c r="L696" s="23">
        <f>IF($A696="","",IF($C696="","EKSİK","TAM"))</f>
        <v/>
      </c>
    </row>
    <row r="697">
      <c r="L697" s="23">
        <f>IF($A697="","",IF($C697="","EKSİK","TAM"))</f>
        <v/>
      </c>
    </row>
    <row r="698">
      <c r="L698" s="23">
        <f>IF($A698="","",IF($C698="","EKSİK","TAM"))</f>
        <v/>
      </c>
    </row>
    <row r="699">
      <c r="L699" s="23">
        <f>IF($A699="","",IF($C699="","EKSİK","TAM"))</f>
        <v/>
      </c>
    </row>
    <row r="700">
      <c r="L700" s="23">
        <f>IF($A700="","",IF($C700="","EKSİK","TAM"))</f>
        <v/>
      </c>
    </row>
    <row r="701">
      <c r="L701" s="23">
        <f>IF($A701="","",IF($C701="","EKSİK","TAM"))</f>
        <v/>
      </c>
    </row>
    <row r="702">
      <c r="L702" s="23">
        <f>IF($A702="","",IF($C702="","EKSİK","TAM"))</f>
        <v/>
      </c>
    </row>
    <row r="703">
      <c r="L703" s="23">
        <f>IF($A703="","",IF($C703="","EKSİK","TAM"))</f>
        <v/>
      </c>
    </row>
    <row r="704">
      <c r="L704" s="23">
        <f>IF($A704="","",IF($C704="","EKSİK","TAM"))</f>
        <v/>
      </c>
    </row>
    <row r="705">
      <c r="L705" s="23">
        <f>IF($A705="","",IF($C705="","EKSİK","TAM"))</f>
        <v/>
      </c>
    </row>
    <row r="706">
      <c r="L706" s="23">
        <f>IF($A706="","",IF($C706="","EKSİK","TAM"))</f>
        <v/>
      </c>
    </row>
    <row r="707">
      <c r="L707" s="23">
        <f>IF($A707="","",IF($C707="","EKSİK","TAM"))</f>
        <v/>
      </c>
    </row>
    <row r="708">
      <c r="L708" s="23">
        <f>IF($A708="","",IF($C708="","EKSİK","TAM"))</f>
        <v/>
      </c>
    </row>
    <row r="709">
      <c r="L709" s="23">
        <f>IF($A709="","",IF($C709="","EKSİK","TAM"))</f>
        <v/>
      </c>
    </row>
    <row r="710">
      <c r="L710" s="23">
        <f>IF($A710="","",IF($C710="","EKSİK","TAM"))</f>
        <v/>
      </c>
    </row>
    <row r="711">
      <c r="L711" s="23">
        <f>IF($A711="","",IF($C711="","EKSİK","TAM"))</f>
        <v/>
      </c>
    </row>
    <row r="712">
      <c r="L712" s="23">
        <f>IF($A712="","",IF($C712="","EKSİK","TAM"))</f>
        <v/>
      </c>
    </row>
    <row r="713">
      <c r="L713" s="23">
        <f>IF($A713="","",IF($C713="","EKSİK","TAM"))</f>
        <v/>
      </c>
    </row>
    <row r="714">
      <c r="L714" s="23">
        <f>IF($A714="","",IF($C714="","EKSİK","TAM"))</f>
        <v/>
      </c>
    </row>
    <row r="715">
      <c r="L715" s="23">
        <f>IF($A715="","",IF($C715="","EKSİK","TAM"))</f>
        <v/>
      </c>
    </row>
    <row r="716">
      <c r="L716" s="23">
        <f>IF($A716="","",IF($C716="","EKSİK","TAM"))</f>
        <v/>
      </c>
    </row>
    <row r="717">
      <c r="L717" s="23">
        <f>IF($A717="","",IF($C717="","EKSİK","TAM"))</f>
        <v/>
      </c>
    </row>
    <row r="718">
      <c r="L718" s="23">
        <f>IF($A718="","",IF($C718="","EKSİK","TAM"))</f>
        <v/>
      </c>
    </row>
    <row r="719">
      <c r="L719" s="23">
        <f>IF($A719="","",IF($C719="","EKSİK","TAM"))</f>
        <v/>
      </c>
    </row>
    <row r="720">
      <c r="L720" s="23">
        <f>IF($A720="","",IF($C720="","EKSİK","TAM"))</f>
        <v/>
      </c>
    </row>
    <row r="721">
      <c r="L721" s="23">
        <f>IF($A721="","",IF($C721="","EKSİK","TAM"))</f>
        <v/>
      </c>
    </row>
    <row r="722">
      <c r="L722" s="23">
        <f>IF($A722="","",IF($C722="","EKSİK","TAM"))</f>
        <v/>
      </c>
    </row>
    <row r="723">
      <c r="L723" s="23">
        <f>IF($A723="","",IF($C723="","EKSİK","TAM"))</f>
        <v/>
      </c>
    </row>
    <row r="724">
      <c r="L724" s="23">
        <f>IF($A724="","",IF($C724="","EKSİK","TAM"))</f>
        <v/>
      </c>
    </row>
    <row r="725">
      <c r="L725" s="23">
        <f>IF($A725="","",IF($C725="","EKSİK","TAM"))</f>
        <v/>
      </c>
    </row>
    <row r="726">
      <c r="L726" s="23">
        <f>IF($A726="","",IF($C726="","EKSİK","TAM"))</f>
        <v/>
      </c>
    </row>
    <row r="727">
      <c r="L727" s="23">
        <f>IF($A727="","",IF($C727="","EKSİK","TAM"))</f>
        <v/>
      </c>
    </row>
    <row r="728">
      <c r="L728" s="23">
        <f>IF($A728="","",IF($C728="","EKSİK","TAM"))</f>
        <v/>
      </c>
    </row>
    <row r="729">
      <c r="L729" s="23">
        <f>IF($A729="","",IF($C729="","EKSİK","TAM"))</f>
        <v/>
      </c>
    </row>
    <row r="730">
      <c r="L730" s="23">
        <f>IF($A730="","",IF($C730="","EKSİK","TAM"))</f>
        <v/>
      </c>
    </row>
    <row r="731">
      <c r="L731" s="23">
        <f>IF($A731="","",IF($C731="","EKSİK","TAM"))</f>
        <v/>
      </c>
    </row>
    <row r="732">
      <c r="L732" s="23">
        <f>IF($A732="","",IF($C732="","EKSİK","TAM"))</f>
        <v/>
      </c>
    </row>
    <row r="733">
      <c r="L733" s="23">
        <f>IF($A733="","",IF($C733="","EKSİK","TAM"))</f>
        <v/>
      </c>
    </row>
    <row r="734">
      <c r="L734" s="23">
        <f>IF($A734="","",IF($C734="","EKSİK","TAM"))</f>
        <v/>
      </c>
    </row>
    <row r="735">
      <c r="L735" s="23">
        <f>IF($A735="","",IF($C735="","EKSİK","TAM"))</f>
        <v/>
      </c>
    </row>
    <row r="736">
      <c r="L736" s="23">
        <f>IF($A736="","",IF($C736="","EKSİK","TAM"))</f>
        <v/>
      </c>
    </row>
    <row r="737">
      <c r="L737" s="23">
        <f>IF($A737="","",IF($C737="","EKSİK","TAM"))</f>
        <v/>
      </c>
    </row>
    <row r="738">
      <c r="L738" s="23">
        <f>IF($A738="","",IF($C738="","EKSİK","TAM"))</f>
        <v/>
      </c>
    </row>
    <row r="739">
      <c r="L739" s="23">
        <f>IF($A739="","",IF($C739="","EKSİK","TAM"))</f>
        <v/>
      </c>
    </row>
    <row r="740">
      <c r="L740" s="23">
        <f>IF($A740="","",IF($C740="","EKSİK","TAM"))</f>
        <v/>
      </c>
    </row>
    <row r="741">
      <c r="L741" s="23">
        <f>IF($A741="","",IF($C741="","EKSİK","TAM"))</f>
        <v/>
      </c>
    </row>
    <row r="742">
      <c r="L742" s="23">
        <f>IF($A742="","",IF($C742="","EKSİK","TAM"))</f>
        <v/>
      </c>
    </row>
    <row r="743">
      <c r="L743" s="23">
        <f>IF($A743="","",IF($C743="","EKSİK","TAM"))</f>
        <v/>
      </c>
    </row>
    <row r="744">
      <c r="L744" s="23">
        <f>IF($A744="","",IF($C744="","EKSİK","TAM"))</f>
        <v/>
      </c>
    </row>
    <row r="745">
      <c r="L745" s="23">
        <f>IF($A745="","",IF($C745="","EKSİK","TAM"))</f>
        <v/>
      </c>
    </row>
    <row r="746">
      <c r="L746" s="23">
        <f>IF($A746="","",IF($C746="","EKSİK","TAM"))</f>
        <v/>
      </c>
    </row>
    <row r="747">
      <c r="L747" s="23">
        <f>IF($A747="","",IF($C747="","EKSİK","TAM"))</f>
        <v/>
      </c>
    </row>
    <row r="748">
      <c r="L748" s="23">
        <f>IF($A748="","",IF($C748="","EKSİK","TAM"))</f>
        <v/>
      </c>
    </row>
    <row r="749">
      <c r="L749" s="23">
        <f>IF($A749="","",IF($C749="","EKSİK","TAM"))</f>
        <v/>
      </c>
    </row>
    <row r="750">
      <c r="L750" s="23">
        <f>IF($A750="","",IF($C750="","EKSİK","TAM"))</f>
        <v/>
      </c>
    </row>
    <row r="751">
      <c r="L751" s="23">
        <f>IF($A751="","",IF($C751="","EKSİK","TAM"))</f>
        <v/>
      </c>
    </row>
    <row r="752">
      <c r="L752" s="23">
        <f>IF($A752="","",IF($C752="","EKSİK","TAM"))</f>
        <v/>
      </c>
    </row>
    <row r="753">
      <c r="L753" s="23">
        <f>IF($A753="","",IF($C753="","EKSİK","TAM"))</f>
        <v/>
      </c>
    </row>
    <row r="754">
      <c r="L754" s="23">
        <f>IF($A754="","",IF($C754="","EKSİK","TAM"))</f>
        <v/>
      </c>
    </row>
    <row r="755">
      <c r="L755" s="23">
        <f>IF($A755="","",IF($C755="","EKSİK","TAM"))</f>
        <v/>
      </c>
    </row>
    <row r="756">
      <c r="L756" s="23">
        <f>IF($A756="","",IF($C756="","EKSİK","TAM"))</f>
        <v/>
      </c>
    </row>
    <row r="757">
      <c r="L757" s="23">
        <f>IF($A757="","",IF($C757="","EKSİK","TAM"))</f>
        <v/>
      </c>
    </row>
    <row r="758">
      <c r="L758" s="23">
        <f>IF($A758="","",IF($C758="","EKSİK","TAM"))</f>
        <v/>
      </c>
    </row>
    <row r="759">
      <c r="L759" s="23">
        <f>IF($A759="","",IF($C759="","EKSİK","TAM"))</f>
        <v/>
      </c>
    </row>
    <row r="760">
      <c r="L760" s="23">
        <f>IF($A760="","",IF($C760="","EKSİK","TAM"))</f>
        <v/>
      </c>
    </row>
    <row r="761">
      <c r="L761" s="23">
        <f>IF($A761="","",IF($C761="","EKSİK","TAM"))</f>
        <v/>
      </c>
    </row>
    <row r="762">
      <c r="L762" s="23">
        <f>IF($A762="","",IF($C762="","EKSİK","TAM"))</f>
        <v/>
      </c>
    </row>
    <row r="763">
      <c r="L763" s="23">
        <f>IF($A763="","",IF($C763="","EKSİK","TAM"))</f>
        <v/>
      </c>
    </row>
    <row r="764">
      <c r="L764" s="23">
        <f>IF($A764="","",IF($C764="","EKSİK","TAM"))</f>
        <v/>
      </c>
    </row>
    <row r="765">
      <c r="L765" s="23">
        <f>IF($A765="","",IF($C765="","EKSİK","TAM"))</f>
        <v/>
      </c>
    </row>
    <row r="766">
      <c r="L766" s="23">
        <f>IF($A766="","",IF($C766="","EKSİK","TAM"))</f>
        <v/>
      </c>
    </row>
    <row r="767">
      <c r="L767" s="23">
        <f>IF($A767="","",IF($C767="","EKSİK","TAM"))</f>
        <v/>
      </c>
    </row>
    <row r="768">
      <c r="L768" s="23">
        <f>IF($A768="","",IF($C768="","EKSİK","TAM"))</f>
        <v/>
      </c>
    </row>
    <row r="769">
      <c r="L769" s="23">
        <f>IF($A769="","",IF($C769="","EKSİK","TAM"))</f>
        <v/>
      </c>
    </row>
    <row r="770">
      <c r="L770" s="23">
        <f>IF($A770="","",IF($C770="","EKSİK","TAM"))</f>
        <v/>
      </c>
    </row>
    <row r="771">
      <c r="L771" s="23">
        <f>IF($A771="","",IF($C771="","EKSİK","TAM"))</f>
        <v/>
      </c>
    </row>
    <row r="772">
      <c r="L772" s="23">
        <f>IF($A772="","",IF($C772="","EKSİK","TAM"))</f>
        <v/>
      </c>
    </row>
    <row r="773">
      <c r="L773" s="23">
        <f>IF($A773="","",IF($C773="","EKSİK","TAM"))</f>
        <v/>
      </c>
    </row>
    <row r="774">
      <c r="L774" s="23">
        <f>IF($A774="","",IF($C774="","EKSİK","TAM"))</f>
        <v/>
      </c>
    </row>
    <row r="775">
      <c r="L775" s="23">
        <f>IF($A775="","",IF($C775="","EKSİK","TAM"))</f>
        <v/>
      </c>
    </row>
    <row r="776">
      <c r="L776" s="23">
        <f>IF($A776="","",IF($C776="","EKSİK","TAM"))</f>
        <v/>
      </c>
    </row>
    <row r="777">
      <c r="L777" s="23">
        <f>IF($A777="","",IF($C777="","EKSİK","TAM"))</f>
        <v/>
      </c>
    </row>
    <row r="778">
      <c r="L778" s="23">
        <f>IF($A778="","",IF($C778="","EKSİK","TAM"))</f>
        <v/>
      </c>
    </row>
    <row r="779">
      <c r="L779" s="23">
        <f>IF($A779="","",IF($C779="","EKSİK","TAM"))</f>
        <v/>
      </c>
    </row>
    <row r="780">
      <c r="L780" s="23">
        <f>IF($A780="","",IF($C780="","EKSİK","TAM"))</f>
        <v/>
      </c>
    </row>
    <row r="781">
      <c r="L781" s="23">
        <f>IF($A781="","",IF($C781="","EKSİK","TAM"))</f>
        <v/>
      </c>
    </row>
    <row r="782">
      <c r="L782" s="23">
        <f>IF($A782="","",IF($C782="","EKSİK","TAM"))</f>
        <v/>
      </c>
    </row>
    <row r="783">
      <c r="L783" s="23">
        <f>IF($A783="","",IF($C783="","EKSİK","TAM"))</f>
        <v/>
      </c>
    </row>
    <row r="784">
      <c r="L784" s="23">
        <f>IF($A784="","",IF($C784="","EKSİK","TAM"))</f>
        <v/>
      </c>
    </row>
    <row r="785">
      <c r="L785" s="23">
        <f>IF($A785="","",IF($C785="","EKSİK","TAM"))</f>
        <v/>
      </c>
    </row>
    <row r="786">
      <c r="L786" s="23">
        <f>IF($A786="","",IF($C786="","EKSİK","TAM"))</f>
        <v/>
      </c>
    </row>
    <row r="787">
      <c r="L787" s="23">
        <f>IF($A787="","",IF($C787="","EKSİK","TAM"))</f>
        <v/>
      </c>
    </row>
    <row r="788">
      <c r="L788" s="23">
        <f>IF($A788="","",IF($C788="","EKSİK","TAM"))</f>
        <v/>
      </c>
    </row>
    <row r="789">
      <c r="L789" s="23">
        <f>IF($A789="","",IF($C789="","EKSİK","TAM"))</f>
        <v/>
      </c>
    </row>
    <row r="790">
      <c r="L790" s="23">
        <f>IF($A790="","",IF($C790="","EKSİK","TAM"))</f>
        <v/>
      </c>
    </row>
    <row r="791">
      <c r="L791" s="23">
        <f>IF($A791="","",IF($C791="","EKSİK","TAM"))</f>
        <v/>
      </c>
    </row>
    <row r="792">
      <c r="L792" s="23">
        <f>IF($A792="","",IF($C792="","EKSİK","TAM"))</f>
        <v/>
      </c>
    </row>
    <row r="793">
      <c r="L793" s="23">
        <f>IF($A793="","",IF($C793="","EKSİK","TAM"))</f>
        <v/>
      </c>
    </row>
    <row r="794">
      <c r="L794" s="23">
        <f>IF($A794="","",IF($C794="","EKSİK","TAM"))</f>
        <v/>
      </c>
    </row>
    <row r="795">
      <c r="L795" s="23">
        <f>IF($A795="","",IF($C795="","EKSİK","TAM"))</f>
        <v/>
      </c>
    </row>
    <row r="796">
      <c r="L796" s="23">
        <f>IF($A796="","",IF($C796="","EKSİK","TAM"))</f>
        <v/>
      </c>
    </row>
    <row r="797">
      <c r="L797" s="23">
        <f>IF($A797="","",IF($C797="","EKSİK","TAM"))</f>
        <v/>
      </c>
    </row>
    <row r="798">
      <c r="L798" s="23">
        <f>IF($A798="","",IF($C798="","EKSİK","TAM"))</f>
        <v/>
      </c>
    </row>
    <row r="799">
      <c r="L799" s="23">
        <f>IF($A799="","",IF($C799="","EKSİK","TAM"))</f>
        <v/>
      </c>
    </row>
    <row r="800">
      <c r="L800" s="23">
        <f>IF($A800="","",IF($C800="","EKSİK","TAM"))</f>
        <v/>
      </c>
    </row>
    <row r="801">
      <c r="L801" s="23">
        <f>IF($A801="","",IF($C801="","EKSİK","TAM"))</f>
        <v/>
      </c>
    </row>
    <row r="802">
      <c r="L802" s="23">
        <f>IF($A802="","",IF($C802="","EKSİK","TAM"))</f>
        <v/>
      </c>
    </row>
    <row r="803">
      <c r="L803" s="23">
        <f>IF($A803="","",IF($C803="","EKSİK","TAM"))</f>
        <v/>
      </c>
    </row>
    <row r="804">
      <c r="L804" s="23">
        <f>IF($A804="","",IF($C804="","EKSİK","TAM"))</f>
        <v/>
      </c>
    </row>
    <row r="805">
      <c r="L805" s="23">
        <f>IF($A805="","",IF($C805="","EKSİK","TAM"))</f>
        <v/>
      </c>
    </row>
    <row r="806">
      <c r="L806" s="23">
        <f>IF($A806="","",IF($C806="","EKSİK","TAM"))</f>
        <v/>
      </c>
    </row>
    <row r="807">
      <c r="L807" s="23">
        <f>IF($A807="","",IF($C807="","EKSİK","TAM"))</f>
        <v/>
      </c>
    </row>
    <row r="808">
      <c r="L808" s="23">
        <f>IF($A808="","",IF($C808="","EKSİK","TAM"))</f>
        <v/>
      </c>
    </row>
    <row r="809">
      <c r="L809" s="23">
        <f>IF($A809="","",IF($C809="","EKSİK","TAM"))</f>
        <v/>
      </c>
    </row>
    <row r="810">
      <c r="L810" s="23">
        <f>IF($A810="","",IF($C810="","EKSİK","TAM"))</f>
        <v/>
      </c>
    </row>
    <row r="811">
      <c r="L811" s="23">
        <f>IF($A811="","",IF($C811="","EKSİK","TAM"))</f>
        <v/>
      </c>
    </row>
    <row r="812">
      <c r="L812" s="23">
        <f>IF($A812="","",IF($C812="","EKSİK","TAM"))</f>
        <v/>
      </c>
    </row>
    <row r="813">
      <c r="L813" s="23">
        <f>IF($A813="","",IF($C813="","EKSİK","TAM"))</f>
        <v/>
      </c>
    </row>
    <row r="814">
      <c r="L814" s="23">
        <f>IF($A814="","",IF($C814="","EKSİK","TAM"))</f>
        <v/>
      </c>
    </row>
    <row r="815">
      <c r="L815" s="23">
        <f>IF($A815="","",IF($C815="","EKSİK","TAM"))</f>
        <v/>
      </c>
    </row>
    <row r="816">
      <c r="L816" s="23">
        <f>IF($A816="","",IF($C816="","EKSİK","TAM"))</f>
        <v/>
      </c>
    </row>
    <row r="817">
      <c r="L817" s="23">
        <f>IF($A817="","",IF($C817="","EKSİK","TAM"))</f>
        <v/>
      </c>
    </row>
    <row r="818">
      <c r="L818" s="23">
        <f>IF($A818="","",IF($C818="","EKSİK","TAM"))</f>
        <v/>
      </c>
    </row>
    <row r="819">
      <c r="L819" s="23">
        <f>IF($A819="","",IF($C819="","EKSİK","TAM"))</f>
        <v/>
      </c>
    </row>
    <row r="820">
      <c r="L820" s="23">
        <f>IF($A820="","",IF($C820="","EKSİK","TAM"))</f>
        <v/>
      </c>
    </row>
    <row r="821">
      <c r="L821" s="23">
        <f>IF($A821="","",IF($C821="","EKSİK","TAM"))</f>
        <v/>
      </c>
    </row>
    <row r="822">
      <c r="L822" s="23">
        <f>IF($A822="","",IF($C822="","EKSİK","TAM"))</f>
        <v/>
      </c>
    </row>
    <row r="823">
      <c r="L823" s="23">
        <f>IF($A823="","",IF($C823="","EKSİK","TAM"))</f>
        <v/>
      </c>
    </row>
    <row r="824">
      <c r="L824" s="23">
        <f>IF($A824="","",IF($C824="","EKSİK","TAM"))</f>
        <v/>
      </c>
    </row>
    <row r="825">
      <c r="L825" s="23">
        <f>IF($A825="","",IF($C825="","EKSİK","TAM"))</f>
        <v/>
      </c>
    </row>
    <row r="826">
      <c r="L826" s="23">
        <f>IF($A826="","",IF($C826="","EKSİK","TAM"))</f>
        <v/>
      </c>
    </row>
    <row r="827">
      <c r="L827" s="23">
        <f>IF($A827="","",IF($C827="","EKSİK","TAM"))</f>
        <v/>
      </c>
    </row>
    <row r="828">
      <c r="L828" s="23">
        <f>IF($A828="","",IF($C828="","EKSİK","TAM"))</f>
        <v/>
      </c>
    </row>
    <row r="829">
      <c r="L829" s="23">
        <f>IF($A829="","",IF($C829="","EKSİK","TAM"))</f>
        <v/>
      </c>
    </row>
    <row r="830">
      <c r="L830" s="23">
        <f>IF($A830="","",IF($C830="","EKSİK","TAM"))</f>
        <v/>
      </c>
    </row>
    <row r="831">
      <c r="L831" s="23">
        <f>IF($A831="","",IF($C831="","EKSİK","TAM"))</f>
        <v/>
      </c>
    </row>
    <row r="832">
      <c r="L832" s="23">
        <f>IF($A832="","",IF($C832="","EKSİK","TAM"))</f>
        <v/>
      </c>
    </row>
    <row r="833">
      <c r="L833" s="23">
        <f>IF($A833="","",IF($C833="","EKSİK","TAM"))</f>
        <v/>
      </c>
    </row>
    <row r="834">
      <c r="L834" s="23">
        <f>IF($A834="","",IF($C834="","EKSİK","TAM"))</f>
        <v/>
      </c>
    </row>
    <row r="835">
      <c r="L835" s="23">
        <f>IF($A835="","",IF($C835="","EKSİK","TAM"))</f>
        <v/>
      </c>
    </row>
    <row r="836">
      <c r="L836" s="23">
        <f>IF($A836="","",IF($C836="","EKSİK","TAM"))</f>
        <v/>
      </c>
    </row>
    <row r="837">
      <c r="L837" s="23">
        <f>IF($A837="","",IF($C837="","EKSİK","TAM"))</f>
        <v/>
      </c>
    </row>
    <row r="838">
      <c r="L838" s="23">
        <f>IF($A838="","",IF($C838="","EKSİK","TAM"))</f>
        <v/>
      </c>
    </row>
    <row r="839">
      <c r="L839" s="23">
        <f>IF($A839="","",IF($C839="","EKSİK","TAM"))</f>
        <v/>
      </c>
    </row>
    <row r="840">
      <c r="L840" s="23">
        <f>IF($A840="","",IF($C840="","EKSİK","TAM"))</f>
        <v/>
      </c>
    </row>
    <row r="841">
      <c r="L841" s="23">
        <f>IF($A841="","",IF($C841="","EKSİK","TAM"))</f>
        <v/>
      </c>
    </row>
    <row r="842">
      <c r="L842" s="23">
        <f>IF($A842="","",IF($C842="","EKSİK","TAM"))</f>
        <v/>
      </c>
    </row>
    <row r="843">
      <c r="L843" s="23">
        <f>IF($A843="","",IF($C843="","EKSİK","TAM"))</f>
        <v/>
      </c>
    </row>
    <row r="844">
      <c r="L844" s="23">
        <f>IF($A844="","",IF($C844="","EKSİK","TAM"))</f>
        <v/>
      </c>
    </row>
    <row r="845">
      <c r="L845" s="23">
        <f>IF($A845="","",IF($C845="","EKSİK","TAM"))</f>
        <v/>
      </c>
    </row>
    <row r="846">
      <c r="L846" s="23">
        <f>IF($A846="","",IF($C846="","EKSİK","TAM"))</f>
        <v/>
      </c>
    </row>
    <row r="847">
      <c r="L847" s="23">
        <f>IF($A847="","",IF($C847="","EKSİK","TAM"))</f>
        <v/>
      </c>
    </row>
    <row r="848">
      <c r="L848" s="23">
        <f>IF($A848="","",IF($C848="","EKSİK","TAM"))</f>
        <v/>
      </c>
    </row>
    <row r="849">
      <c r="L849" s="23">
        <f>IF($A849="","",IF($C849="","EKSİK","TAM"))</f>
        <v/>
      </c>
    </row>
    <row r="850">
      <c r="L850" s="23">
        <f>IF($A850="","",IF($C850="","EKSİK","TAM"))</f>
        <v/>
      </c>
    </row>
    <row r="851">
      <c r="L851" s="23">
        <f>IF($A851="","",IF($C851="","EKSİK","TAM"))</f>
        <v/>
      </c>
    </row>
    <row r="852">
      <c r="L852" s="23">
        <f>IF($A852="","",IF($C852="","EKSİK","TAM"))</f>
        <v/>
      </c>
    </row>
    <row r="853">
      <c r="L853" s="23">
        <f>IF($A853="","",IF($C853="","EKSİK","TAM"))</f>
        <v/>
      </c>
    </row>
    <row r="854">
      <c r="L854" s="23">
        <f>IF($A854="","",IF($C854="","EKSİK","TAM"))</f>
        <v/>
      </c>
    </row>
    <row r="855">
      <c r="L855" s="23">
        <f>IF($A855="","",IF($C855="","EKSİK","TAM"))</f>
        <v/>
      </c>
    </row>
    <row r="856">
      <c r="L856" s="23">
        <f>IF($A856="","",IF($C856="","EKSİK","TAM"))</f>
        <v/>
      </c>
    </row>
    <row r="857">
      <c r="L857" s="23">
        <f>IF($A857="","",IF($C857="","EKSİK","TAM"))</f>
        <v/>
      </c>
    </row>
    <row r="858">
      <c r="L858" s="23">
        <f>IF($A858="","",IF($C858="","EKSİK","TAM"))</f>
        <v/>
      </c>
    </row>
    <row r="859">
      <c r="L859" s="23">
        <f>IF($A859="","",IF($C859="","EKSİK","TAM"))</f>
        <v/>
      </c>
    </row>
    <row r="860">
      <c r="L860" s="23">
        <f>IF($A860="","",IF($C860="","EKSİK","TAM"))</f>
        <v/>
      </c>
    </row>
    <row r="861">
      <c r="L861" s="23">
        <f>IF($A861="","",IF($C861="","EKSİK","TAM"))</f>
        <v/>
      </c>
    </row>
    <row r="862">
      <c r="L862" s="23">
        <f>IF($A862="","",IF($C862="","EKSİK","TAM"))</f>
        <v/>
      </c>
    </row>
    <row r="863">
      <c r="L863" s="23">
        <f>IF($A863="","",IF($C863="","EKSİK","TAM"))</f>
        <v/>
      </c>
    </row>
    <row r="864">
      <c r="L864" s="23">
        <f>IF($A864="","",IF($C864="","EKSİK","TAM"))</f>
        <v/>
      </c>
    </row>
    <row r="865">
      <c r="L865" s="23">
        <f>IF($A865="","",IF($C865="","EKSİK","TAM"))</f>
        <v/>
      </c>
    </row>
    <row r="866">
      <c r="L866" s="23">
        <f>IF($A866="","",IF($C866="","EKSİK","TAM"))</f>
        <v/>
      </c>
    </row>
    <row r="867">
      <c r="L867" s="23">
        <f>IF($A867="","",IF($C867="","EKSİK","TAM"))</f>
        <v/>
      </c>
    </row>
    <row r="868">
      <c r="L868" s="23">
        <f>IF($A868="","",IF($C868="","EKSİK","TAM"))</f>
        <v/>
      </c>
    </row>
    <row r="869">
      <c r="L869" s="23">
        <f>IF($A869="","",IF($C869="","EKSİK","TAM"))</f>
        <v/>
      </c>
    </row>
    <row r="870">
      <c r="L870" s="23">
        <f>IF($A870="","",IF($C870="","EKSİK","TAM"))</f>
        <v/>
      </c>
    </row>
    <row r="871">
      <c r="L871" s="23">
        <f>IF($A871="","",IF($C871="","EKSİK","TAM"))</f>
        <v/>
      </c>
    </row>
    <row r="872">
      <c r="L872" s="23">
        <f>IF($A872="","",IF($C872="","EKSİK","TAM"))</f>
        <v/>
      </c>
    </row>
    <row r="873">
      <c r="L873" s="23">
        <f>IF($A873="","",IF($C873="","EKSİK","TAM"))</f>
        <v/>
      </c>
    </row>
    <row r="874">
      <c r="L874" s="23">
        <f>IF($A874="","",IF($C874="","EKSİK","TAM"))</f>
        <v/>
      </c>
    </row>
    <row r="875">
      <c r="L875" s="23">
        <f>IF($A875="","",IF($C875="","EKSİK","TAM"))</f>
        <v/>
      </c>
    </row>
    <row r="876">
      <c r="L876" s="23">
        <f>IF($A876="","",IF($C876="","EKSİK","TAM"))</f>
        <v/>
      </c>
    </row>
    <row r="877">
      <c r="L877" s="23">
        <f>IF($A877="","",IF($C877="","EKSİK","TAM"))</f>
        <v/>
      </c>
    </row>
    <row r="878">
      <c r="L878" s="23">
        <f>IF($A878="","",IF($C878="","EKSİK","TAM"))</f>
        <v/>
      </c>
    </row>
    <row r="879">
      <c r="L879" s="23">
        <f>IF($A879="","",IF($C879="","EKSİK","TAM"))</f>
        <v/>
      </c>
    </row>
    <row r="880">
      <c r="L880" s="23">
        <f>IF($A880="","",IF($C880="","EKSİK","TAM"))</f>
        <v/>
      </c>
    </row>
    <row r="881">
      <c r="L881" s="23">
        <f>IF($A881="","",IF($C881="","EKSİK","TAM"))</f>
        <v/>
      </c>
    </row>
    <row r="882">
      <c r="L882" s="23">
        <f>IF($A882="","",IF($C882="","EKSİK","TAM"))</f>
        <v/>
      </c>
    </row>
    <row r="883">
      <c r="L883" s="23">
        <f>IF($A883="","",IF($C883="","EKSİK","TAM"))</f>
        <v/>
      </c>
    </row>
    <row r="884">
      <c r="L884" s="23">
        <f>IF($A884="","",IF($C884="","EKSİK","TAM"))</f>
        <v/>
      </c>
    </row>
    <row r="885">
      <c r="L885" s="23">
        <f>IF($A885="","",IF($C885="","EKSİK","TAM"))</f>
        <v/>
      </c>
    </row>
    <row r="886">
      <c r="L886" s="23">
        <f>IF($A886="","",IF($C886="","EKSİK","TAM"))</f>
        <v/>
      </c>
    </row>
    <row r="887">
      <c r="L887" s="23">
        <f>IF($A887="","",IF($C887="","EKSİK","TAM"))</f>
        <v/>
      </c>
    </row>
    <row r="888">
      <c r="L888" s="23">
        <f>IF($A888="","",IF($C888="","EKSİK","TAM"))</f>
        <v/>
      </c>
    </row>
    <row r="889">
      <c r="L889" s="23">
        <f>IF($A889="","",IF($C889="","EKSİK","TAM"))</f>
        <v/>
      </c>
    </row>
    <row r="890">
      <c r="L890" s="23">
        <f>IF($A890="","",IF($C890="","EKSİK","TAM"))</f>
        <v/>
      </c>
    </row>
    <row r="891">
      <c r="L891" s="23">
        <f>IF($A891="","",IF($C891="","EKSİK","TAM"))</f>
        <v/>
      </c>
    </row>
    <row r="892">
      <c r="L892" s="23">
        <f>IF($A892="","",IF($C892="","EKSİK","TAM"))</f>
        <v/>
      </c>
    </row>
    <row r="893">
      <c r="L893" s="23">
        <f>IF($A893="","",IF($C893="","EKSİK","TAM"))</f>
        <v/>
      </c>
    </row>
    <row r="894">
      <c r="L894" s="23">
        <f>IF($A894="","",IF($C894="","EKSİK","TAM"))</f>
        <v/>
      </c>
    </row>
    <row r="895">
      <c r="L895" s="23">
        <f>IF($A895="","",IF($C895="","EKSİK","TAM"))</f>
        <v/>
      </c>
    </row>
    <row r="896">
      <c r="L896" s="23">
        <f>IF($A896="","",IF($C896="","EKSİK","TAM"))</f>
        <v/>
      </c>
    </row>
    <row r="897">
      <c r="L897" s="23">
        <f>IF($A897="","",IF($C897="","EKSİK","TAM"))</f>
        <v/>
      </c>
    </row>
    <row r="898">
      <c r="L898" s="23">
        <f>IF($A898="","",IF($C898="","EKSİK","TAM"))</f>
        <v/>
      </c>
    </row>
    <row r="899">
      <c r="L899" s="23">
        <f>IF($A899="","",IF($C899="","EKSİK","TAM"))</f>
        <v/>
      </c>
    </row>
    <row r="900">
      <c r="L900" s="23">
        <f>IF($A900="","",IF($C900="","EKSİK","TAM"))</f>
        <v/>
      </c>
    </row>
    <row r="901">
      <c r="L901" s="23">
        <f>IF($A901="","",IF($C901="","EKSİK","TAM"))</f>
        <v/>
      </c>
    </row>
    <row r="902">
      <c r="L902" s="23">
        <f>IF($A902="","",IF($C902="","EKSİK","TAM"))</f>
        <v/>
      </c>
    </row>
    <row r="903">
      <c r="L903" s="23">
        <f>IF($A903="","",IF($C903="","EKSİK","TAM"))</f>
        <v/>
      </c>
    </row>
    <row r="904">
      <c r="L904" s="23">
        <f>IF($A904="","",IF($C904="","EKSİK","TAM"))</f>
        <v/>
      </c>
    </row>
    <row r="905">
      <c r="L905" s="23">
        <f>IF($A905="","",IF($C905="","EKSİK","TAM"))</f>
        <v/>
      </c>
    </row>
    <row r="906">
      <c r="L906" s="23">
        <f>IF($A906="","",IF($C906="","EKSİK","TAM"))</f>
        <v/>
      </c>
    </row>
    <row r="907">
      <c r="L907" s="23">
        <f>IF($A907="","",IF($C907="","EKSİK","TAM"))</f>
        <v/>
      </c>
    </row>
    <row r="908">
      <c r="L908" s="23">
        <f>IF($A908="","",IF($C908="","EKSİK","TAM"))</f>
        <v/>
      </c>
    </row>
    <row r="909">
      <c r="L909" s="23">
        <f>IF($A909="","",IF($C909="","EKSİK","TAM"))</f>
        <v/>
      </c>
    </row>
    <row r="910">
      <c r="L910" s="23">
        <f>IF($A910="","",IF($C910="","EKSİK","TAM"))</f>
        <v/>
      </c>
    </row>
    <row r="911">
      <c r="L911" s="23">
        <f>IF($A911="","",IF($C911="","EKSİK","TAM"))</f>
        <v/>
      </c>
    </row>
    <row r="912">
      <c r="L912" s="23">
        <f>IF($A912="","",IF($C912="","EKSİK","TAM"))</f>
        <v/>
      </c>
    </row>
    <row r="913">
      <c r="L913" s="23">
        <f>IF($A913="","",IF($C913="","EKSİK","TAM"))</f>
        <v/>
      </c>
    </row>
    <row r="914">
      <c r="L914" s="23">
        <f>IF($A914="","",IF($C914="","EKSİK","TAM"))</f>
        <v/>
      </c>
    </row>
    <row r="915">
      <c r="L915" s="23">
        <f>IF($A915="","",IF($C915="","EKSİK","TAM"))</f>
        <v/>
      </c>
    </row>
    <row r="916">
      <c r="L916" s="23">
        <f>IF($A916="","",IF($C916="","EKSİK","TAM"))</f>
        <v/>
      </c>
    </row>
    <row r="917">
      <c r="L917" s="23">
        <f>IF($A917="","",IF($C917="","EKSİK","TAM"))</f>
        <v/>
      </c>
    </row>
    <row r="918">
      <c r="L918" s="23">
        <f>IF($A918="","",IF($C918="","EKSİK","TAM"))</f>
        <v/>
      </c>
    </row>
    <row r="919">
      <c r="L919" s="23">
        <f>IF($A919="","",IF($C919="","EKSİK","TAM"))</f>
        <v/>
      </c>
    </row>
    <row r="920">
      <c r="L920" s="23">
        <f>IF($A920="","",IF($C920="","EKSİK","TAM"))</f>
        <v/>
      </c>
    </row>
    <row r="921">
      <c r="L921" s="23">
        <f>IF($A921="","",IF($C921="","EKSİK","TAM"))</f>
        <v/>
      </c>
    </row>
    <row r="922">
      <c r="L922" s="23">
        <f>IF($A922="","",IF($C922="","EKSİK","TAM"))</f>
        <v/>
      </c>
    </row>
    <row r="923">
      <c r="L923" s="23">
        <f>IF($A923="","",IF($C923="","EKSİK","TAM"))</f>
        <v/>
      </c>
    </row>
    <row r="924">
      <c r="L924" s="23">
        <f>IF($A924="","",IF($C924="","EKSİK","TAM"))</f>
        <v/>
      </c>
    </row>
    <row r="925">
      <c r="L925" s="23">
        <f>IF($A925="","",IF($C925="","EKSİK","TAM"))</f>
        <v/>
      </c>
    </row>
    <row r="926">
      <c r="L926" s="23">
        <f>IF($A926="","",IF($C926="","EKSİK","TAM"))</f>
        <v/>
      </c>
    </row>
    <row r="927">
      <c r="L927" s="23">
        <f>IF($A927="","",IF($C927="","EKSİK","TAM"))</f>
        <v/>
      </c>
    </row>
    <row r="928">
      <c r="L928" s="23">
        <f>IF($A928="","",IF($C928="","EKSİK","TAM"))</f>
        <v/>
      </c>
    </row>
    <row r="929">
      <c r="L929" s="23">
        <f>IF($A929="","",IF($C929="","EKSİK","TAM"))</f>
        <v/>
      </c>
    </row>
    <row r="930">
      <c r="L930" s="23">
        <f>IF($A930="","",IF($C930="","EKSİK","TAM"))</f>
        <v/>
      </c>
    </row>
    <row r="931">
      <c r="L931" s="23">
        <f>IF($A931="","",IF($C931="","EKSİK","TAM"))</f>
        <v/>
      </c>
    </row>
    <row r="932">
      <c r="L932" s="23">
        <f>IF($A932="","",IF($C932="","EKSİK","TAM"))</f>
        <v/>
      </c>
    </row>
    <row r="933">
      <c r="L933" s="23">
        <f>IF($A933="","",IF($C933="","EKSİK","TAM"))</f>
        <v/>
      </c>
    </row>
    <row r="934">
      <c r="L934" s="23">
        <f>IF($A934="","",IF($C934="","EKSİK","TAM"))</f>
        <v/>
      </c>
    </row>
    <row r="935">
      <c r="L935" s="23">
        <f>IF($A935="","",IF($C935="","EKSİK","TAM"))</f>
        <v/>
      </c>
    </row>
    <row r="936">
      <c r="L936" s="23">
        <f>IF($A936="","",IF($C936="","EKSİK","TAM"))</f>
        <v/>
      </c>
    </row>
    <row r="937">
      <c r="L937" s="23">
        <f>IF($A937="","",IF($C937="","EKSİK","TAM"))</f>
        <v/>
      </c>
    </row>
    <row r="938">
      <c r="L938" s="23">
        <f>IF($A938="","",IF($C938="","EKSİK","TAM"))</f>
        <v/>
      </c>
    </row>
    <row r="939">
      <c r="L939" s="23">
        <f>IF($A939="","",IF($C939="","EKSİK","TAM"))</f>
        <v/>
      </c>
    </row>
    <row r="940">
      <c r="L940" s="23">
        <f>IF($A940="","",IF($C940="","EKSİK","TAM"))</f>
        <v/>
      </c>
    </row>
    <row r="941">
      <c r="L941" s="23">
        <f>IF($A941="","",IF($C941="","EKSİK","TAM"))</f>
        <v/>
      </c>
    </row>
    <row r="942">
      <c r="L942" s="23">
        <f>IF($A942="","",IF($C942="","EKSİK","TAM"))</f>
        <v/>
      </c>
    </row>
    <row r="943">
      <c r="L943" s="23">
        <f>IF($A943="","",IF($C943="","EKSİK","TAM"))</f>
        <v/>
      </c>
    </row>
    <row r="944">
      <c r="L944" s="23">
        <f>IF($A944="","",IF($C944="","EKSİK","TAM"))</f>
        <v/>
      </c>
    </row>
    <row r="945">
      <c r="L945" s="23">
        <f>IF($A945="","",IF($C945="","EKSİK","TAM"))</f>
        <v/>
      </c>
    </row>
    <row r="946">
      <c r="L946" s="23">
        <f>IF($A946="","",IF($C946="","EKSİK","TAM"))</f>
        <v/>
      </c>
    </row>
    <row r="947">
      <c r="L947" s="23">
        <f>IF($A947="","",IF($C947="","EKSİK","TAM"))</f>
        <v/>
      </c>
    </row>
    <row r="948">
      <c r="L948" s="23">
        <f>IF($A948="","",IF($C948="","EKSİK","TAM"))</f>
        <v/>
      </c>
    </row>
    <row r="949">
      <c r="L949" s="23">
        <f>IF($A949="","",IF($C949="","EKSİK","TAM"))</f>
        <v/>
      </c>
    </row>
    <row r="950">
      <c r="L950" s="23">
        <f>IF($A950="","",IF($C950="","EKSİK","TAM"))</f>
        <v/>
      </c>
    </row>
    <row r="951">
      <c r="L951" s="23">
        <f>IF($A951="","",IF($C951="","EKSİK","TAM"))</f>
        <v/>
      </c>
    </row>
    <row r="952">
      <c r="L952" s="23">
        <f>IF($A952="","",IF($C952="","EKSİK","TAM"))</f>
        <v/>
      </c>
    </row>
    <row r="953">
      <c r="L953" s="23">
        <f>IF($A953="","",IF($C953="","EKSİK","TAM"))</f>
        <v/>
      </c>
    </row>
    <row r="954">
      <c r="L954" s="23">
        <f>IF($A954="","",IF($C954="","EKSİK","TAM"))</f>
        <v/>
      </c>
    </row>
    <row r="955">
      <c r="L955" s="23">
        <f>IF($A955="","",IF($C955="","EKSİK","TAM"))</f>
        <v/>
      </c>
    </row>
    <row r="956">
      <c r="L956" s="23">
        <f>IF($A956="","",IF($C956="","EKSİK","TAM"))</f>
        <v/>
      </c>
    </row>
    <row r="957">
      <c r="L957" s="23">
        <f>IF($A957="","",IF($C957="","EKSİK","TAM"))</f>
        <v/>
      </c>
    </row>
    <row r="958">
      <c r="L958" s="23">
        <f>IF($A958="","",IF($C958="","EKSİK","TAM"))</f>
        <v/>
      </c>
    </row>
    <row r="959">
      <c r="L959" s="23">
        <f>IF($A959="","",IF($C959="","EKSİK","TAM"))</f>
        <v/>
      </c>
    </row>
    <row r="960">
      <c r="L960" s="23">
        <f>IF($A960="","",IF($C960="","EKSİK","TAM"))</f>
        <v/>
      </c>
    </row>
    <row r="961">
      <c r="L961" s="23">
        <f>IF($A961="","",IF($C961="","EKSİK","TAM"))</f>
        <v/>
      </c>
    </row>
    <row r="962">
      <c r="L962" s="23">
        <f>IF($A962="","",IF($C962="","EKSİK","TAM"))</f>
        <v/>
      </c>
    </row>
    <row r="963">
      <c r="L963" s="23">
        <f>IF($A963="","",IF($C963="","EKSİK","TAM"))</f>
        <v/>
      </c>
    </row>
    <row r="964">
      <c r="L964" s="23">
        <f>IF($A964="","",IF($C964="","EKSİK","TAM"))</f>
        <v/>
      </c>
    </row>
    <row r="965">
      <c r="L965" s="23">
        <f>IF($A965="","",IF($C965="","EKSİK","TAM"))</f>
        <v/>
      </c>
    </row>
    <row r="966">
      <c r="L966" s="23">
        <f>IF($A966="","",IF($C966="","EKSİK","TAM"))</f>
        <v/>
      </c>
    </row>
    <row r="967">
      <c r="L967" s="23">
        <f>IF($A967="","",IF($C967="","EKSİK","TAM"))</f>
        <v/>
      </c>
    </row>
    <row r="968">
      <c r="L968" s="23">
        <f>IF($A968="","",IF($C968="","EKSİK","TAM"))</f>
        <v/>
      </c>
    </row>
    <row r="969">
      <c r="L969" s="23">
        <f>IF($A969="","",IF($C969="","EKSİK","TAM"))</f>
        <v/>
      </c>
    </row>
    <row r="970">
      <c r="L970" s="23">
        <f>IF($A970="","",IF($C970="","EKSİK","TAM"))</f>
        <v/>
      </c>
    </row>
    <row r="971">
      <c r="L971" s="23">
        <f>IF($A971="","",IF($C971="","EKSİK","TAM"))</f>
        <v/>
      </c>
    </row>
    <row r="972">
      <c r="L972" s="23">
        <f>IF($A972="","",IF($C972="","EKSİK","TAM"))</f>
        <v/>
      </c>
    </row>
    <row r="973">
      <c r="L973" s="23">
        <f>IF($A973="","",IF($C973="","EKSİK","TAM"))</f>
        <v/>
      </c>
    </row>
    <row r="974">
      <c r="L974" s="23">
        <f>IF($A974="","",IF($C974="","EKSİK","TAM"))</f>
        <v/>
      </c>
    </row>
    <row r="975">
      <c r="L975" s="23">
        <f>IF($A975="","",IF($C975="","EKSİK","TAM"))</f>
        <v/>
      </c>
    </row>
    <row r="976">
      <c r="L976" s="23">
        <f>IF($A976="","",IF($C976="","EKSİK","TAM"))</f>
        <v/>
      </c>
    </row>
    <row r="977">
      <c r="L977" s="23">
        <f>IF($A977="","",IF($C977="","EKSİK","TAM"))</f>
        <v/>
      </c>
    </row>
    <row r="978">
      <c r="L978" s="23">
        <f>IF($A978="","",IF($C978="","EKSİK","TAM"))</f>
        <v/>
      </c>
    </row>
    <row r="979">
      <c r="L979" s="23">
        <f>IF($A979="","",IF($C979="","EKSİK","TAM"))</f>
        <v/>
      </c>
    </row>
    <row r="980">
      <c r="L980" s="23">
        <f>IF($A980="","",IF($C980="","EKSİK","TAM"))</f>
        <v/>
      </c>
    </row>
    <row r="981">
      <c r="L981" s="23">
        <f>IF($A981="","",IF($C981="","EKSİK","TAM"))</f>
        <v/>
      </c>
    </row>
    <row r="982">
      <c r="L982" s="23">
        <f>IF($A982="","",IF($C982="","EKSİK","TAM"))</f>
        <v/>
      </c>
    </row>
    <row r="983">
      <c r="L983" s="23">
        <f>IF($A983="","",IF($C983="","EKSİK","TAM"))</f>
        <v/>
      </c>
    </row>
    <row r="984">
      <c r="L984" s="23">
        <f>IF($A984="","",IF($C984="","EKSİK","TAM"))</f>
        <v/>
      </c>
    </row>
    <row r="985">
      <c r="L985" s="23">
        <f>IF($A985="","",IF($C985="","EKSİK","TAM"))</f>
        <v/>
      </c>
    </row>
    <row r="986">
      <c r="L986" s="23">
        <f>IF($A986="","",IF($C986="","EKSİK","TAM"))</f>
        <v/>
      </c>
    </row>
    <row r="987">
      <c r="L987" s="23">
        <f>IF($A987="","",IF($C987="","EKSİK","TAM"))</f>
        <v/>
      </c>
    </row>
    <row r="988">
      <c r="L988" s="23">
        <f>IF($A988="","",IF($C988="","EKSİK","TAM"))</f>
        <v/>
      </c>
    </row>
    <row r="989">
      <c r="L989" s="23">
        <f>IF($A989="","",IF($C989="","EKSİK","TAM"))</f>
        <v/>
      </c>
    </row>
    <row r="990">
      <c r="L990" s="23">
        <f>IF($A990="","",IF($C990="","EKSİK","TAM"))</f>
        <v/>
      </c>
    </row>
    <row r="991">
      <c r="L991" s="23">
        <f>IF($A991="","",IF($C991="","EKSİK","TAM"))</f>
        <v/>
      </c>
    </row>
    <row r="992">
      <c r="L992" s="23">
        <f>IF($A992="","",IF($C992="","EKSİK","TAM"))</f>
        <v/>
      </c>
    </row>
    <row r="993">
      <c r="L993" s="23">
        <f>IF($A993="","",IF($C993="","EKSİK","TAM"))</f>
        <v/>
      </c>
    </row>
    <row r="994">
      <c r="L994" s="23">
        <f>IF($A994="","",IF($C994="","EKSİK","TAM"))</f>
        <v/>
      </c>
    </row>
    <row r="995">
      <c r="L995" s="23">
        <f>IF($A995="","",IF($C995="","EKSİK","TAM"))</f>
        <v/>
      </c>
    </row>
    <row r="996">
      <c r="L996" s="23">
        <f>IF($A996="","",IF($C996="","EKSİK","TAM"))</f>
        <v/>
      </c>
    </row>
    <row r="997">
      <c r="L997" s="23">
        <f>IF($A997="","",IF($C997="","EKSİK","TAM"))</f>
        <v/>
      </c>
    </row>
    <row r="998">
      <c r="L998" s="23">
        <f>IF($A998="","",IF($C998="","EKSİK","TAM"))</f>
        <v/>
      </c>
    </row>
    <row r="999">
      <c r="L999" s="23">
        <f>IF($A999="","",IF($C999="","EKSİK","TAM"))</f>
        <v/>
      </c>
    </row>
    <row r="1000">
      <c r="L1000" s="23">
        <f>IF($A1000="","",IF($C1000="","EKSİK","TAM"))</f>
        <v/>
      </c>
    </row>
    <row r="1001">
      <c r="L1001" s="23">
        <f>IF($A1001="","",IF($C1001="","EKSİK","TAM"))</f>
        <v/>
      </c>
    </row>
    <row r="1002">
      <c r="L1002" s="23">
        <f>IF($A1002="","",IF($C1002="","EKSİK","TAM"))</f>
        <v/>
      </c>
    </row>
    <row r="1003">
      <c r="L1003" s="23">
        <f>IF($A1003="","",IF($C1003="","EKSİK","TAM"))</f>
        <v/>
      </c>
    </row>
    <row r="1004">
      <c r="L1004" s="23">
        <f>IF($A1004="","",IF($C1004="","EKSİK","TAM"))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C6:C20">
    <cfRule type="cellIs" priority="1" operator="lessThan" dxfId="0">
      <formula>0</formula>
    </cfRule>
  </conditionalFormatting>
  <conditionalFormatting sqref="D6:D20">
    <cfRule type="cellIs" priority="2" operator="lessThan" dxfId="0">
      <formula>0</formula>
    </cfRule>
  </conditionalFormatting>
  <conditionalFormatting sqref="H6:H20">
    <cfRule type="cellIs" priority="3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.5" customWidth="1" min="3" max="3"/>
    <col width="13" customWidth="1" min="4" max="4"/>
    <col width="13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LISTELER — GES Yatırım Fizibilite Simülatörü</t>
        </is>
      </c>
    </row>
    <row r="3" ht="22" customHeight="1">
      <c r="A3" s="227" t="inlineStr">
        <is>
          <t>Doğrulama listeleri</t>
        </is>
      </c>
    </row>
    <row r="5">
      <c r="A5" s="48" t="inlineStr">
        <is>
          <t>Yıl</t>
        </is>
      </c>
      <c r="C5" s="48" t="inlineStr">
        <is>
          <t>ProjeTipi</t>
        </is>
      </c>
      <c r="E5" s="48" t="inlineStr">
        <is>
          <t>EvetHayır</t>
        </is>
      </c>
    </row>
    <row r="6">
      <c r="A6" s="53" t="n">
        <v>2025</v>
      </c>
      <c r="C6" s="51" t="inlineStr">
        <is>
          <t>CATI</t>
        </is>
      </c>
      <c r="E6" s="51" t="inlineStr">
        <is>
          <t>Evet</t>
        </is>
      </c>
    </row>
    <row r="7">
      <c r="A7" s="53" t="n">
        <v>2026</v>
      </c>
      <c r="C7" s="51" t="inlineStr">
        <is>
          <t>SAHA</t>
        </is>
      </c>
      <c r="E7" s="51" t="inlineStr">
        <is>
          <t>Hayır</t>
        </is>
      </c>
    </row>
    <row r="8">
      <c r="A8" s="53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33C0C"/>
    <outlinePr summaryBelow="1" summaryRight="1"/>
    <pageSetUpPr/>
  </sheetPr>
  <dimension ref="A1:J44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.5" customWidth="1" min="3" max="3"/>
    <col width="32" customWidth="1" min="4" max="4"/>
    <col width="22" customWidth="1" min="5" max="5"/>
    <col width="19.5" customWidth="1" min="6" max="6"/>
    <col width="20.5" customWidth="1" min="7" max="7"/>
    <col width="12" customWidth="1" min="8" max="8"/>
    <col width="13" customWidth="1" min="9" max="9"/>
    <col width="48" customWidth="1" min="10" max="10"/>
  </cols>
  <sheetData>
    <row r="1" ht="32" customHeight="1">
      <c r="A1" s="207" t="inlineStr">
        <is>
          <t>AYARLAR — GES Yatırım Fizibilite Simülatörü</t>
        </is>
      </c>
    </row>
    <row r="3" ht="22" customHeight="1">
      <c r="A3" s="227" t="inlineStr">
        <is>
          <t>Parametreler (tek kaynak) — tarife/teşvik</t>
        </is>
      </c>
    </row>
    <row r="5" ht="30" customHeight="1">
      <c r="A5" s="21" t="inlineStr">
        <is>
          <t>anahtar</t>
        </is>
      </c>
      <c r="B5" s="21" t="inlineStr">
        <is>
          <t>deger</t>
        </is>
      </c>
      <c r="C5" s="21" t="inlineStr">
        <is>
          <t>birim</t>
        </is>
      </c>
      <c r="D5" s="21" t="inlineStr">
        <is>
          <t>aciklama</t>
        </is>
      </c>
      <c r="E5" s="21" t="inlineStr">
        <is>
          <t>kaynak</t>
        </is>
      </c>
      <c r="F5" s="21" t="inlineStr">
        <is>
          <t>yururluk_tarihi</t>
        </is>
      </c>
      <c r="G5" s="21" t="inlineStr">
        <is>
          <t>dogrulama_tarihi</t>
        </is>
      </c>
      <c r="H5" s="21" t="inlineStr">
        <is>
          <t>kontrol</t>
        </is>
      </c>
    </row>
    <row r="6">
      <c r="A6" s="7" t="inlineStr">
        <is>
          <t>hesapYili</t>
        </is>
      </c>
      <c r="B6" s="33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7">
        <f>IF(A6="","",IF(B6="","EKSİK","TAM"))</f>
        <v/>
      </c>
    </row>
    <row r="7">
      <c r="A7" s="7" t="inlineStr">
        <is>
          <t>raporTarihi</t>
        </is>
      </c>
      <c r="B7" s="68" t="n">
        <v>46245</v>
      </c>
      <c r="C7" s="7" t="inlineStr">
        <is>
          <t>tarih</t>
        </is>
      </c>
      <c r="D7" s="7" t="inlineStr">
        <is>
          <t>Rapor tarihi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7">
        <f>IF(A7="","",IF(B7="","EKSİK","TAM"))</f>
        <v/>
      </c>
    </row>
    <row r="8">
      <c r="A8" s="7" t="inlineStr">
        <is>
          <t>gyf_tolerans</t>
        </is>
      </c>
      <c r="B8" s="33" t="n">
        <v>1</v>
      </c>
      <c r="C8" s="7" t="inlineStr">
        <is>
          <t>adet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7">
        <f>IF(A8="","",IF(B8="","EKSİK","TAM"))</f>
        <v/>
      </c>
    </row>
    <row r="9">
      <c r="A9" s="7" t="inlineStr">
        <is>
          <t>gyf_azamiEsik</t>
        </is>
      </c>
      <c r="B9" s="66" t="n">
        <v>100000000000</v>
      </c>
      <c r="C9" s="7" t="inlineStr">
        <is>
          <t>TL</t>
        </is>
      </c>
      <c r="D9" s="7" t="inlineStr">
        <is>
          <t>Azami giriş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7">
        <f>IF(A9="","",IF(B9="","EKSİK","TAM"))</f>
        <v/>
      </c>
    </row>
    <row r="10">
      <c r="A10" s="7" t="inlineStr">
        <is>
          <t>gyf_senaryoIyi</t>
        </is>
      </c>
      <c r="B10" s="34" t="n">
        <v>1.12</v>
      </c>
      <c r="C10" s="7" t="inlineStr">
        <is>
          <t>çarpan</t>
        </is>
      </c>
      <c r="D10" s="7" t="inlineStr">
        <is>
          <t>İyimser üretim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7">
        <f>IF(A10="","",IF(B10="","EKSİK","TAM"))</f>
        <v/>
      </c>
    </row>
    <row r="11">
      <c r="A11" s="7" t="inlineStr">
        <is>
          <t>gyf_senaryoKotu</t>
        </is>
      </c>
      <c r="B11" s="34" t="n">
        <v>0.75</v>
      </c>
      <c r="C11" s="7" t="inlineStr">
        <is>
          <t>çarpan</t>
        </is>
      </c>
      <c r="D11" s="7" t="inlineStr">
        <is>
          <t>Kötümser üretim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7">
        <f>IF(A11="","",IF(B11="","EKSİK","TAM"))</f>
        <v/>
      </c>
    </row>
    <row r="12">
      <c r="A12" s="7" t="inlineStr">
        <is>
          <t>gyf_tarifeKotu</t>
        </is>
      </c>
      <c r="B12" s="34" t="n">
        <v>0.85</v>
      </c>
      <c r="C12" s="7" t="inlineStr">
        <is>
          <t>çarpan</t>
        </is>
      </c>
      <c r="D12" s="7" t="inlineStr">
        <is>
          <t>Kötümser tarife çarpanı</t>
        </is>
      </c>
      <c r="E12" s="7" t="inlineStr">
        <is>
          <t>Model varsayımı</t>
        </is>
      </c>
      <c r="F12" s="7" t="inlineStr">
        <is>
          <t>01.01.2025</t>
        </is>
      </c>
      <c r="G12" s="7" t="inlineStr">
        <is>
          <t>11.08.2026</t>
        </is>
      </c>
      <c r="H12" s="67">
        <f>IF(A12="","",IF(B12="","EKSİK","TAM"))</f>
        <v/>
      </c>
    </row>
    <row r="13">
      <c r="A13" s="7" t="inlineStr">
        <is>
          <t>gyf_capexIyi</t>
        </is>
      </c>
      <c r="B13" s="34" t="n">
        <v>0.95</v>
      </c>
      <c r="C13" s="7" t="inlineStr">
        <is>
          <t>çarpan</t>
        </is>
      </c>
      <c r="D13" s="7" t="inlineStr">
        <is>
          <t>İyimser CAPEX çarpanı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7">
        <f>IF(A13="","",IF(B13="","EKSİK","TAM"))</f>
        <v/>
      </c>
    </row>
    <row r="14">
      <c r="A14" s="7" t="inlineStr">
        <is>
          <t>gyf_capexKotu</t>
        </is>
      </c>
      <c r="B14" s="34" t="n">
        <v>1.15</v>
      </c>
      <c r="C14" s="7" t="inlineStr">
        <is>
          <t>çarpan</t>
        </is>
      </c>
      <c r="D14" s="7" t="inlineStr">
        <is>
          <t>Kötümser CAPEX çarpanı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7">
        <f>IF(A14="","",IF(B14="","EKSİK","TAM"))</f>
        <v/>
      </c>
    </row>
    <row r="15">
      <c r="A15" s="7" t="inlineStr">
        <is>
          <t>gyf_opexKotu</t>
        </is>
      </c>
      <c r="B15" s="34" t="n">
        <v>1.4</v>
      </c>
      <c r="C15" s="7" t="inlineStr">
        <is>
          <t>çarpan</t>
        </is>
      </c>
      <c r="D15" s="7" t="inlineStr">
        <is>
          <t>Kötümser OPEX çarpanı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7">
        <f>IF(A15="","",IF(B15="","EKSİK","TAM"))</f>
        <v/>
      </c>
    </row>
    <row r="16">
      <c r="A16" s="7" t="inlineStr">
        <is>
          <t>gyf_tahminAlt</t>
        </is>
      </c>
      <c r="B16" s="34" t="n">
        <v>0.85</v>
      </c>
      <c r="C16" s="7" t="inlineStr">
        <is>
          <t>çarpan</t>
        </is>
      </c>
      <c r="D16" s="7" t="inlineStr">
        <is>
          <t>Tahmin alt bant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7">
        <f>IF(A16="","",IF(B16="","EKSİK","TAM"))</f>
        <v/>
      </c>
    </row>
    <row r="17">
      <c r="A17" s="7" t="inlineStr">
        <is>
          <t>gyf_tahminUst</t>
        </is>
      </c>
      <c r="B17" s="34" t="n">
        <v>1.15</v>
      </c>
      <c r="C17" s="7" t="inlineStr">
        <is>
          <t>çarpan</t>
        </is>
      </c>
      <c r="D17" s="7" t="inlineStr">
        <is>
          <t>Tahmin üst bant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67">
        <f>IF(A17="","",IF(B17="","EKSİK","TAM"))</f>
        <v/>
      </c>
    </row>
    <row r="18">
      <c r="A18" s="7" t="inlineStr">
        <is>
          <t>gyf_tornadoTarife</t>
        </is>
      </c>
      <c r="B18" s="34" t="n">
        <v>1.1</v>
      </c>
      <c r="C18" s="7" t="inlineStr">
        <is>
          <t>çarpan</t>
        </is>
      </c>
      <c r="D18" s="7" t="inlineStr">
        <is>
          <t>Tornado tarife şoku</t>
        </is>
      </c>
      <c r="E18" s="7" t="inlineStr">
        <is>
          <t>Model varsayımı</t>
        </is>
      </c>
      <c r="F18" s="7" t="inlineStr">
        <is>
          <t>01.01.2025</t>
        </is>
      </c>
      <c r="G18" s="7" t="inlineStr">
        <is>
          <t>11.08.2026</t>
        </is>
      </c>
      <c r="H18" s="67">
        <f>IF(A18="","",IF(B18="","EKSİK","TAM"))</f>
        <v/>
      </c>
    </row>
    <row r="19">
      <c r="A19" s="7" t="inlineStr">
        <is>
          <t>gyf_tornadoUretim</t>
        </is>
      </c>
      <c r="B19" s="34" t="n">
        <v>1.12</v>
      </c>
      <c r="C19" s="7" t="inlineStr">
        <is>
          <t>çarpan</t>
        </is>
      </c>
      <c r="D19" s="7" t="inlineStr">
        <is>
          <t>Tornado üretim şoku</t>
        </is>
      </c>
      <c r="E19" s="7" t="inlineStr">
        <is>
          <t>Model varsayımı</t>
        </is>
      </c>
      <c r="F19" s="7" t="inlineStr">
        <is>
          <t>01.01.2025</t>
        </is>
      </c>
      <c r="G19" s="7" t="inlineStr">
        <is>
          <t>11.08.2026</t>
        </is>
      </c>
      <c r="H19" s="67">
        <f>IF(A19="","",IF(B19="","EKSİK","TAM"))</f>
        <v/>
      </c>
    </row>
    <row r="20">
      <c r="A20" s="7" t="inlineStr">
        <is>
          <t>gyf_tornadoCapex</t>
        </is>
      </c>
      <c r="B20" s="34" t="n">
        <v>1.1</v>
      </c>
      <c r="C20" s="7" t="inlineStr">
        <is>
          <t>çarpan</t>
        </is>
      </c>
      <c r="D20" s="7" t="inlineStr">
        <is>
          <t>Tornado CAPEX şoku</t>
        </is>
      </c>
      <c r="E20" s="7" t="inlineStr">
        <is>
          <t>Model varsayımı</t>
        </is>
      </c>
      <c r="F20" s="7" t="inlineStr">
        <is>
          <t>01.01.2025</t>
        </is>
      </c>
      <c r="G20" s="7" t="inlineStr">
        <is>
          <t>11.08.2026</t>
        </is>
      </c>
      <c r="H20" s="67">
        <f>IF(A20="","",IF(B20="","EKSİK","TAM"))</f>
        <v/>
      </c>
    </row>
    <row r="21">
      <c r="A21" s="7" t="inlineStr">
        <is>
          <t>gyf_tornadoOpex</t>
        </is>
      </c>
      <c r="B21" s="34" t="n">
        <v>1.2</v>
      </c>
      <c r="C21" s="7" t="inlineStr">
        <is>
          <t>çarpan</t>
        </is>
      </c>
      <c r="D21" s="7" t="inlineStr">
        <is>
          <t>Tornado OPEX şoku</t>
        </is>
      </c>
      <c r="E21" s="7" t="inlineStr">
        <is>
          <t>Model varsayımı</t>
        </is>
      </c>
      <c r="F21" s="7" t="inlineStr">
        <is>
          <t>01.01.2025</t>
        </is>
      </c>
      <c r="G21" s="7" t="inlineStr">
        <is>
          <t>11.08.2026</t>
        </is>
      </c>
      <c r="H21" s="67">
        <f>IF(A21="","",IF(B21="","EKSİK","TAM"))</f>
        <v/>
      </c>
    </row>
    <row r="22">
      <c r="A22" s="7" t="inlineStr">
        <is>
          <t>gyf_tornadoWacc</t>
        </is>
      </c>
      <c r="B22" s="34" t="n">
        <v>0.9</v>
      </c>
      <c r="C22" s="7" t="inlineStr">
        <is>
          <t>çarpan</t>
        </is>
      </c>
      <c r="D22" s="7" t="inlineStr">
        <is>
          <t>Tornado WACC şoku</t>
        </is>
      </c>
      <c r="E22" s="7" t="inlineStr">
        <is>
          <t>Model varsayımı</t>
        </is>
      </c>
      <c r="F22" s="7" t="inlineStr">
        <is>
          <t>01.01.2025</t>
        </is>
      </c>
      <c r="G22" s="7" t="inlineStr">
        <is>
          <t>11.08.2026</t>
        </is>
      </c>
      <c r="H22" s="67">
        <f>IF(A22="","",IF(B22="","EKSİK","TAM"))</f>
        <v/>
      </c>
    </row>
    <row r="23">
      <c r="A23" s="7" t="inlineStr">
        <is>
          <t>gyf_yuzdelikOran</t>
        </is>
      </c>
      <c r="B23" s="34" t="n">
        <v>0.9</v>
      </c>
      <c r="C23" s="7" t="inlineStr">
        <is>
          <t>oran</t>
        </is>
      </c>
      <c r="D23" s="7" t="inlineStr">
        <is>
          <t>Yüzdelik P90</t>
        </is>
      </c>
      <c r="E23" s="7" t="inlineStr">
        <is>
          <t>İstatistik</t>
        </is>
      </c>
      <c r="F23" s="7" t="inlineStr">
        <is>
          <t>01.01.2025</t>
        </is>
      </c>
      <c r="G23" s="7" t="inlineStr">
        <is>
          <t>11.08.2026</t>
        </is>
      </c>
      <c r="H23" s="67">
        <f>IF(A23="","",IF(B23="","EKSİK","TAM"))</f>
        <v/>
      </c>
    </row>
    <row r="24">
      <c r="A24" s="7" t="inlineStr">
        <is>
          <t>gyf_parmakIzi</t>
        </is>
      </c>
      <c r="B24" s="31" t="inlineStr">
        <is>
          <t>0f39f85d5b68650a</t>
        </is>
      </c>
      <c r="C24" s="7" t="inlineStr">
        <is>
          <t>metin</t>
        </is>
      </c>
      <c r="D24" s="7" t="inlineStr">
        <is>
          <t>Dosya parmak izi</t>
        </is>
      </c>
      <c r="E24" s="7" t="inlineStr">
        <is>
          <t>Üretim</t>
        </is>
      </c>
      <c r="F24" s="7" t="inlineStr">
        <is>
          <t>01.01.2025</t>
        </is>
      </c>
      <c r="G24" s="7" t="inlineStr">
        <is>
          <t>11.08.2026</t>
        </is>
      </c>
      <c r="H24" s="67">
        <f>IF(A24="","",IF(B24="","EKSİK","TAM"))</f>
        <v/>
      </c>
    </row>
    <row r="25">
      <c r="A25" s="7" t="inlineStr">
        <is>
          <t>dosya_surumu</t>
        </is>
      </c>
      <c r="B25" s="31" t="inlineStr">
        <is>
          <t>1.0.0</t>
        </is>
      </c>
      <c r="C25" s="7" t="inlineStr">
        <is>
          <t>metin</t>
        </is>
      </c>
      <c r="D25" s="7" t="inlineStr">
        <is>
          <t>Ürün sürümü</t>
        </is>
      </c>
      <c r="E25" s="7" t="inlineStr">
        <is>
          <t>ExcelArşiv</t>
        </is>
      </c>
      <c r="F25" s="7" t="inlineStr">
        <is>
          <t>01.01.2025</t>
        </is>
      </c>
      <c r="G25" s="7" t="inlineStr">
        <is>
          <t>11.08.2026</t>
        </is>
      </c>
      <c r="H25" s="67">
        <f>IF(A25="","",IF(B25="","EKSİK","TAM"))</f>
        <v/>
      </c>
    </row>
    <row r="26">
      <c r="A26" s="7" t="inlineStr">
        <is>
          <t>gyf_girisBeklenen</t>
        </is>
      </c>
      <c r="B26" s="33" t="n">
        <v>17</v>
      </c>
      <c r="C26" s="7" t="inlineStr">
        <is>
          <t>adet</t>
        </is>
      </c>
      <c r="D26" s="7" t="inlineStr">
        <is>
          <t>Zorunlu giriş sayısı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7">
        <f>IF(A26="","",IF(B26="","EKSİK","TAM"))</f>
        <v/>
      </c>
    </row>
    <row r="27">
      <c r="A27" s="7" t="inlineStr">
        <is>
          <t>gyf_riskDusuk</t>
        </is>
      </c>
      <c r="B27" s="33" t="n">
        <v>20</v>
      </c>
      <c r="C27" s="7" t="inlineStr">
        <is>
          <t>puan</t>
        </is>
      </c>
      <c r="D27" s="7" t="inlineStr">
        <is>
          <t>YAPILIR risk skoru</t>
        </is>
      </c>
      <c r="E27" s="7" t="inlineStr">
        <is>
          <t>İç politika</t>
        </is>
      </c>
      <c r="F27" s="7" t="inlineStr">
        <is>
          <t>01.01.2025</t>
        </is>
      </c>
      <c r="G27" s="7" t="inlineStr">
        <is>
          <t>11.08.2026</t>
        </is>
      </c>
      <c r="H27" s="67">
        <f>IF(A27="","",IF(B27="","EKSİK","TAM"))</f>
        <v/>
      </c>
    </row>
    <row r="28">
      <c r="A28" s="7" t="inlineStr">
        <is>
          <t>gyf_riskOrta</t>
        </is>
      </c>
      <c r="B28" s="33" t="n">
        <v>55</v>
      </c>
      <c r="C28" s="7" t="inlineStr">
        <is>
          <t>puan</t>
        </is>
      </c>
      <c r="D28" s="7" t="inlineStr">
        <is>
          <t>DİKKAT risk skoru</t>
        </is>
      </c>
      <c r="E28" s="7" t="inlineStr">
        <is>
          <t>İç politika</t>
        </is>
      </c>
      <c r="F28" s="7" t="inlineStr">
        <is>
          <t>01.01.2025</t>
        </is>
      </c>
      <c r="G28" s="7" t="inlineStr">
        <is>
          <t>11.08.2026</t>
        </is>
      </c>
      <c r="H28" s="67">
        <f>IF(A28="","",IF(B28="","EKSİK","TAM"))</f>
        <v/>
      </c>
    </row>
    <row r="29">
      <c r="A29" s="7" t="inlineStr">
        <is>
          <t>gyf_riskYuksek</t>
        </is>
      </c>
      <c r="B29" s="33" t="n">
        <v>85</v>
      </c>
      <c r="C29" s="7" t="inlineStr">
        <is>
          <t>puan</t>
        </is>
      </c>
      <c r="D29" s="7" t="inlineStr">
        <is>
          <t>YAPMA risk skoru</t>
        </is>
      </c>
      <c r="E29" s="7" t="inlineStr">
        <is>
          <t>İç politika</t>
        </is>
      </c>
      <c r="F29" s="7" t="inlineStr">
        <is>
          <t>01.01.2025</t>
        </is>
      </c>
      <c r="G29" s="7" t="inlineStr">
        <is>
          <t>11.08.2026</t>
        </is>
      </c>
      <c r="H29" s="67">
        <f>IF(A29="","",IF(B29="","EKSİK","TAM"))</f>
        <v/>
      </c>
    </row>
    <row r="30">
      <c r="A30" s="7" t="inlineStr">
        <is>
          <t>gyf_yilTaban</t>
        </is>
      </c>
      <c r="B30" s="33" t="n">
        <v>2024</v>
      </c>
      <c r="C30" s="7" t="inlineStr">
        <is>
          <t>yıl</t>
        </is>
      </c>
      <c r="D30" s="7" t="inlineStr">
        <is>
          <t>CHOOSE yıl tabanı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67">
        <f>IF(A30="","",IF(B30="","EKSİK","TAM"))</f>
        <v/>
      </c>
    </row>
    <row r="31">
      <c r="A31" s="7" t="inlineStr">
        <is>
          <t>gyf_yuvarMax</t>
        </is>
      </c>
      <c r="B31" s="33" t="n">
        <v>10</v>
      </c>
      <c r="C31" s="7" t="inlineStr">
        <is>
          <t>adet</t>
        </is>
      </c>
      <c r="D31" s="7" t="inlineStr">
        <is>
          <t>ROUND basamak tavanı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7">
        <f>IF(A31="","",IF(B31="","EKSİK","TAM"))</f>
        <v/>
      </c>
    </row>
    <row r="32">
      <c r="A32" s="7" t="inlineStr">
        <is>
          <t>gyf_bazCarpan</t>
        </is>
      </c>
      <c r="B32" s="34" t="n">
        <v>1</v>
      </c>
      <c r="C32" s="7" t="inlineStr">
        <is>
          <t>çarpan</t>
        </is>
      </c>
      <c r="D32" s="7" t="inlineStr">
        <is>
          <t>Baz senaryo çarpanı</t>
        </is>
      </c>
      <c r="E32" s="7" t="inlineStr">
        <is>
          <t>Model varsayımı</t>
        </is>
      </c>
      <c r="F32" s="7" t="inlineStr">
        <is>
          <t>01.01.2025</t>
        </is>
      </c>
      <c r="G32" s="7" t="inlineStr">
        <is>
          <t>11.08.2026</t>
        </is>
      </c>
      <c r="H32" s="67">
        <f>IF(A32="","",IF(B32="","EKSİK","TAM"))</f>
        <v/>
      </c>
    </row>
    <row r="33">
      <c r="A33" s="7" t="inlineStr">
        <is>
          <t>gyf_sifirCarpan</t>
        </is>
      </c>
      <c r="B33" s="34" t="n">
        <v>0</v>
      </c>
      <c r="C33" s="7" t="inlineStr">
        <is>
          <t>çarpan</t>
        </is>
      </c>
      <c r="D33" s="7" t="inlineStr">
        <is>
          <t>Nötr çarpan</t>
        </is>
      </c>
      <c r="E33" s="7" t="inlineStr">
        <is>
          <t>Model varsayımı</t>
        </is>
      </c>
      <c r="F33" s="7" t="inlineStr">
        <is>
          <t>01.01.2025</t>
        </is>
      </c>
      <c r="G33" s="7" t="inlineStr">
        <is>
          <t>11.08.2026</t>
        </is>
      </c>
      <c r="H33" s="67">
        <f>IF(A33="","",IF(B33="","EKSİK","TAM"))</f>
        <v/>
      </c>
    </row>
    <row r="34">
      <c r="A34" s="7" t="inlineStr">
        <is>
          <t>gyf_siraBir</t>
        </is>
      </c>
      <c r="B34" s="33" t="n">
        <v>1</v>
      </c>
      <c r="C34" s="7" t="inlineStr">
        <is>
          <t>adet</t>
        </is>
      </c>
      <c r="D34" s="7" t="inlineStr">
        <is>
          <t>Tornado sıra 1</t>
        </is>
      </c>
      <c r="E34" s="7" t="inlineStr">
        <is>
          <t>Ürün mimarisi</t>
        </is>
      </c>
      <c r="F34" s="7" t="inlineStr">
        <is>
          <t>01.01.2025</t>
        </is>
      </c>
      <c r="G34" s="7" t="inlineStr">
        <is>
          <t>11.08.2026</t>
        </is>
      </c>
      <c r="H34" s="67">
        <f>IF(A34="","",IF(B34="","EKSİK","TAM"))</f>
        <v/>
      </c>
    </row>
    <row r="35">
      <c r="A35" s="7" t="inlineStr">
        <is>
          <t>gyf_siraIki</t>
        </is>
      </c>
      <c r="B35" s="33" t="n">
        <v>2</v>
      </c>
      <c r="C35" s="7" t="inlineStr">
        <is>
          <t>adet</t>
        </is>
      </c>
      <c r="D35" s="7" t="inlineStr">
        <is>
          <t>Tornado sıra 2</t>
        </is>
      </c>
      <c r="E35" s="7" t="inlineStr">
        <is>
          <t>Ürün mimarisi</t>
        </is>
      </c>
      <c r="F35" s="7" t="inlineStr">
        <is>
          <t>01.01.2025</t>
        </is>
      </c>
      <c r="G35" s="7" t="inlineStr">
        <is>
          <t>11.08.2026</t>
        </is>
      </c>
      <c r="H35" s="67">
        <f>IF(A35="","",IF(B35="","EKSİK","TAM"))</f>
        <v/>
      </c>
    </row>
    <row r="36">
      <c r="A36" s="7" t="inlineStr">
        <is>
          <t>gyf_siraUc</t>
        </is>
      </c>
      <c r="B36" s="33" t="n">
        <v>3</v>
      </c>
      <c r="C36" s="7" t="inlineStr">
        <is>
          <t>adet</t>
        </is>
      </c>
      <c r="D36" s="7" t="inlineStr">
        <is>
          <t>Tornado sıra 3</t>
        </is>
      </c>
      <c r="E36" s="7" t="inlineStr">
        <is>
          <t>Ürün mimarisi</t>
        </is>
      </c>
      <c r="F36" s="7" t="inlineStr">
        <is>
          <t>01.01.2025</t>
        </is>
      </c>
      <c r="G36" s="7" t="inlineStr">
        <is>
          <t>11.08.2026</t>
        </is>
      </c>
      <c r="H36" s="67">
        <f>IF(A36="","",IF(B36="","EKSİK","TAM"))</f>
        <v/>
      </c>
    </row>
    <row r="37">
      <c r="A37" s="7" t="inlineStr">
        <is>
          <t>gyf_dikkatCarpan</t>
        </is>
      </c>
      <c r="B37" s="34" t="n">
        <v>1.25</v>
      </c>
      <c r="C37" s="7" t="inlineStr">
        <is>
          <t>çarpan</t>
        </is>
      </c>
      <c r="D37" s="7" t="inlineStr">
        <is>
          <t>Geri ödeme dikkat çarpanı</t>
        </is>
      </c>
      <c r="E37" s="7" t="inlineStr">
        <is>
          <t>İç politika</t>
        </is>
      </c>
      <c r="F37" s="7" t="inlineStr">
        <is>
          <t>01.01.2025</t>
        </is>
      </c>
      <c r="G37" s="7" t="inlineStr">
        <is>
          <t>11.08.2026</t>
        </is>
      </c>
      <c r="H37" s="67">
        <f>IF(A37="","",IF(B37="","EKSİK","TAM"))</f>
        <v/>
      </c>
    </row>
    <row r="38">
      <c r="A38" s="7" t="inlineStr">
        <is>
          <t>gyf_npvDikkat</t>
        </is>
      </c>
      <c r="B38" s="66" t="n">
        <v>100000</v>
      </c>
      <c r="C38" s="7" t="inlineStr">
        <is>
          <t>TL</t>
        </is>
      </c>
      <c r="D38" s="7" t="inlineStr">
        <is>
          <t>NPV dikkat eşiği</t>
        </is>
      </c>
      <c r="E38" s="7" t="inlineStr">
        <is>
          <t>İç politika</t>
        </is>
      </c>
      <c r="F38" s="7" t="inlineStr">
        <is>
          <t>01.01.2025</t>
        </is>
      </c>
      <c r="G38" s="7" t="inlineStr">
        <is>
          <t>11.08.2026</t>
        </is>
      </c>
      <c r="H38" s="67">
        <f>IF(A38="","",IF(B38="","EKSİK","TAM"))</f>
        <v/>
      </c>
    </row>
    <row r="39">
      <c r="A39" s="7" t="inlineStr">
        <is>
          <t>gyf_geriOdemeSonsuz</t>
        </is>
      </c>
      <c r="B39" s="33" t="n">
        <v>99</v>
      </c>
      <c r="C39" s="7" t="inlineStr">
        <is>
          <t>yıl</t>
        </is>
      </c>
      <c r="D39" s="7" t="inlineStr">
        <is>
          <t>Geri ödeme tanımsız işaret</t>
        </is>
      </c>
      <c r="E39" s="7" t="inlineStr">
        <is>
          <t>Ürün mimarisi</t>
        </is>
      </c>
      <c r="F39" s="7" t="inlineStr">
        <is>
          <t>01.01.2025</t>
        </is>
      </c>
      <c r="G39" s="7" t="inlineStr">
        <is>
          <t>11.08.2026</t>
        </is>
      </c>
      <c r="H39" s="67">
        <f>IF(A39="","",IF(B39="","EKSİK","TAM"))</f>
        <v/>
      </c>
    </row>
    <row r="40">
      <c r="A40" s="7" t="inlineStr">
        <is>
          <t>vaka_capex</t>
        </is>
      </c>
      <c r="B40" s="66" t="n">
        <v>1200000</v>
      </c>
      <c r="C40" s="7" t="inlineStr">
        <is>
          <t>TL</t>
        </is>
      </c>
      <c r="D40" s="7" t="inlineStr">
        <is>
          <t>Vaka CAPEX</t>
        </is>
      </c>
      <c r="E40" s="7" t="inlineStr">
        <is>
          <t>Altın vaka</t>
        </is>
      </c>
      <c r="F40" s="7" t="inlineStr">
        <is>
          <t>01.01.2025</t>
        </is>
      </c>
      <c r="G40" s="7" t="inlineStr">
        <is>
          <t>11.08.2026</t>
        </is>
      </c>
      <c r="H40" s="67">
        <f>IF(A40="","",IF(B40="","EKSİK","TAM"))</f>
        <v/>
      </c>
    </row>
    <row r="41">
      <c r="A41" s="7" t="inlineStr">
        <is>
          <t>vaka_uretim</t>
        </is>
      </c>
      <c r="B41" s="33" t="n">
        <v>140000</v>
      </c>
      <c r="C41" s="7" t="inlineStr">
        <is>
          <t>kWh</t>
        </is>
      </c>
      <c r="D41" s="7" t="inlineStr">
        <is>
          <t>Vaka üretim</t>
        </is>
      </c>
      <c r="E41" s="7" t="inlineStr">
        <is>
          <t>Altın vaka</t>
        </is>
      </c>
      <c r="F41" s="7" t="inlineStr">
        <is>
          <t>01.01.2025</t>
        </is>
      </c>
      <c r="G41" s="7" t="inlineStr">
        <is>
          <t>11.08.2026</t>
        </is>
      </c>
      <c r="H41" s="67">
        <f>IF(A41="","",IF(B41="","EKSİK","TAM"))</f>
        <v/>
      </c>
    </row>
    <row r="42">
      <c r="A42" s="7" t="inlineStr">
        <is>
          <t>vaka_oz</t>
        </is>
      </c>
      <c r="B42" s="33" t="n">
        <v>98000</v>
      </c>
      <c r="C42" s="7" t="inlineStr">
        <is>
          <t>kWh</t>
        </is>
      </c>
      <c r="D42" s="7" t="inlineStr">
        <is>
          <t>Vaka öz tüketim</t>
        </is>
      </c>
      <c r="E42" s="7" t="inlineStr">
        <is>
          <t>Altın vaka</t>
        </is>
      </c>
      <c r="F42" s="7" t="inlineStr">
        <is>
          <t>01.01.2025</t>
        </is>
      </c>
      <c r="G42" s="7" t="inlineStr">
        <is>
          <t>11.08.2026</t>
        </is>
      </c>
      <c r="H42" s="67">
        <f>IF(A42="","",IF(B42="","EKSİK","TAM"))</f>
        <v/>
      </c>
    </row>
    <row r="44">
      <c r="J44" s="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3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10" showDropDown="0" showInputMessage="1" showErrorMessage="1" allowBlank="1" errorTitle="Geçersiz" error="0-2." promptTitle="İyimser çarpan" prompt="0-2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." type="decimal" errorStyle="stop" operator="between">
      <formula1>0</formula1>
      <formula2>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164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KILAVUZ — GES Yatırım Fizibilite Simülatörü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YATIRIM YAPILIR — NPV pozitif ve geri ödeme hedef altında.</t>
        </is>
      </c>
    </row>
    <row r="7">
      <c r="A7" s="6" t="inlineStr">
        <is>
          <t>• DİKKAT — geri ödeme veya NPV dikkat bandında; tarife/üretim gözden geçirilmeli.</t>
        </is>
      </c>
    </row>
    <row r="8">
      <c r="A8" s="6" t="inlineStr">
        <is>
          <t>• YATIRIM YAPMA — NPV negatif veya geri ödeme aşırı (kötümser yol dahil).</t>
        </is>
      </c>
    </row>
    <row r="10">
      <c r="A10" s="69" t="inlineStr">
        <is>
          <t>Belirsizlik beyanları</t>
        </is>
      </c>
    </row>
    <row r="11">
      <c r="A11" s="70" t="inlineStr">
        <is>
          <t>Bu nokta mevzuatta tartışmalıdır; dosya yorum A ve yorum B sonucunu yan yana gösterir: yekdem_tarife_yenileme</t>
        </is>
      </c>
    </row>
    <row r="13">
      <c r="A13" s="70" t="inlineStr">
        <is>
          <t>YEKDEM/şebeke satış tarifesi dönemsel yenilenir; bu dosya kullanıcı girişli tarife kullanır (dış API yok — Ç15). Tarife değişince GIRDI ve KURALLAR güncellenir.</t>
        </is>
      </c>
    </row>
    <row r="15">
      <c r="A15" s="10" t="inlineStr">
        <is>
          <t>Dış veri formatı</t>
        </is>
      </c>
      <c r="B15" s="6" t="inlineStr">
        <is>
          <t>Özgül üretim: PVGIS veya saha ölçümü (kWh/kWp). Tarife: EPDK tebliğ / fatura. CAPEX: EPC teklif. OPEX: işletme bütçesi. API bağlantısı yoktur.</t>
        </is>
      </c>
    </row>
    <row r="17">
      <c r="A17" s="10" t="inlineStr">
        <is>
          <t>Kullanım sırası</t>
        </is>
      </c>
    </row>
    <row r="18">
      <c r="A18" s="6" t="inlineStr">
        <is>
          <t>GIRDI → VARSAYIMLAR → KURALLAR → MOTOR → FINANSMAN → SENARYO → PANO → KARAR → VAKALAR → KANIT_RAPORU → AYARLAR.</t>
        </is>
      </c>
    </row>
    <row r="20">
      <c r="A20" s="8" t="inlineStr">
        <is>
          <t>Sürüm 1.0.0 | Lisans: Tek kullanıcı | ExcelArşiv | GYF-PRO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B15:J15"/>
    <mergeCell ref="A8:T8"/>
    <mergeCell ref="A6:T6"/>
    <mergeCell ref="A18:J18"/>
    <mergeCell ref="A1:I1"/>
    <mergeCell ref="A7:T7"/>
    <mergeCell ref="A11:T1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2026-08-11T17:20:39Z</dcterms:created>
  <dcterms:modified xmlns:dcterms="http://purl.org/dc/terms/" xmlns:xsi="http://www.w3.org/2001/XMLSchema-instance" xsi:type="dcterms:W3CDTF">2026-09-25T22:34:17Z</dcterms:modified>
</cp:coreProperties>
</file>