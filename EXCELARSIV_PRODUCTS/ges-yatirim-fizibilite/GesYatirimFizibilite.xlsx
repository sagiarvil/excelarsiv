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drawings/drawing4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5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gyf_yillikGelir">MOTOR!$G$59</definedName>
    <definedName name="gyf_capexToplam">MOTOR!$G$60</definedName>
    <definedName name="gyf_opexYillik">MOTOR!$G$61</definedName>
    <definedName name="gyf_npv">MOTOR!$G$62</definedName>
    <definedName name="gyf_irr">MOTOR!$G$63</definedName>
    <definedName name="gyf_tuketimEslesme">MOTOR!$G$64</definedName>
    <definedName name="gyf_kararMetni">MOTOR!$G$40</definedName>
    <definedName name="gyf_kararGerekce">MOTOR!$G$41</definedName>
    <definedName name="gyf_kanitRaporu">MOTOR!$G$58</definedName>
    <definedName name="gyf_finansmanKarsilastirma">FINANSMAN!$B$11</definedName>
    <definedName name="gyf_senaryoKarsilastirma">SENARYO!$B$10</definedName>
    <definedName name="gyf_yorumSenaryo">SENARYO!$B$11</definedName>
    <definedName name="gyf_duyarlilikSira">SENARYO!$B$21</definedName>
    <definedName name="gyf_yorumDuyarlilik">SENARYO!$B$22</definedName>
    <definedName name="gyf_tahminAralik">SENARYO!$B$32</definedName>
    <definedName name="gyf_yorumTahmin">SENARYO!$B$33</definedName>
    <definedName name="gyf_vakaDurum">VAKALAR!$B$12</definedName>
    <definedName name="gyf_tolerans">AYARLAR!$B$8</definedName>
    <definedName name="gyf_azamiEsik">AYARLAR!$B$9</definedName>
    <definedName name="gyf_senaryoIyi">AYARLAR!$B$10</definedName>
    <definedName name="gyf_senaryoKotu">AYARLAR!$B$11</definedName>
    <definedName name="gyf_tarifeKotu">AYARLAR!$B$12</definedName>
    <definedName name="gyf_capexIyi">AYARLAR!$B$13</definedName>
    <definedName name="gyf_capexKotu">AYARLAR!$B$14</definedName>
    <definedName name="gyf_opexKotu">AYARLAR!$B$15</definedName>
    <definedName name="gyf_tahminAlt">AYARLAR!$B$16</definedName>
    <definedName name="gyf_tahminUst">AYARLAR!$B$17</definedName>
    <definedName name="gyf_tornadoTarife">AYARLAR!$B$18</definedName>
    <definedName name="gyf_tornadoUretim">AYARLAR!$B$19</definedName>
    <definedName name="gyf_tornadoCapex">AYARLAR!$B$20</definedName>
    <definedName name="gyf_tornadoOpex">AYARLAR!$B$21</definedName>
    <definedName name="gyf_tornadoWacc">AYARLAR!$B$22</definedName>
    <definedName name="gyf_yuzdelikOran">AYARLAR!$B$23</definedName>
    <definedName name="gyf_parmakIzi">AYARLAR!$B$24</definedName>
    <definedName name="gyf_girisBeklenen">AYARLAR!$B$26</definedName>
    <definedName name="gyf_riskDusuk">AYARLAR!$B$27</definedName>
    <definedName name="gyf_riskOrta">AYARLAR!$B$28</definedName>
    <definedName name="gyf_riskYuksek">AYARLAR!$B$29</definedName>
    <definedName name="gyf_yilTaban">AYARLAR!$B$30</definedName>
    <definedName name="gyf_yuvarMax">AYARLAR!$B$31</definedName>
    <definedName name="gyf_bazCarpan">AYARLAR!$B$32</definedName>
    <definedName name="gyf_sifirCarpan">AYARLAR!$B$33</definedName>
    <definedName name="gyf_siraBir">AYARLAR!$B$34</definedName>
    <definedName name="gyf_siraIki">AYARLAR!$B$35</definedName>
    <definedName name="gyf_siraUc">AYARLAR!$B$36</definedName>
    <definedName name="gyf_dikkatCarpan">AYARLAR!$B$37</definedName>
    <definedName name="gyf_npvDikkat">AYARLAR!$B$38</definedName>
    <definedName name="gyf_geriOdemeSonsuz">AYARLAR!$B$39</definedName>
    <definedName name="gyf_modulT1">PANO!$C$11</definedName>
    <definedName name="gyf_modulT1Yorum">PANO!$D$11</definedName>
    <definedName name="gyf_modulT2">PANO!$C$12</definedName>
    <definedName name="gyf_modulT2Yorum">PANO!$D$12</definedName>
    <definedName name="gyf_modulO1">PANO!$C$13</definedName>
    <definedName name="gyf_modulO1Yorum">PANO!$D$13</definedName>
    <definedName name="gyf_modulO8">PANO!$C$16</definedName>
    <definedName name="gyf_modulO8Yorum">PANO!$D$16</definedName>
    <definedName name="gyf_modulI2">PANO!$C$18</definedName>
    <definedName name="gyf_modulI2Yorum">PANO!$D$18</definedName>
    <definedName name="ListeYillar">LISTELER!$A$6:$A$8</definedName>
    <definedName name="ListeProjeTipi">LISTELER!$C$6:$C$7</definedName>
    <definedName name="ListeEvetHayir">LISTELER!$E$6:$E$7</definedName>
    <definedName name="gyf_capexOpex">FINANSMAN!$B$12</definedName>
    <definedName name="_xlnm.Print_Area" localSheetId="17">'KARAR'!$A$1:$F$28</definedName>
    <definedName name="_xlnm.Print_Area" localSheetId="19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Karar NPV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'KARAR'!B20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'KARAR'!$A$21:$A$23</f>
            </numRef>
          </cat>
          <val>
            <numRef>
              <f>'KARAR'!$B$21:$B$23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'VAKALAR'!$A$16:$A$19</f>
            </numRef>
          </cat>
          <val>
            <numRef>
              <f>'VAKALAR'!$B$16:$B$19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CAPEX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GES fizibilite ve yatırım kararını etkiler | Doğru kullanım: Unvan veya proje kodu. | Örnek: demo satırına bakın | Yanlışsa: NPV/IRR ve karar bozulur | Kaynak: EPDK tarife / saha ölçümü</t>
      </text>
    </comment>
    <comment ref="B7" authorId="0" shapeId="0">
      <text>
        <t>Tanım: Dönem | Neden önemli: GES fizibilite ve yatırım kararını etkiler | Doğru kullanım: Rapor dönemi. | Örnek: demo satırına bakın | Yanlışsa: NPV/IRR ve karar bozulur | Kaynak: EPDK tarife / saha ölçümü</t>
      </text>
    </comment>
    <comment ref="B8" authorId="0" shapeId="0">
      <text>
        <t>Tanım: Hesap Yılı | Neden önemli: GES fizibilite ve yatırım kararını etkiler | Doğru kullanım: 2025, 2026 veya 2027. | Örnek: demo satırına bakın | Yanlışsa: NPV/IRR ve karar bozulur | Kaynak: EPDK tarife / saha ölçümü</t>
      </text>
    </comment>
    <comment ref="B9" authorId="0" shapeId="0">
      <text>
        <t>Tanım: Proje Tipi | Neden önemli: GES fizibilite ve yatırım kararını etkiler | Doğru kullanım: CATI veya SAHA. | Örnek: demo satırına bakın | Yanlışsa: NPV/IRR ve karar bozulur | Kaynak: EPDK tarife / saha ölçümü</t>
      </text>
    </comment>
    <comment ref="B10" authorId="0" shapeId="0">
      <text>
        <t>Tanım: Kurulu güç [kWp] | Neden önemli: GES fizibilite ve yatırım kararını etkiler | Doğru kullanım: DC kurulu güç. | Örnek: demo satırına bakın | Yanlışsa: NPV/IRR ve karar bozulur | Kaynak: EPDK tarife / saha ölçümü</t>
      </text>
    </comment>
    <comment ref="B11" authorId="0" shapeId="0">
      <text>
        <t>Tanım: Özgül üretim [kWh/kWp] | Neden önemli: GES fizibilite ve yatırım kararını etkiler | Doğru kullanım: Yıllık özgül üretim. | Örnek: demo satırına bakın | Yanlışsa: NPV/IRR ve karar bozulur | Kaynak: EPDK tarife / saha ölçümü</t>
      </text>
    </comment>
    <comment ref="B12" authorId="0" shapeId="0">
      <text>
        <t>Tanım: Degradasyon [%/yıl] | Neden önemli: GES fizibilite ve yatırım kararını etkiler | Doğru kullanım: Yıllık panel kaybı. | Örnek: demo satırına bakın | Yanlışsa: NPV/IRR ve karar bozulur | Kaynak: EPDK tarife / saha ölçümü</t>
      </text>
    </comment>
    <comment ref="B13" authorId="0" shapeId="0">
      <text>
        <t>Tanım: Öz tüketim oranı [%] | Neden önemli: GES fizibilite ve yatırım kararını etkiler | Doğru kullanım: Üretimin öz tüketim payı. | Örnek: demo satırına bakın | Yanlışsa: NPV/IRR ve karar bozulur | Kaynak: EPDK tarife / saha ölçümü</t>
      </text>
    </comment>
    <comment ref="B14" authorId="0" shapeId="0">
      <text>
        <t>Tanım: Yıllık tüketim [kWh] | Neden önemli: GES fizibilite ve yatırım kararını etkiler | Doğru kullanım: Tesis yıllık elektrik tüketimi. | Örnek: demo satırına bakın | Yanlışsa: NPV/IRR ve karar bozulur | Kaynak: EPDK tarife / saha ölçümü</t>
      </text>
    </comment>
    <comment ref="B15" authorId="0" shapeId="0">
      <text>
        <t>Tanım: Perakende tarife [₺/kWh] | Neden önemli: GES fizibilite ve yatırım kararını etkiler | Doğru kullanım: Öz tüketim birim değeri. | Örnek: demo satırına bakın | Yanlışsa: NPV/IRR ve karar bozulur | Kaynak: EPDK tarife / saha ölçümü</t>
      </text>
    </comment>
    <comment ref="B16" authorId="0" shapeId="0">
      <text>
        <t>Tanım: Şebeke satış tarife [₺/kWh] | Neden önemli: GES fizibilite ve yatırım kararını etkiler | Doğru kullanım: YEKDEM/şebeke satış. | Örnek: demo satırına bakın | Yanlışsa: NPV/IRR ve karar bozulur | Kaynak: EPDK tarife / saha ölçümü</t>
      </text>
    </comment>
    <comment ref="B17" authorId="0" shapeId="0">
      <text>
        <t>Tanım: CAPEX birim [₺/kWp] | Neden önemli: GES fizibilite ve yatırım kararını etkiler | Doğru kullanım: Yatırım birim maliyeti. | Örnek: demo satırına bakın | Yanlışsa: NPV/IRR ve karar bozulur | Kaynak: EPDK tarife / saha ölçümü</t>
      </text>
    </comment>
    <comment ref="B18" authorId="0" shapeId="0">
      <text>
        <t>Tanım: OPEX oranı [% CAPEX] | Neden önemli: GES fizibilite ve yatırım kararını etkiler | Doğru kullanım: Yıllık işletme oranı. | Örnek: demo satırına bakın | Yanlışsa: NPV/IRR ve karar bozulur | Kaynak: EPDK tarife / saha ölçümü</t>
      </text>
    </comment>
    <comment ref="B19" authorId="0" shapeId="0">
      <text>
        <t>Tanım: WACC [%] | Neden önemli: GES fizibilite ve yatırım kararını etkiler | Doğru kullanım: İskonto oranı (nominal). | Örnek: demo satırına bakın | Yanlışsa: NPV/IRR ve karar bozulur | Kaynak: EPDK tarife / saha ölçümü</t>
      </text>
    </comment>
    <comment ref="B20" authorId="0" shapeId="0">
      <text>
        <t>Tanım: NPV dönem [yıl] | Neden önemli: GES fizibilite ve yatırım kararını etkiler | Doğru kullanım: Nakit akışı yılı. | Örnek: demo satırına bakın | Yanlışsa: NPV/IRR ve karar bozulur | Kaynak: EPDK tarife / saha ölçümü</t>
      </text>
    </comment>
    <comment ref="B21" authorId="0" shapeId="0">
      <text>
        <t>Tanım: Kredi faiz oranı [%] | Neden önemli: GES fizibilite ve yatırım kararını etkiler | Doğru kullanım: Kredi senaryosu faiz. | Örnek: demo satırına bakın | Yanlışsa: NPV/IRR ve karar bozulur | Kaynak: EPDK tarife / saha ölçümü</t>
      </text>
    </comment>
    <comment ref="B22" authorId="0" shapeId="0">
      <text>
        <t>Tanım: Öz kaynak oranı [%] | Neden önemli: GES fizibilite ve yatırım kararını etkiler | Doğru kullanım: Öz kaynak payı. | Örnek: demo satırına bakın | Yanlışsa: NPV/IRR ve karar bozulur | Kaynak: EPDK tarife / saha ölçümü</t>
      </text>
    </comment>
    <comment ref="A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G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H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F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H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F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G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H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F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G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H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F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G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H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6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6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6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6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6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6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6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6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6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6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7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7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7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7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7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7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7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7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7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7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7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8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8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8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8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8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8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8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8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8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8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9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9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9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9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9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9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9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9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9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9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9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GES fizibilite ve yatırım kararını etkiler | Doğru kullanım: Aktif hesap yılı | Örnek: demo satırına bakın | Yanlışsa: NPV/IRR ve karar bozulur | Kaynak: EPDK tarife / saha ölçümü</t>
      </text>
    </comment>
    <comment ref="B7" authorId="0" shapeId="0">
      <text>
        <t>Tanım: raporTarihi | Neden önemli: GES fizibilite ve yatırım kararını etkiler | Doğru kullanım: Rapor tarihi | Örnek: demo satırına bakın | Yanlışsa: NPV/IRR ve karar bozulur | Kaynak: EPDK tarife / saha ölçümü</t>
      </text>
    </comment>
    <comment ref="B8" authorId="0" shapeId="0">
      <text>
        <t>Tanım: gyf_tolerans | Neden önemli: GES fizibilite ve yatırım kararını etkiler | Doğru kullanım: Vaka tutarlılık toleransı | Örnek: demo satırına bakın | Yanlışsa: NPV/IRR ve karar bozulur | Kaynak: EPDK tarife / saha ölçümü</t>
      </text>
    </comment>
    <comment ref="B9" authorId="0" shapeId="0">
      <text>
        <t>Tanım: gyf_azamiEsik | Neden önemli: GES fizibilite ve yatırım kararını etkiler | Doğru kullanım: Azami giriş eşiği | Örnek: demo satırına bakın | Yanlışsa: NPV/IRR ve karar bozulur | Kaynak: EPDK tarife / saha ölçümü</t>
      </text>
    </comment>
    <comment ref="B10" authorId="0" shapeId="0">
      <text>
        <t>Tanım: gyf_senaryoIyi | Neden önemli: GES fizibilite ve yatırım kararını etkiler | Doğru kullanım: İyimser üretim çarpanı | Örnek: demo satırına bakın | Yanlışsa: NPV/IRR ve karar bozulur | Kaynak: EPDK tarife / saha ölçümü</t>
      </text>
    </comment>
    <comment ref="B11" authorId="0" shapeId="0">
      <text>
        <t>Tanım: gyf_senaryoKotu | Neden önemli: GES fizibilite ve yatırım kararını etkiler | Doğru kullanım: Kötümser üretim çarpanı | Örnek: demo satırına bakın | Yanlışsa: NPV/IRR ve karar bozulur | Kaynak: EPDK tarife / saha ölçümü</t>
      </text>
    </comment>
    <comment ref="B12" authorId="0" shapeId="0">
      <text>
        <t>Tanım: gyf_tarifeKotu | Neden önemli: GES fizibilite ve yatırım kararını etkiler | Doğru kullanım: Kötümser tarife çarpanı | Örnek: demo satırına bakın | Yanlışsa: NPV/IRR ve karar bozulur | Kaynak: EPDK tarife / saha ölçümü</t>
      </text>
    </comment>
    <comment ref="B13" authorId="0" shapeId="0">
      <text>
        <t>Tanım: gyf_capexIyi | Neden önemli: GES fizibilite ve yatırım kararını etkiler | Doğru kullanım: İyimser CAPEX çarpanı | Örnek: demo satırına bakın | Yanlışsa: NPV/IRR ve karar bozulur | Kaynak: EPDK tarife / saha ölçümü</t>
      </text>
    </comment>
    <comment ref="B14" authorId="0" shapeId="0">
      <text>
        <t>Tanım: gyf_capexKotu | Neden önemli: GES fizibilite ve yatırım kararını etkiler | Doğru kullanım: Kötümser CAPEX çarpanı | Örnek: demo satırına bakın | Yanlışsa: NPV/IRR ve karar bozulur | Kaynak: EPDK tarife / saha ölçümü</t>
      </text>
    </comment>
    <comment ref="B15" authorId="0" shapeId="0">
      <text>
        <t>Tanım: gyf_opexKotu | Neden önemli: GES fizibilite ve yatırım kararını etkiler | Doğru kullanım: Kötümser OPEX çarpanı | Örnek: demo satırına bakın | Yanlışsa: NPV/IRR ve karar bozulur | Kaynak: EPDK tarife / saha ölçümü</t>
      </text>
    </comment>
    <comment ref="B16" authorId="0" shapeId="0">
      <text>
        <t>Tanım: gyf_tahminAlt | Neden önemli: GES fizibilite ve yatırım kararını etkiler | Doğru kullanım: Tahmin alt bant | Örnek: demo satırına bakın | Yanlışsa: NPV/IRR ve karar bozulur | Kaynak: EPDK tarife / saha ölçümü</t>
      </text>
    </comment>
    <comment ref="B17" authorId="0" shapeId="0">
      <text>
        <t>Tanım: gyf_tahminUst | Neden önemli: GES fizibilite ve yatırım kararını etkiler | Doğru kullanım: Tahmin üst bant | Örnek: demo satırına bakın | Yanlışsa: NPV/IRR ve karar bozulur | Kaynak: EPDK tarife / saha ölçümü</t>
      </text>
    </comment>
    <comment ref="B18" authorId="0" shapeId="0">
      <text>
        <t>Tanım: gyf_tornadoTarife | Neden önemli: GES fizibilite ve yatırım kararını etkiler | Doğru kullanım: Tornado tarife şoku | Örnek: demo satırına bakın | Yanlışsa: NPV/IRR ve karar bozulur | Kaynak: EPDK tarife / saha ölçümü</t>
      </text>
    </comment>
    <comment ref="B19" authorId="0" shapeId="0">
      <text>
        <t>Tanım: gyf_tornadoUretim | Neden önemli: GES fizibilite ve yatırım kararını etkiler | Doğru kullanım: Tornado üretim şoku | Örnek: demo satırına bakın | Yanlışsa: NPV/IRR ve karar bozulur | Kaynak: EPDK tarife / saha ölçümü</t>
      </text>
    </comment>
    <comment ref="B20" authorId="0" shapeId="0">
      <text>
        <t>Tanım: gyf_tornadoCapex | Neden önemli: GES fizibilite ve yatırım kararını etkiler | Doğru kullanım: Tornado CAPEX şoku | Örnek: demo satırına bakın | Yanlışsa: NPV/IRR ve karar bozulur | Kaynak: EPDK tarife / saha ölçümü</t>
      </text>
    </comment>
    <comment ref="B21" authorId="0" shapeId="0">
      <text>
        <t>Tanım: gyf_tornadoOpex | Neden önemli: GES fizibilite ve yatırım kararını etkiler | Doğru kullanım: Tornado OPEX şoku | Örnek: demo satırına bakın | Yanlışsa: NPV/IRR ve karar bozulur | Kaynak: EPDK tarife / saha ölçümü</t>
      </text>
    </comment>
    <comment ref="B22" authorId="0" shapeId="0">
      <text>
        <t>Tanım: gyf_tornadoWacc | Neden önemli: GES fizibilite ve yatırım kararını etkiler | Doğru kullanım: Tornado WACC şoku | Örnek: demo satırına bakın | Yanlışsa: NPV/IRR ve karar bozulur | Kaynak: EPDK tarife / saha ölçümü</t>
      </text>
    </comment>
    <comment ref="B23" authorId="0" shapeId="0">
      <text>
        <t>Tanım: gyf_yuzdelikOran | Neden önemli: GES fizibilite ve yatırım kararını etkiler | Doğru kullanım: Yüzdelik P90 | Örnek: demo satırına bakın | Yanlışsa: NPV/IRR ve karar bozulur | Kaynak: EPDK tarife / saha ölçümü</t>
      </text>
    </comment>
    <comment ref="B24" authorId="0" shapeId="0">
      <text>
        <t>Tanım: gyf_parmakIzi | Neden önemli: GES fizibilite ve yatırım kararını etkiler | Doğru kullanım: Dosya parmak izi | Örnek: demo satırına bakın | Yanlışsa: NPV/IRR ve karar bozulur | Kaynak: EPDK tarife / saha ölçümü</t>
      </text>
    </comment>
    <comment ref="B25" authorId="0" shapeId="0">
      <text>
        <t>Tanım: dosya_surumu | Neden önemli: GES fizibilite ve yatırım kararını etkiler | Doğru kullanım: Ürün sürümü | Örnek: demo satırına bakın | Yanlışsa: NPV/IRR ve karar bozulur | Kaynak: EPDK tarife / saha ölçümü</t>
      </text>
    </comment>
    <comment ref="B26" authorId="0" shapeId="0">
      <text>
        <t>Tanım: gyf_girisBeklenen | Neden önemli: GES fizibilite ve yatırım kararını etkiler | Doğru kullanım: Zorunlu giriş sayısı | Örnek: demo satırına bakın | Yanlışsa: NPV/IRR ve karar bozulur | Kaynak: EPDK tarife / saha ölçümü</t>
      </text>
    </comment>
    <comment ref="B27" authorId="0" shapeId="0">
      <text>
        <t>Tanım: gyf_riskDusuk | Neden önemli: GES fizibilite ve yatırım kararını etkiler | Doğru kullanım: YAPILIR risk skoru | Örnek: demo satırına bakın | Yanlışsa: NPV/IRR ve karar bozulur | Kaynak: EPDK tarife / saha ölçümü</t>
      </text>
    </comment>
    <comment ref="B28" authorId="0" shapeId="0">
      <text>
        <t>Tanım: gyf_riskOrta | Neden önemli: GES fizibilite ve yatırım kararını etkiler | Doğru kullanım: DİKKAT risk skoru | Örnek: demo satırına bakın | Yanlışsa: NPV/IRR ve karar bozulur | Kaynak: EPDK tarife / saha ölçümü</t>
      </text>
    </comment>
    <comment ref="B29" authorId="0" shapeId="0">
      <text>
        <t>Tanım: gyf_riskYuksek | Neden önemli: GES fizibilite ve yatırım kararını etkiler | Doğru kullanım: YAPMA risk skoru | Örnek: demo satırına bakın | Yanlışsa: NPV/IRR ve karar bozulur | Kaynak: EPDK tarife / saha ölçümü</t>
      </text>
    </comment>
    <comment ref="B30" authorId="0" shapeId="0">
      <text>
        <t>Tanım: gyf_yilTaban | Neden önemli: GES fizibilite ve yatırım kararını etkiler | Doğru kullanım: CHOOSE yıl tabanı | Örnek: demo satırına bakın | Yanlışsa: NPV/IRR ve karar bozulur | Kaynak: EPDK tarife / saha ölçümü</t>
      </text>
    </comment>
    <comment ref="B31" authorId="0" shapeId="0">
      <text>
        <t>Tanım: gyf_yuvarMax | Neden önemli: GES fizibilite ve yatırım kararını etkiler | Doğru kullanım: ROUND basamak tavanı | Örnek: demo satırına bakın | Yanlışsa: NPV/IRR ve karar bozulur | Kaynak: EPDK tarife / saha ölçümü</t>
      </text>
    </comment>
    <comment ref="B32" authorId="0" shapeId="0">
      <text>
        <t>Tanım: gyf_bazCarpan | Neden önemli: GES fizibilite ve yatırım kararını etkiler | Doğru kullanım: Baz senaryo çarpanı | Örnek: demo satırına bakın | Yanlışsa: NPV/IRR ve karar bozulur | Kaynak: EPDK tarife / saha ölçümü</t>
      </text>
    </comment>
    <comment ref="B33" authorId="0" shapeId="0">
      <text>
        <t>Tanım: gyf_sifirCarpan | Neden önemli: GES fizibilite ve yatırım kararını etkiler | Doğru kullanım: Nötr çarpan | Örnek: demo satırına bakın | Yanlışsa: NPV/IRR ve karar bozulur | Kaynak: EPDK tarife / saha ölçümü</t>
      </text>
    </comment>
    <comment ref="B34" authorId="0" shapeId="0">
      <text>
        <t>Tanım: gyf_siraBir | Neden önemli: GES fizibilite ve yatırım kararını etkiler | Doğru kullanım: Tornado sıra 1 | Örnek: demo satırına bakın | Yanlışsa: NPV/IRR ve karar bozulur | Kaynak: EPDK tarife / saha ölçümü</t>
      </text>
    </comment>
    <comment ref="B35" authorId="0" shapeId="0">
      <text>
        <t>Tanım: gyf_siraIki | Neden önemli: GES fizibilite ve yatırım kararını etkiler | Doğru kullanım: Tornado sıra 2 | Örnek: demo satırına bakın | Yanlışsa: NPV/IRR ve karar bozulur | Kaynak: EPDK tarife / saha ölçümü</t>
      </text>
    </comment>
    <comment ref="B36" authorId="0" shapeId="0">
      <text>
        <t>Tanım: gyf_siraUc | Neden önemli: GES fizibilite ve yatırım kararını etkiler | Doğru kullanım: Tornado sıra 3 | Örnek: demo satırına bakın | Yanlışsa: NPV/IRR ve karar bozulur | Kaynak: EPDK tarife / saha ölçümü</t>
      </text>
    </comment>
    <comment ref="B37" authorId="0" shapeId="0">
      <text>
        <t>Tanım: gyf_dikkatCarpan | Neden önemli: GES fizibilite ve yatırım kararını etkiler | Doğru kullanım: Geri ödeme dikkat çarpanı | Örnek: demo satırına bakın | Yanlışsa: NPV/IRR ve karar bozulur | Kaynak: EPDK tarife / saha ölçümü</t>
      </text>
    </comment>
    <comment ref="B38" authorId="0" shapeId="0">
      <text>
        <t>Tanım: gyf_npvDikkat | Neden önemli: GES fizibilite ve yatırım kararını etkiler | Doğru kullanım: NPV dikkat eşiği | Örnek: demo satırına bakın | Yanlışsa: NPV/IRR ve karar bozulur | Kaynak: EPDK tarife / saha ölçümü</t>
      </text>
    </comment>
    <comment ref="B39" authorId="0" shapeId="0">
      <text>
        <t>Tanım: gyf_geriOdemeSonsuz | Neden önemli: GES fizibilite ve yatırım kararını etkiler | Doğru kullanım: Geri ödeme tanımsız işaret | Örnek: demo satırına bakın | Yanlışsa: NPV/IRR ve karar bozulur | Kaynak: EPDK tarife / saha ölçümü</t>
      </text>
    </comment>
    <comment ref="B40" authorId="0" shapeId="0">
      <text>
        <t>Tanım: vaka_capex | Neden önemli: GES fizibilite ve yatırım kararını etkiler | Doğru kullanım: Vaka CAPEX | Örnek: demo satırına bakın | Yanlışsa: NPV/IRR ve karar bozulur | Kaynak: EPDK tarife / saha ölçümü</t>
      </text>
    </comment>
    <comment ref="B41" authorId="0" shapeId="0">
      <text>
        <t>Tanım: vaka_uretim | Neden önemli: GES fizibilite ve yatırım kararını etkiler | Doğru kullanım: Vaka üretim | Örnek: demo satırına bakın | Yanlışsa: NPV/IRR ve karar bozulur | Kaynak: EPDK tarife / saha ölçümü</t>
      </text>
    </comment>
    <comment ref="B42" authorId="0" shapeId="0">
      <text>
        <t>Tanım: vaka_oz | Neden önemli: GES fizibilite ve yatırım kararını etkiler | Doğru kullanım: Vaka öz tüketim | Örnek: demo satırına bakın | Yanlışsa: NPV/IRR ve karar bozulur | Kaynak: EPDK tarife / saha ölçümü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19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14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Row],[kural_id]]="","",IFERROR(CHOOSE(MAX(1,MIN(3,IF(OR(hesapYili="",hesapYili=0),1,hesapYili-gyf_yilTaban))),tblKurallar[[#This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Proje_tipi"/>
    <tableColumn id="3" name="Kurulu_guc_kWp"/>
    <tableColumn id="4" name="Spesifik_uretim"/>
    <tableColumn id="5" name="Oz_tuketim"/>
    <tableColumn id="6" name="Perakende_tarife"/>
    <tableColumn id="7" name="Satis_tarife"/>
    <tableColumn id="8" name="Capex_birim"/>
    <tableColumn id="9" name="Opex_oran"/>
    <tableColumn id="10" name="WACC"/>
    <tableColumn id="11" name="Yil"/>
    <tableColumn id="12" name="Durum">
      <calculatedColumnFormula>=IF(tblOrnek[[#This Row],[Senaryo]]="","",IF(tblOrnek[[#This Row],[Kurulu_guc_kWp]]="","EKSİK","TAM"))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3" t="inlineStr">
        <is>
          <t>EXCELARŞİV KARAR SİSTEMİ v15.1 — ÜRETİM REFERANSI</t>
        </is>
      </c>
    </row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0" t="inlineStr">
        <is>
          <t>☰ PANO</t>
        </is>
      </c>
    </row>
    <row r="2">
      <c r="B2" s="96" t="inlineStr">
        <is>
          <t>GES YATIRIM FIZIBILITE — YÖNETİM VE KARAR SİSTEMİ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Yönetici Karar Kokpiti, Otomatik Doğrulama ve Dinamik Hesaplama Sistemi · 2026</t>
        </is>
      </c>
    </row>
    <row r="5">
      <c r="B5" s="100" t="inlineStr">
        <is>
          <t>TOPLAM İŞLEM HACMİ</t>
        </is>
      </c>
      <c r="C5" s="101" t="n"/>
      <c r="D5" s="102" t="inlineStr">
        <is>
          <t>DOĞRULANMIŞ</t>
        </is>
      </c>
      <c r="E5" s="103" t="inlineStr">
        <is>
          <t>RİSKLİ / BEKLEYEN İŞLEM</t>
        </is>
      </c>
      <c r="F5" s="101" t="n"/>
      <c r="G5" s="104" t="inlineStr">
        <is>
          <t>MİNİMUM</t>
        </is>
      </c>
      <c r="H5" s="100" t="inlineStr">
        <is>
          <t>OPERASYONEL NET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10" t="inlineStr">
        <is>
          <t>₺28.450.000</t>
        </is>
      </c>
      <c r="C7" s="101" t="n"/>
      <c r="D7" s="101" t="n"/>
      <c r="E7" s="111" t="inlineStr">
        <is>
          <t>₺940.000</t>
        </is>
      </c>
      <c r="F7" s="101" t="n"/>
      <c r="G7" s="101" t="n"/>
      <c r="H7" s="110" t="inlineStr">
        <is>
          <t>₺8.120.000</t>
        </is>
      </c>
      <c r="I7" s="101" t="n"/>
      <c r="J7" s="101" t="n"/>
      <c r="K7" s="112" t="inlineStr">
        <is>
          <t>98/100</t>
        </is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Konsolide yıllıklandırılmış büyüme</t>
        </is>
      </c>
      <c r="C9" s="101" t="n"/>
      <c r="D9" s="101" t="n"/>
      <c r="E9" s="114" t="inlineStr">
        <is>
          <t>● Tüm riskli kayıtlar kontrol altında</t>
        </is>
      </c>
      <c r="F9" s="101" t="n"/>
      <c r="G9" s="101" t="n"/>
      <c r="H9" s="113" t="inlineStr">
        <is>
          <t>██████████░░░░░ %28.5 NET MARJ</t>
        </is>
      </c>
      <c r="I9" s="101" t="n"/>
      <c r="J9" s="101" t="n"/>
      <c r="K9" s="115" t="inlineStr">
        <is>
          <t>✓ 0 Formül ve Döngüsel Hata</t>
        </is>
      </c>
      <c r="L9" s="101" t="n"/>
      <c r="M9" s="101" t="n"/>
    </row>
    <row r="11">
      <c r="B11" s="94" t="inlineStr">
        <is>
          <t>12 AYLIK NAKİT GİRİŞ / ÇIKIŞ &amp; LİKİDİTE BAŞARIMI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Tahsilat vs. Tedarikçi/Kredi Ödeme Projeksiyonu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13 haftalık kümülatif bakiye...</t>
        </is>
      </c>
      <c r="I15" s="119" t="inlineStr">
        <is>
          <t>₺8.450.000</t>
        </is>
      </c>
      <c r="J15" s="120" t="inlineStr">
        <is>
          <t>₺425.000</t>
        </is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(eksi) hafta uyarısı</t>
        </is>
      </c>
      <c r="I16" s="119" t="inlineStr">
        <is>
          <t>₺12.200.000</t>
        </is>
      </c>
      <c r="J16" s="120" t="inlineStr">
        <is>
          <t>₺580.400</t>
        </is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Dönem net nakit değişimi</t>
        </is>
      </c>
      <c r="I17" s="119" t="inlineStr">
        <is>
          <t>₺4.850.000</t>
        </is>
      </c>
      <c r="J17" s="120" t="inlineStr">
        <is>
          <t>₺235.200</t>
        </is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13 haftalık kümülatif bakiye...</t>
        </is>
      </c>
      <c r="I18" s="119" t="inlineStr">
        <is>
          <t>₺2.140.000</t>
        </is>
      </c>
      <c r="J18" s="120" t="inlineStr">
        <is>
          <t>₺118.000</t>
        </is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124" t="inlineStr">
        <is>
          <t>₺42.850.000</t>
        </is>
      </c>
      <c r="J19" s="125" t="inlineStr">
        <is>
          <t>₺3.420.000</t>
        </is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OPERASYONEL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Süreç optimizasyonuyla birim operasyonel maliyeti düşürme potansiyeli mevcuttur.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0" t="inlineStr">
        <is>
          <t>☰ PANO</t>
        </is>
      </c>
    </row>
    <row r="3">
      <c r="B3" s="138" t="inlineStr">
        <is>
          <t>🔍 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Haftalık operasyon tahmini</t>
        </is>
      </c>
      <c r="E6" s="145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Haftalık operasyon tahmini</t>
        </is>
      </c>
      <c r="E7" s="152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notları</t>
        </is>
      </c>
      <c r="E8" s="145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Haftalık operasyon tahmini</t>
        </is>
      </c>
      <c r="E9" s="152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Haftalık operasyon tahmini</t>
        </is>
      </c>
      <c r="E10" s="145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Haftalık operasyon tahmini</t>
        </is>
      </c>
      <c r="E11" s="152" t="n">
        <v>1850000</v>
      </c>
      <c r="F11" s="153" t="n">
        <v>0.2</v>
      </c>
      <c r="G11" s="154">
        <f>E11/(1+F11)</f>
        <v/>
      </c>
      <c r="H11" s="151" t="inlineStr">
        <is>
          <t>Banka Kredi Taksiti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Ödeme takvimi notları</t>
        </is>
      </c>
      <c r="E12" s="145" t="n">
        <v>740000</v>
      </c>
      <c r="F12" s="146" t="n">
        <v>0.2</v>
      </c>
      <c r="G12" s="147">
        <f>E12/(1+F12)</f>
        <v/>
      </c>
      <c r="H12" s="144" t="inlineStr">
        <is>
          <t>Kira &amp; Sabit Gider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Haftalık operasyon tahmini</t>
        </is>
      </c>
      <c r="E13" s="152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Haftalık operasyon tahmini</t>
        </is>
      </c>
      <c r="E14" s="145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Haftalık operasyon tahmini</t>
        </is>
      </c>
      <c r="E15" s="152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GES YATIRIM FIZIBILITE — YÖNETİM VE KARAR SİSTEMİ — NİHAİ KARAR VE DEĞERLEME</t>
        </is>
      </c>
    </row>
    <row r="3">
      <c r="B3" s="161" t="inlineStr">
        <is>
          <t>Yönetim Kurulu ve İcra Komitesi için Otomatik Türetilen Finansal Stres Testi Raporu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168" t="inlineStr">
        <is>
          <t>₺4.280.000</t>
        </is>
      </c>
      <c r="F9" s="101" t="n"/>
      <c r="H9" s="165" t="inlineStr">
        <is>
          <t>Beklenen Net Kâr / Getiri:</t>
        </is>
      </c>
      <c r="I9" s="101" t="n"/>
      <c r="J9" s="101" t="n"/>
      <c r="K9" s="168" t="inlineStr">
        <is>
          <t>₺12.450.000</t>
        </is>
      </c>
      <c r="L9" s="101" t="n"/>
    </row>
    <row r="10">
      <c r="B10" s="165" t="inlineStr">
        <is>
          <t>Minimum Nakit Tamponu:</t>
        </is>
      </c>
      <c r="C10" s="101" t="n"/>
      <c r="D10" s="101" t="n"/>
      <c r="E10" s="169" t="inlineStr">
        <is>
          <t>₺1.850.000 (Yeterli)</t>
        </is>
      </c>
      <c r="F10" s="101" t="n"/>
      <c r="H10" s="165" t="inlineStr">
        <is>
          <t>Serbest Nakit Akımı:</t>
        </is>
      </c>
      <c r="I10" s="101" t="n"/>
      <c r="J10" s="101" t="n"/>
      <c r="K10" s="169" t="inlineStr">
        <is>
          <t>₺8.240.000</t>
        </is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169" t="inlineStr">
        <is>
          <t>1.28x (Eşik: 1.10x)</t>
        </is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8" t="inlineStr">
        <is>
          <t>YÜRÜTME ÇEKİRDEĞİ — ZORUNLU ÜRETİM SIRASI</t>
        </is>
      </c>
    </row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1" t="inlineStr">
        <is>
          <t>NİHAİ KONTROL LİSTESİ — KANITSIZ GEÇİŞ YOK</t>
        </is>
      </c>
    </row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6" t="inlineStr">
        <is>
          <t>GÖRSEL TASARIM VE PREMIUM EXCEL STANDARDI</t>
        </is>
      </c>
    </row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0" t="inlineStr">
        <is>
          <t>TÜRKİYE MUHASEBE VE TEKDÜZEN HESAP PLANI STANDARDI</t>
        </is>
      </c>
    </row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3" t="inlineStr">
        <is>
          <t>KARAR, GÜVEN VE SATIŞA HAZIRLIK STANDARDI</t>
        </is>
      </c>
    </row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GES Yatırım Fizibilite Simülatörü</t>
        </is>
      </c>
    </row>
    <row r="3" ht="30" customHeight="1">
      <c r="A3" s="3" t="inlineStr">
        <is>
          <t>GES Yatırım Fizibilite Simülatörü</t>
        </is>
      </c>
    </row>
    <row r="4">
      <c r="A4" s="4" t="inlineStr">
        <is>
          <t>Çatı veya saha GES kapasitesi, tüketim eşleştirme, CAPEX/OPEX ve tarife girdilerini işleyin; NPV/IRR aralığı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Tüketim eşleştirmeli gelir: öz tüketim tasarrufu + şebeke satış</t>
        </is>
      </c>
    </row>
    <row r="8">
      <c r="A8" s="6" t="inlineStr">
        <is>
          <t>• CAPEX / OPEX ayrımı + yıllık degradasyonlu nakit akışı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 / IRR aralık + tornado; kötümser YATIRIM YAPMA yolu (F04–F05)</t>
        </is>
      </c>
    </row>
    <row r="11">
      <c r="A11" s="6" t="inlineStr">
        <is>
          <t>• Varsayım kaynak+güven ve KANIT_RAPORU (banka/yatırımcı)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GES Yatırım Fizibilite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proje tipi, kWp, özgül üretim, öz tüketim ve tarifeleri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Üretim = kWp × özgül × (1−degradasyon)^yıl | Gelir = öz tüketim×perakende + satış×şebeke | NPV = Σ(net/(1+WACC)^t) − CAPEX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GES Yatırım Fizibilite Simülatörü</t>
        </is>
      </c>
    </row>
    <row r="3">
      <c r="A3" s="9" t="inlineStr">
        <is>
          <t>GES proje girdileri</t>
        </is>
      </c>
    </row>
    <row r="4">
      <c r="A4" s="4" t="inlineStr">
        <is>
          <t>Sarı hücreler manuel giriştir. Tarifeler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Enerji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Proje Tipi</t>
        </is>
      </c>
      <c r="B9" s="12" t="inlineStr">
        <is>
          <t>CATI</t>
        </is>
      </c>
      <c r="C9" s="13" t="inlineStr">
        <is>
          <t>metin</t>
        </is>
      </c>
    </row>
    <row r="10">
      <c r="A10" s="7" t="inlineStr">
        <is>
          <t>Kurulu güç [kWp]</t>
        </is>
      </c>
      <c r="B10" s="14" t="n">
        <v>100</v>
      </c>
      <c r="C10" s="13" t="inlineStr">
        <is>
          <t>kWp</t>
        </is>
      </c>
    </row>
    <row r="11">
      <c r="A11" s="7" t="inlineStr">
        <is>
          <t>Özgül üretim [kWh/kWp]</t>
        </is>
      </c>
      <c r="B11" s="14" t="n">
        <v>1400</v>
      </c>
      <c r="C11" s="13" t="inlineStr">
        <is>
          <t>kWh</t>
        </is>
      </c>
    </row>
    <row r="12">
      <c r="A12" s="7" t="inlineStr">
        <is>
          <t>Degradasyon [%/yıl]</t>
        </is>
      </c>
      <c r="B12" s="15" t="n">
        <v>0.005</v>
      </c>
      <c r="C12" s="13" t="inlineStr">
        <is>
          <t>%</t>
        </is>
      </c>
    </row>
    <row r="13">
      <c r="A13" s="7" t="inlineStr">
        <is>
          <t>Öz tüketim oranı [%]</t>
        </is>
      </c>
      <c r="B13" s="15" t="n">
        <v>0.7</v>
      </c>
      <c r="C13" s="13" t="inlineStr">
        <is>
          <t>%</t>
        </is>
      </c>
    </row>
    <row r="14">
      <c r="A14" s="7" t="inlineStr">
        <is>
          <t>Yıllık tüketim [kWh]</t>
        </is>
      </c>
      <c r="B14" s="14" t="n">
        <v>200000</v>
      </c>
      <c r="C14" s="13" t="inlineStr">
        <is>
          <t>kWh</t>
        </is>
      </c>
    </row>
    <row r="15">
      <c r="A15" s="7" t="inlineStr">
        <is>
          <t>Perakende tarife [₺/kWh]</t>
        </is>
      </c>
      <c r="B15" s="16" t="n">
        <v>3.5</v>
      </c>
      <c r="C15" s="13" t="inlineStr">
        <is>
          <t>₺/kWh</t>
        </is>
      </c>
    </row>
    <row r="16">
      <c r="A16" s="7" t="inlineStr">
        <is>
          <t>Şebeke satış tarife [₺/kWh]</t>
        </is>
      </c>
      <c r="B16" s="16" t="n">
        <v>1.2</v>
      </c>
      <c r="C16" s="13" t="inlineStr">
        <is>
          <t>₺/kWh</t>
        </is>
      </c>
    </row>
    <row r="17">
      <c r="A17" s="7" t="inlineStr">
        <is>
          <t>CAPEX birim [₺/kWp]</t>
        </is>
      </c>
      <c r="B17" s="17" t="n">
        <v>12000</v>
      </c>
      <c r="C17" s="13" t="inlineStr">
        <is>
          <t>₺</t>
        </is>
      </c>
    </row>
    <row r="18">
      <c r="A18" s="7" t="inlineStr">
        <is>
          <t>OPEX oranı [% CAPEX]</t>
        </is>
      </c>
      <c r="B18" s="15" t="n">
        <v>0.015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0.18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25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IFERROR(gyf_capexToplam,0)</f>
        <v/>
      </c>
    </row>
    <row r="25">
      <c r="A25" s="10" t="inlineStr">
        <is>
          <t>OPEX / ISLETME yıllık (ayna)</t>
        </is>
      </c>
      <c r="B25" s="19">
        <f>IFERROR(gyf_opexYillik,0)</f>
        <v/>
      </c>
    </row>
    <row r="26">
      <c r="A26" s="10" t="inlineStr">
        <is>
          <t>Yıllık gelir (ayna)</t>
        </is>
      </c>
      <c r="B26" s="18">
        <f>IFERROR(gyf_yillikGelir,0)</f>
        <v/>
      </c>
    </row>
    <row r="27">
      <c r="A27" s="10" t="inlineStr">
        <is>
          <t>Giriş doluluk</t>
        </is>
      </c>
      <c r="B27" s="20">
        <f>IFERROR(IF(OR(COUNTA(B6:B22)=0,gyf_girisBeklenen=0),0,ROUND(COUNTA(B6:B22)/gyf_girisBeklenen*100,0)),0)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Enerji Yatırım A.Ş.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proje_tipi</t>
        </is>
      </c>
      <c r="B34" s="22" t="inlineStr">
        <is>
          <t>CATI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kurulu_guc</t>
        </is>
      </c>
      <c r="B35" s="24" t="n">
        <v>100</v>
      </c>
      <c r="C35" s="22" t="inlineStr">
        <is>
          <t>kWp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spesifik_uretim</t>
        </is>
      </c>
      <c r="B36" s="24" t="n">
        <v>1400</v>
      </c>
      <c r="C36" s="22" t="inlineStr">
        <is>
          <t>kWh/kWp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degradasyon</t>
        </is>
      </c>
      <c r="B37" s="25" t="n">
        <v>0.005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oz_tuketim</t>
        </is>
      </c>
      <c r="B38" s="25" t="n">
        <v>0.7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yillik_tuketim</t>
        </is>
      </c>
      <c r="B39" s="24" t="n">
        <v>200000</v>
      </c>
      <c r="C39" s="22" t="inlineStr">
        <is>
          <t>kWh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perakende_tarife</t>
        </is>
      </c>
      <c r="B40" s="26" t="n">
        <v>3.5</v>
      </c>
      <c r="C40" s="22" t="inlineStr">
        <is>
          <t>TL/kWh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satis_tarife</t>
        </is>
      </c>
      <c r="B41" s="26" t="n">
        <v>1.2</v>
      </c>
      <c r="C41" s="22" t="inlineStr">
        <is>
          <t>TL/kWh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12000</v>
      </c>
      <c r="C42" s="22" t="inlineStr">
        <is>
          <t>TL/kWp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0.015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0.18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25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tarife ve formüller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1:AN1031"/>
    <mergeCell ref="A1:AD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TI veya SAHA." promptTitle="Proje Tipi" prompt="CATI veya SAHA seçin." type="list" errorStyle="stop">
      <formula1>ListeProjeTipi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TI/SAHA." promptTitle="Proje Tipi" prompt="CATI veya SAHA." type="list" errorStyle="stop">
      <formula1>ListeProjeTipi</formula1>
    </dataValidation>
    <dataValidation sqref="B10" showDropDown="0" showInputMessage="1" showErrorMessage="1" allowBlank="1" errorTitle="Geçersiz tutar" error="Sınır dışı değer." promptTitle="Kurulu güç" prompt="0 ile 1e6 kWp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Özgül üretim" prompt="0 ile 30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Yıllık tüketim" prompt="0 ile 1e9 kWh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Perakende tarife" prompt="0 ile 100 ₺/kWh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Satış tarife" prompt="0 ile 100 ₺/kWh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kWp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Kurulu güç" prompt="Tablo: kWp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Özgül" prompt="Tablo: kWh/kWp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GES Yatırım Fizibilite Simülatörü</t>
        </is>
      </c>
    </row>
    <row r="3">
      <c r="A3" s="30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Özgül üretim kaynağı</t>
        </is>
      </c>
      <c r="C6" s="31" t="inlineStr">
        <is>
          <t>PVGIS/ölçüm</t>
        </is>
      </c>
      <c r="D6" s="7" t="inlineStr">
        <is>
          <t>metin</t>
        </is>
      </c>
      <c r="E6" s="31" t="inlineStr">
        <is>
          <t>PVGIS / saha ölçümü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Degradasyon</t>
        </is>
      </c>
      <c r="C7" s="31" t="inlineStr">
        <is>
          <t>0.5%/yıl</t>
        </is>
      </c>
      <c r="D7" s="7" t="inlineStr">
        <is>
          <t>oran</t>
        </is>
      </c>
      <c r="E7" s="31" t="inlineStr">
        <is>
          <t>Panel üretici veri sayfası</t>
        </is>
      </c>
      <c r="F7" s="31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Öz tüketim oranı</t>
        </is>
      </c>
      <c r="C8" s="31" t="inlineStr">
        <is>
          <t>tesis profili</t>
        </is>
      </c>
      <c r="D8" s="7" t="inlineStr">
        <is>
          <t>oran</t>
        </is>
      </c>
      <c r="E8" s="31" t="inlineStr">
        <is>
          <t>Sayaç / fatura analizi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31" t="inlineStr">
        <is>
          <t>EPDK dağıtım</t>
        </is>
      </c>
      <c r="D9" s="7" t="inlineStr">
        <is>
          <t>TL/kWh</t>
        </is>
      </c>
      <c r="E9" s="31" t="inlineStr">
        <is>
          <t>EPDK tarife tablosu</t>
        </is>
      </c>
      <c r="F9" s="31" t="inlineStr">
        <is>
          <t>sert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Şebeke satış tarife</t>
        </is>
      </c>
      <c r="C10" s="31" t="inlineStr">
        <is>
          <t>YEKDEM/mahalle</t>
        </is>
      </c>
      <c r="D10" s="7" t="inlineStr">
        <is>
          <t>TL/kWh</t>
        </is>
      </c>
      <c r="E10" s="31" t="inlineStr">
        <is>
          <t>YEKDEM / iç politika</t>
        </is>
      </c>
      <c r="F10" s="31" t="inlineStr">
        <is>
          <t>yumuşak</t>
        </is>
      </c>
      <c r="G10" s="7" t="inlineStr">
        <is>
          <t>yüksek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</t>
        </is>
      </c>
      <c r="C11" s="31" t="inlineStr">
        <is>
          <t>teklif ortalaması</t>
        </is>
      </c>
      <c r="D11" s="7" t="inlineStr">
        <is>
          <t>TL/kWp</t>
        </is>
      </c>
      <c r="E11" s="31" t="inlineStr">
        <is>
          <t>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oranı</t>
        </is>
      </c>
      <c r="C12" s="31" t="inlineStr">
        <is>
          <t>% CAPEX</t>
        </is>
      </c>
      <c r="D12" s="7" t="inlineStr">
        <is>
          <t>oran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orta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üretim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IFERROR(gyf_capexToplam,0)</f>
        <v/>
      </c>
    </row>
    <row r="18">
      <c r="J18" s="10" t="inlineStr">
        <is>
          <t>OPEX / ISLETME yıllık (ayna)</t>
        </is>
      </c>
      <c r="K18" s="19">
        <f>IFERROR(gyf_opexYillik,0)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GES Yatırım Fizibilite Simülatörü</t>
        </is>
      </c>
    </row>
    <row r="3">
      <c r="A3" s="30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GYF-001</t>
        </is>
      </c>
      <c r="B7" s="7" t="inlineStr">
        <is>
          <t>EPDK tarife</t>
        </is>
      </c>
      <c r="C7" s="7" t="inlineStr">
        <is>
          <t>perakende_tarife</t>
        </is>
      </c>
      <c r="D7" s="7" t="inlineStr">
        <is>
          <t>öz tüketim × tarife</t>
        </is>
      </c>
      <c r="E7" s="7" t="inlineStr">
        <is>
          <t>perakende_tl_kwh</t>
        </is>
      </c>
      <c r="F7" s="32" t="n">
        <v>3.2</v>
      </c>
      <c r="G7" s="32" t="n">
        <v>3.5</v>
      </c>
      <c r="H7" s="32" t="n">
        <v>3.8</v>
      </c>
      <c r="I7" s="7" t="inlineStr">
        <is>
          <t>01.01.2025</t>
        </is>
      </c>
      <c r="J7" s="7" t="inlineStr">
        <is>
          <t>EPDK dağıtım bedelli</t>
        </is>
      </c>
      <c r="K7" s="23">
        <f>IF($A7="","",IFERROR(CHOOSE(MAX(1,MIN(3,IF(OR(hesapYili="",hesapYili=0),1,hesapYili-gyf_yilTaban))),$F7,$G7,$H7),0))</f>
        <v/>
      </c>
    </row>
    <row r="8">
      <c r="A8" s="7" t="inlineStr">
        <is>
          <t>GYF-002</t>
        </is>
      </c>
      <c r="B8" s="7" t="inlineStr">
        <is>
          <t>YEKDEM / satış</t>
        </is>
      </c>
      <c r="C8" s="7" t="inlineStr">
        <is>
          <t>satis_tarife</t>
        </is>
      </c>
      <c r="D8" s="7" t="inlineStr">
        <is>
          <t>şebeke satış × tarife</t>
        </is>
      </c>
      <c r="E8" s="7" t="inlineStr">
        <is>
          <t>satis_tl_kwh</t>
        </is>
      </c>
      <c r="F8" s="32" t="n">
        <v>1.1</v>
      </c>
      <c r="G8" s="32" t="n">
        <v>1.2</v>
      </c>
      <c r="H8" s="32" t="n">
        <v>1.3</v>
      </c>
      <c r="I8" s="7" t="inlineStr">
        <is>
          <t>01.01.2025</t>
        </is>
      </c>
      <c r="J8" s="7" t="inlineStr">
        <is>
          <t>YEKDEM referans</t>
        </is>
      </c>
      <c r="K8" s="23">
        <f>IF($A8="","",IFERROR(CHOOSE(MAX(1,MIN(3,IF(OR(hesapYili="",hesapYili=0),1,hesapYili-gyf_yilTaban))),$F8,$G8,$H8),0))</f>
        <v/>
      </c>
    </row>
    <row r="9">
      <c r="A9" s="7" t="inlineStr">
        <is>
          <t>GYF-003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IF($A9="","",IFERROR(CHOOSE(MAX(1,MIN(3,IF(OR(hesapYili="",hesapYili=0),1,hesapYili-gyf_yilTaban))),$F9,$G9,$H9),0))</f>
        <v/>
      </c>
    </row>
    <row r="10">
      <c r="A10" s="7" t="inlineStr">
        <is>
          <t>GYF-004</t>
        </is>
      </c>
      <c r="B10" s="7" t="inlineStr">
        <is>
          <t>İç politika</t>
        </is>
      </c>
      <c r="C10" s="7" t="inlineStr">
        <is>
          <t>min_oz_tuketim</t>
        </is>
      </c>
      <c r="D10" s="7" t="inlineStr">
        <is>
          <t>öz tüketim ≥ eşik</t>
        </is>
      </c>
      <c r="E10" s="7" t="inlineStr">
        <is>
          <t>min_oz_tuketim</t>
        </is>
      </c>
      <c r="F10" s="34" t="n">
        <v>0.4</v>
      </c>
      <c r="G10" s="34" t="n">
        <v>0.4</v>
      </c>
      <c r="H10" s="34" t="n">
        <v>0.45</v>
      </c>
      <c r="I10" s="7" t="inlineStr">
        <is>
          <t>01.01.2025</t>
        </is>
      </c>
      <c r="J10" s="7" t="inlineStr">
        <is>
          <t>Asgari öz tüketim</t>
        </is>
      </c>
      <c r="K10" s="23">
        <f>IF($A10="","",IFERROR(CHOOSE(MAX(1,MIN(3,IF(OR(hesapYili="",hesapYili=0),1,hesapYili-gyf_yilTaban))),$F10,$G10,$H10),0))</f>
        <v/>
      </c>
    </row>
    <row r="11">
      <c r="A11" s="7" t="inlineStr">
        <is>
          <t>GYF-005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IF($A11="","",IFERROR(CHOOSE(MAX(1,MIN(3,IF(OR(hesapYili="",hesapYili=0),1,hesapYili-gyf_yilTaban))),$F11,$G11,$H11),0))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Perakende (aktif yıl)</t>
        </is>
      </c>
      <c r="C15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16">
      <c r="A16" s="6" t="inlineStr">
        <is>
          <t>Satış tarife (aktif yıl)</t>
        </is>
      </c>
      <c r="C16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7">
      <c r="A17" s="7" t="inlineStr">
        <is>
          <t>Matris metni</t>
        </is>
      </c>
      <c r="C17" s="37">
        <f>IFERROR(_xlfn.TEXTJOIN(" | ",TRUE,"GYF-001=",TEXT(C15,"0.00"),"GYF-002=",TEXT(C16,"0.00"),"yıl=",IF(OR(hesapYili="",hesapYili=0),"-",hesapYili)),"-")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3:K3"/>
    <mergeCell ref="A14:B14"/>
    <mergeCell ref="A1:AD1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GES Yatırım Fizibilite Simülatörü</t>
        </is>
      </c>
    </row>
    <row r="3">
      <c r="A3" s="30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GYF-005</t>
        </is>
      </c>
      <c r="G7" s="20">
        <f>IFERROR(hesapYili,0)</f>
        <v/>
      </c>
    </row>
    <row r="8">
      <c r="A8" s="38" t="n">
        <v>2</v>
      </c>
      <c r="B8" s="39" t="inlineStr">
        <is>
          <t>Perakende tarife kural</t>
        </is>
      </c>
      <c r="C8" s="43">
        <f>IFERROR(INDEX(CHOOSE(MAX(1,MIN(3,IF(OR(hesapYili="",hesapYili=0),1,hesapYili-gyf_yilTaban))),tblKurallar[deger_2025],tblKurallar[deger_2026],tblKurallar[deger_2027]),MATCH("GYF-001",tblKurallar[kural_id],0)),0)</f>
        <v/>
      </c>
      <c r="D8" s="41" t="inlineStr">
        <is>
          <t>TL/kWh</t>
        </is>
      </c>
      <c r="E8" s="6" t="inlineStr">
        <is>
          <t>EPDK perakende</t>
        </is>
      </c>
      <c r="F8" s="42" t="inlineStr">
        <is>
          <t>GYF-001</t>
        </is>
      </c>
      <c r="G8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9">
      <c r="A9" s="38" t="n">
        <v>3</v>
      </c>
      <c r="B9" s="39" t="inlineStr">
        <is>
          <t>Satış tarife kural</t>
        </is>
      </c>
      <c r="C9" s="43">
        <f>IFERROR(INDEX(CHOOSE(MAX(1,MIN(3,IF(OR(hesapYili="",hesapYili=0),1,hesapYili-gyf_yilTaban))),tblKurallar[deger_2025],tblKurallar[deger_2026],tblKurallar[deger_2027]),MATCH("GYF-002",tblKurallar[kural_id],0)),0)</f>
        <v/>
      </c>
      <c r="D9" s="41" t="inlineStr">
        <is>
          <t>TL/kWh</t>
        </is>
      </c>
      <c r="E9" s="6" t="inlineStr">
        <is>
          <t>YEKDEM/satış</t>
        </is>
      </c>
      <c r="F9" s="42" t="inlineStr">
        <is>
          <t>GYF-002</t>
        </is>
      </c>
      <c r="G9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IFERROR(INDEX(CHOOSE(MAX(1,MIN(3,IF(OR(hesapYili="",hesapYili=0),1,hesapYili-gyf_yilTaban))),tblKurallar[deger_2025],tblKurallar[deger_2026],tblKurallar[deger_2027]),MATCH("GYF-003",tblKurallar[kural_id],0)),0)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GYF-003</t>
        </is>
      </c>
      <c r="G10" s="20">
        <f>IFERROR(INDEX(CHOOSE(MAX(1,MIN(3,IF(OR(hesapYili="",hesapYili=0),1,hesapYili-gyf_yilTaban))),tblKurallar[deger_2025],tblKurallar[deger_2026],tblKurallar[deger_2027]),MATCH("GYF-003",tblKurallar[kural_id],0)),0)</f>
        <v/>
      </c>
    </row>
    <row r="11">
      <c r="A11" s="38" t="n">
        <v>5</v>
      </c>
      <c r="B11" s="39" t="inlineStr">
        <is>
          <t>Min öz tüketim</t>
        </is>
      </c>
      <c r="C11" s="44">
        <f>IFERROR(INDEX(CHOOSE(MAX(1,MIN(3,IF(OR(hesapYili="",hesapYili=0),1,hesapYili-gyf_yilTaban))),tblKurallar[deger_2025],tblKurallar[deger_2026],tblKurallar[deger_2027]),MATCH("GYF-004",tblKurallar[kural_id],0)),0)</f>
        <v/>
      </c>
      <c r="D11" s="41" t="inlineStr">
        <is>
          <t>oran</t>
        </is>
      </c>
      <c r="E11" s="6" t="inlineStr">
        <is>
          <t>Asgari öz tüketim</t>
        </is>
      </c>
      <c r="F11" s="42" t="inlineStr">
        <is>
          <t>GYF-004</t>
        </is>
      </c>
      <c r="G11" s="45">
        <f>IFERROR(INDEX(CHOOSE(MAX(1,MIN(3,IF(OR(hesapYili="",hesapYili=0),1,hesapYili-gyf_yilTaban))),tblKurallar[deger_2025],tblKurallar[deger_2026],tblKurallar[deger_2027]),MATCH("GYF-004",tblKurallar[kural_id],0)),0)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IFERROR(INDEX(CHOOSE(MAX(1,MIN(3,IF(OR(hesapYili="",hesapYili=0),1,hesapYili-gyf_yilTaban))),tblKurallar[deger_2025],tblKurallar[deger_2026],tblKurallar[deger_2027]),MATCH("GYF-005",tblKurallar[kural_id],0)),0)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GYF-005</t>
        </is>
      </c>
      <c r="G12" s="20">
        <f>IFERROR(INDEX(CHOOSE(MAX(1,MIN(3,IF(OR(hesapYili="",hesapYili=0),1,hesapYili-gyf_yilTaban))),tblKurallar[deger_2025],tblKurallar[deger_2026],tblKurallar[deger_2027]),MATCH("GYF-005",tblKurallar[kural_id],0)),0)</f>
        <v/>
      </c>
    </row>
    <row r="13">
      <c r="A13" s="38" t="n">
        <v>7</v>
      </c>
      <c r="B13" s="39" t="inlineStr">
        <is>
          <t>Kurulu güç kWp</t>
        </is>
      </c>
      <c r="C13" s="40">
        <f>IFERROR(GIRDI!B10,0)</f>
        <v/>
      </c>
      <c r="D13" s="41" t="inlineStr">
        <is>
          <t>kWp</t>
        </is>
      </c>
      <c r="E13" s="6" t="inlineStr">
        <is>
          <t>DC güç</t>
        </is>
      </c>
      <c r="F13" s="42" t="inlineStr">
        <is>
          <t>GYF-005</t>
        </is>
      </c>
      <c r="G13" s="20">
        <f>IFERROR(GIRDI!B10,0)</f>
        <v/>
      </c>
    </row>
    <row r="14">
      <c r="A14" s="38" t="n">
        <v>8</v>
      </c>
      <c r="B14" s="39" t="inlineStr">
        <is>
          <t>Özgül üretim</t>
        </is>
      </c>
      <c r="C14" s="40">
        <f>IFERROR(GIRDI!B11,0)</f>
        <v/>
      </c>
      <c r="D14" s="41" t="inlineStr">
        <is>
          <t>kWh/kWp</t>
        </is>
      </c>
      <c r="E14" s="6" t="inlineStr">
        <is>
          <t>Yıllık özgül</t>
        </is>
      </c>
      <c r="F14" s="42" t="inlineStr">
        <is>
          <t>GYF-005</t>
        </is>
      </c>
      <c r="G14" s="20">
        <f>IFERROR(GIRDI!B11,0)</f>
        <v/>
      </c>
    </row>
    <row r="15">
      <c r="A15" s="38" t="n">
        <v>9</v>
      </c>
      <c r="B15" s="39" t="inlineStr">
        <is>
          <t>Degradasyon</t>
        </is>
      </c>
      <c r="C15" s="44">
        <f>IFERROR(GIRDI!B12,0)</f>
        <v/>
      </c>
      <c r="D15" s="41" t="inlineStr">
        <is>
          <t>oran</t>
        </is>
      </c>
      <c r="E15" s="6" t="inlineStr">
        <is>
          <t>Yıllık kayıp</t>
        </is>
      </c>
      <c r="F15" s="42" t="inlineStr">
        <is>
          <t>GYF-005</t>
        </is>
      </c>
      <c r="G15" s="45">
        <f>IFERROR(GIRDI!B12,0)</f>
        <v/>
      </c>
    </row>
    <row r="16">
      <c r="A16" s="38" t="n">
        <v>10</v>
      </c>
      <c r="B16" s="39" t="inlineStr">
        <is>
          <t>Öz tüketim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Öz tüketim payı</t>
        </is>
      </c>
      <c r="F16" s="42" t="inlineStr">
        <is>
          <t>GYF-004</t>
        </is>
      </c>
      <c r="G16" s="45">
        <f>IFERROR(GIRDI!B13,0)</f>
        <v/>
      </c>
    </row>
    <row r="17">
      <c r="A17" s="38" t="n">
        <v>11</v>
      </c>
      <c r="B17" s="39" t="inlineStr">
        <is>
          <t>Yıllık tüketim</t>
        </is>
      </c>
      <c r="C17" s="40">
        <f>IFERROR(GIRDI!B14,0)</f>
        <v/>
      </c>
      <c r="D17" s="41" t="inlineStr">
        <is>
          <t>kWh</t>
        </is>
      </c>
      <c r="E17" s="6" t="inlineStr">
        <is>
          <t>Tesis tüketimi</t>
        </is>
      </c>
      <c r="F17" s="42" t="inlineStr">
        <is>
          <t>GYF-004</t>
        </is>
      </c>
      <c r="G17" s="20">
        <f>IFERROR(GIRDI!B14,0)</f>
        <v/>
      </c>
    </row>
    <row r="18">
      <c r="A18" s="38" t="n">
        <v>12</v>
      </c>
      <c r="B18" s="39" t="inlineStr">
        <is>
          <t>Perakende giriş</t>
        </is>
      </c>
      <c r="C18" s="43">
        <f>IFERROR(GIRDI!B15,0)</f>
        <v/>
      </c>
      <c r="D18" s="41" t="inlineStr">
        <is>
          <t>TL/kWh</t>
        </is>
      </c>
      <c r="E18" s="6" t="inlineStr">
        <is>
          <t>Giriş perakende</t>
        </is>
      </c>
      <c r="F18" s="42" t="inlineStr">
        <is>
          <t>GYF-001</t>
        </is>
      </c>
      <c r="G18" s="36">
        <f>IFERROR(GIRDI!B15,0)</f>
        <v/>
      </c>
    </row>
    <row r="19">
      <c r="A19" s="38" t="n">
        <v>13</v>
      </c>
      <c r="B19" s="39" t="inlineStr">
        <is>
          <t>Satış giriş</t>
        </is>
      </c>
      <c r="C19" s="43">
        <f>IFERROR(GIRDI!B16,0)</f>
        <v/>
      </c>
      <c r="D19" s="41" t="inlineStr">
        <is>
          <t>TL/kWh</t>
        </is>
      </c>
      <c r="E19" s="6" t="inlineStr">
        <is>
          <t>Giriş satış</t>
        </is>
      </c>
      <c r="F19" s="42" t="inlineStr">
        <is>
          <t>GYF-002</t>
        </is>
      </c>
      <c r="G19" s="36">
        <f>IFERROR(GIRDI!B16,0)</f>
        <v/>
      </c>
    </row>
    <row r="20">
      <c r="A20" s="38" t="n">
        <v>14</v>
      </c>
      <c r="B20" s="39" t="inlineStr">
        <is>
          <t>CAPEX birim</t>
        </is>
      </c>
      <c r="C20" s="46">
        <f>IFERROR(GIRDI!B17,0)</f>
        <v/>
      </c>
      <c r="D20" s="41" t="inlineStr">
        <is>
          <t>TL/kWp</t>
        </is>
      </c>
      <c r="E20" s="6" t="inlineStr">
        <is>
          <t>Birim yatırım</t>
        </is>
      </c>
      <c r="F20" s="42" t="inlineStr">
        <is>
          <t>GYF-005</t>
        </is>
      </c>
      <c r="G20" s="19">
        <f>IFERROR(GIRDI!B17,0)</f>
        <v/>
      </c>
    </row>
    <row r="21">
      <c r="A21" s="38" t="n">
        <v>15</v>
      </c>
      <c r="B21" s="39" t="inlineStr">
        <is>
          <t>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İşletme oranı</t>
        </is>
      </c>
      <c r="F21" s="42" t="inlineStr">
        <is>
          <t>GYF-005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GYF-005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GYF-005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GYF-005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GYF-005</t>
        </is>
      </c>
      <c r="G25" s="45">
        <f>IFERROR(GIRDI!B22,0)</f>
        <v/>
      </c>
    </row>
    <row r="26">
      <c r="A26" s="38" t="n">
        <v>20</v>
      </c>
      <c r="B26" s="39" t="inlineStr">
        <is>
          <t>Yıllık üretim Y1</t>
        </is>
      </c>
      <c r="C26" s="40">
        <f>IFERROR(ROUND(G13*G14,MAX(0,MIN(gyf_yuvarMax,IFERROR(N(G12),0)))),0)</f>
        <v/>
      </c>
      <c r="D26" s="41" t="inlineStr">
        <is>
          <t>kWh</t>
        </is>
      </c>
      <c r="E26" s="6" t="inlineStr">
        <is>
          <t>kWp×özgül</t>
        </is>
      </c>
      <c r="F26" s="42" t="inlineStr">
        <is>
          <t>GYF-005</t>
        </is>
      </c>
      <c r="G26" s="20">
        <f>IFERROR(ROUND(G13*G14,MAX(0,MIN(gyf_yuvarMax,IFERROR(N(G12),0)))),0)</f>
        <v/>
      </c>
    </row>
    <row r="27">
      <c r="A27" s="38" t="n">
        <v>21</v>
      </c>
      <c r="B27" s="39" t="inlineStr">
        <is>
          <t>Öz tüketim kWh</t>
        </is>
      </c>
      <c r="C27" s="40">
        <f>IFERROR(ROUND(G26*G16,MAX(0,MIN(gyf_yuvarMax,IFERROR(N(G12),0)))),0)</f>
        <v/>
      </c>
      <c r="D27" s="41" t="inlineStr">
        <is>
          <t>kWh</t>
        </is>
      </c>
      <c r="E27" s="6" t="inlineStr">
        <is>
          <t>Üretim×öz oran</t>
        </is>
      </c>
      <c r="F27" s="42" t="inlineStr">
        <is>
          <t>GYF-004</t>
        </is>
      </c>
      <c r="G27" s="20">
        <f>IFERROR(ROUND(G26*G16,MAX(0,MIN(gyf_yuvarMax,IFERROR(N(G12),0)))),0)</f>
        <v/>
      </c>
    </row>
    <row r="28">
      <c r="A28" s="38" t="n">
        <v>22</v>
      </c>
      <c r="B28" s="39" t="inlineStr">
        <is>
          <t>Şebeke satış kWh</t>
        </is>
      </c>
      <c r="C28" s="40">
        <f>IFERROR(G26-G27,0)</f>
        <v/>
      </c>
      <c r="D28" s="41" t="inlineStr">
        <is>
          <t>kWh</t>
        </is>
      </c>
      <c r="E28" s="6" t="inlineStr">
        <is>
          <t>Kalan üretim</t>
        </is>
      </c>
      <c r="F28" s="42" t="inlineStr">
        <is>
          <t>GYF-002</t>
        </is>
      </c>
      <c r="G28" s="20">
        <f>IFERROR(G26-G27,0)</f>
        <v/>
      </c>
    </row>
    <row r="29">
      <c r="A29" s="38" t="n">
        <v>23</v>
      </c>
      <c r="B29" s="39" t="inlineStr">
        <is>
          <t>Tüketim eşleşme kWh</t>
        </is>
      </c>
      <c r="C29" s="40">
        <f>IFERROR(ROUND(MIN(G27,G17),MAX(0,MIN(gyf_yuvarMax,IFERROR(N(G12),0)))),0)</f>
        <v/>
      </c>
      <c r="D29" s="41" t="inlineStr">
        <is>
          <t>kWh</t>
        </is>
      </c>
      <c r="E29" s="6" t="inlineStr">
        <is>
          <t>min(öz,tüketim)</t>
        </is>
      </c>
      <c r="F29" s="42" t="inlineStr">
        <is>
          <t>GYF-004</t>
        </is>
      </c>
      <c r="G29" s="20">
        <f>IFERROR(ROUND(MIN(G27,G17),MAX(0,MIN(gyf_yuvarMax,IFERROR(N(G12),0)))),0)</f>
        <v/>
      </c>
    </row>
    <row r="30">
      <c r="A30" s="38" t="n">
        <v>24</v>
      </c>
      <c r="B30" s="39" t="inlineStr">
        <is>
          <t>Öz tasarruf geliri</t>
        </is>
      </c>
      <c r="C30" s="46">
        <f>IFERROR(ROUND(G29*G18,MAX(0,MIN(gyf_yuvarMax,IFERROR(N(G12),0)))),0)</f>
        <v/>
      </c>
      <c r="D30" s="41" t="inlineStr">
        <is>
          <t>TL</t>
        </is>
      </c>
      <c r="E30" s="6" t="inlineStr">
        <is>
          <t>eşleşme×perakende</t>
        </is>
      </c>
      <c r="F30" s="42" t="inlineStr">
        <is>
          <t>GYF-001</t>
        </is>
      </c>
      <c r="G30" s="19">
        <f>IFERROR(ROUND(G29*G18,MAX(0,MIN(gyf_yuvarMax,IFERROR(N(G12),0)))),0)</f>
        <v/>
      </c>
    </row>
    <row r="31">
      <c r="A31" s="38" t="n">
        <v>25</v>
      </c>
      <c r="B31" s="39" t="inlineStr">
        <is>
          <t>Şebeke satış geliri</t>
        </is>
      </c>
      <c r="C31" s="46">
        <f>IFERROR(ROUND(G28*G19,MAX(0,MIN(gyf_yuvarMax,IFERROR(N(G12),0)))),0)</f>
        <v/>
      </c>
      <c r="D31" s="41" t="inlineStr">
        <is>
          <t>TL</t>
        </is>
      </c>
      <c r="E31" s="6" t="inlineStr">
        <is>
          <t>satış×tarife</t>
        </is>
      </c>
      <c r="F31" s="42" t="inlineStr">
        <is>
          <t>GYF-002</t>
        </is>
      </c>
      <c r="G31" s="19">
        <f>IFERROR(ROUND(G28*G19,MAX(0,MIN(gyf_yuvarMax,IFERROR(N(G12),0)))),0)</f>
        <v/>
      </c>
    </row>
    <row r="32">
      <c r="A32" s="38" t="n">
        <v>26</v>
      </c>
      <c r="B32" s="39" t="inlineStr">
        <is>
          <t>Yıllık gelir baz</t>
        </is>
      </c>
      <c r="C32" s="46">
        <f>IFERROR(G30+G31,0)</f>
        <v/>
      </c>
      <c r="D32" s="41" t="inlineStr">
        <is>
          <t>TL</t>
        </is>
      </c>
      <c r="E32" s="6" t="inlineStr">
        <is>
          <t>Toplam gelir Y1</t>
        </is>
      </c>
      <c r="F32" s="42" t="inlineStr">
        <is>
          <t>GYF-001</t>
        </is>
      </c>
      <c r="G32" s="19">
        <f>IFERROR(G30+G31,0)</f>
        <v/>
      </c>
    </row>
    <row r="33">
      <c r="A33" s="38" t="n">
        <v>27</v>
      </c>
      <c r="B33" s="39" t="inlineStr">
        <is>
          <t>CAPEX / YATIRIM</t>
        </is>
      </c>
      <c r="C33" s="46">
        <f>IFERROR(ROUND(G13*G20,MAX(0,MIN(gyf_yuvarMax,IFERROR(N(G12),0)))),0)</f>
        <v/>
      </c>
      <c r="D33" s="41" t="inlineStr">
        <is>
          <t>TL</t>
        </is>
      </c>
      <c r="E33" s="6" t="inlineStr">
        <is>
          <t>kWp×birim CAPEX</t>
        </is>
      </c>
      <c r="F33" s="42" t="inlineStr">
        <is>
          <t>GYF-005</t>
        </is>
      </c>
      <c r="G33" s="19">
        <f>IFERROR(ROUND(G13*G20,MAX(0,MIN(gyf_yuvarMax,IFERROR(N(G12),0)))),0)</f>
        <v/>
      </c>
    </row>
    <row r="34">
      <c r="A34" s="38" t="n">
        <v>28</v>
      </c>
      <c r="B34" s="39" t="inlineStr">
        <is>
          <t>OPEX / ISLETME yıllık</t>
        </is>
      </c>
      <c r="C34" s="46">
        <f>IFERROR(ROUND(G33*G21,MAX(0,MIN(gyf_yuvarMax,IFERROR(N(G12),0)))),0)</f>
        <v/>
      </c>
      <c r="D34" s="41" t="inlineStr">
        <is>
          <t>TL</t>
        </is>
      </c>
      <c r="E34" s="6" t="inlineStr">
        <is>
          <t>CAPEX×oran</t>
        </is>
      </c>
      <c r="F34" s="42" t="inlineStr">
        <is>
          <t>GYF-005</t>
        </is>
      </c>
      <c r="G34" s="19">
        <f>IFERROR(ROUND(G33*G21,MAX(0,MIN(gyf_yuvarMax,IFERROR(N(G12),0)))),0)</f>
        <v/>
      </c>
    </row>
    <row r="35">
      <c r="A35" s="38" t="n">
        <v>29</v>
      </c>
      <c r="B35" s="39" t="inlineStr">
        <is>
          <t>Net nakit Y1</t>
        </is>
      </c>
      <c r="C35" s="46">
        <f>IFERROR(G32-G34,0)</f>
        <v/>
      </c>
      <c r="D35" s="41" t="inlineStr">
        <is>
          <t>TL</t>
        </is>
      </c>
      <c r="E35" s="6" t="inlineStr">
        <is>
          <t>Gelir−OPEX</t>
        </is>
      </c>
      <c r="F35" s="42" t="inlineStr">
        <is>
          <t>GYF-005</t>
        </is>
      </c>
      <c r="G35" s="19">
        <f>IFERROR(G32-G34,0)</f>
        <v/>
      </c>
    </row>
    <row r="36">
      <c r="A36" s="38" t="n">
        <v>30</v>
      </c>
      <c r="B36" s="39" t="inlineStr">
        <is>
          <t>Geri ödeme yılı</t>
        </is>
      </c>
      <c r="C36" s="40">
        <f>IFERROR(IF(OR(G35&lt;=0,G33&lt;=0),gyf_geriOdemeSonsuz,ROUND(G33/G35,1)),0)</f>
        <v/>
      </c>
      <c r="D36" s="41" t="inlineStr">
        <is>
          <t>yıl</t>
        </is>
      </c>
      <c r="E36" s="6" t="inlineStr">
        <is>
          <t>CAPEX/net</t>
        </is>
      </c>
      <c r="F36" s="42" t="inlineStr">
        <is>
          <t>GYF-003</t>
        </is>
      </c>
      <c r="G36" s="20">
        <f>IFERROR(IF(OR(G35&lt;=0,G33&lt;=0),gyf_geriOdemeSonsuz,ROUND(G33/G35,1)),0)</f>
        <v/>
      </c>
    </row>
    <row r="37">
      <c r="A37" s="38" t="n">
        <v>31</v>
      </c>
      <c r="B37" s="39" t="inlineStr">
        <is>
          <t>NPV (baz)</t>
        </is>
      </c>
      <c r="C37" s="46">
        <f>IFERROR(IF(OR(G23&lt;=0,G22=""),0,IF(G22=0,ROUND(G35*G23-G33,MAX(0,MIN(gyf_yuvarMax,IFERROR(N(G12),0)))),ROUND(G35*(1-POWER(1+G22,-G23))/G22-G33,MAX(0,MIN(gyf_yuvarMax,IFERROR(N(G12),0)))))),0)</f>
        <v/>
      </c>
      <c r="D37" s="41" t="inlineStr">
        <is>
          <t>TL</t>
        </is>
      </c>
      <c r="E37" s="6" t="inlineStr">
        <is>
          <t>Anüite NPV − CAPEX</t>
        </is>
      </c>
      <c r="F37" s="42" t="inlineStr">
        <is>
          <t>GYF-005</t>
        </is>
      </c>
      <c r="G37" s="19">
        <f>IFERROR(IF(OR(G23&lt;=0,G22=""),0,IF(G22=0,ROUND(G35*G23-G33,MAX(0,MIN(gyf_yuvarMax,IFERROR(N(G12),0)))),ROUND(G35*(1-POWER(1+G22,-G23))/G22-G33,MAX(0,MIN(gyf_yuvarMax,IFERROR(N(G12),0)))))),0)</f>
        <v/>
      </c>
    </row>
    <row r="38">
      <c r="A38" s="38" t="n">
        <v>32</v>
      </c>
      <c r="B38" s="39" t="inlineStr">
        <is>
          <t>IRR yaklaşımı</t>
        </is>
      </c>
      <c r="C38" s="44">
        <f>IFERROR(IF(OR(G33&lt;=0,G35&lt;=0,G23&lt;=0),0,ROUND(G35/G33-gyf_bazCarpan/G23,4)),0)</f>
        <v/>
      </c>
      <c r="D38" s="41" t="inlineStr">
        <is>
          <t>oran</t>
        </is>
      </c>
      <c r="E38" s="6" t="inlineStr">
        <is>
          <t>Kabaca IRR</t>
        </is>
      </c>
      <c r="F38" s="42" t="inlineStr">
        <is>
          <t>GYF-005</t>
        </is>
      </c>
      <c r="G38" s="45">
        <f>IFERROR(IF(OR(G33&lt;=0,G35&lt;=0,G23&lt;=0),0,ROUND(G35/G33-gyf_bazCarpan/G23,4)),0)</f>
        <v/>
      </c>
    </row>
    <row r="39">
      <c r="A39" s="38" t="n">
        <v>33</v>
      </c>
      <c r="B39" s="39" t="inlineStr">
        <is>
          <t>Karar kodu</t>
        </is>
      </c>
      <c r="C39" s="37">
        <f>IFERROR(IF(COUNTA(tblGirdi[Alan Anahtarı])=0,"VERI_YOK",IF(OR(G33&lt;=0,G13&lt;=0,G32&lt;=0),"YAPMA",IF(OR(G37&lt;0,G36&gt;G10*gyf_dikkatCarpan),"YAPMA",IF(OR(G36&gt;G10,G37&lt;gyf_npvDikkat),"DIKKAT","YAPILIR")))),"")</f>
        <v/>
      </c>
      <c r="D39" s="41" t="inlineStr">
        <is>
          <t>kod</t>
        </is>
      </c>
      <c r="E39" s="6" t="inlineStr">
        <is>
          <t>Karar kodu</t>
        </is>
      </c>
      <c r="F39" s="42" t="inlineStr">
        <is>
          <t>GYF-003</t>
        </is>
      </c>
      <c r="G39" s="47">
        <f>IFERROR(IF(COUNTA(tblGirdi[Alan Anahtarı])=0,"VERI_YOK",IF(OR(G33&lt;=0,G13&lt;=0,G32&lt;=0),"YAPMA",IF(OR(G37&lt;0,G36&gt;G10*gyf_dikkatCarpan),"YAPMA",IF(OR(G36&gt;G10,G37&lt;gyf_npvDikkat),"DIKKAT","YAPILIR")))),"")</f>
        <v/>
      </c>
    </row>
    <row r="40">
      <c r="A40" s="38" t="n">
        <v>34</v>
      </c>
      <c r="B40" s="39" t="inlineStr">
        <is>
          <t>Karar metni</t>
        </is>
      </c>
      <c r="C40" s="37">
        <f>IFERROR(IF(G39="VERI_YOK","VERİ YOK",IF(G39="YAPILIR","YATIRIM YAPILIR",IF(G39="DIKKAT","DİKKAT","YATIRIM YAPMA"))),"")</f>
        <v/>
      </c>
      <c r="D40" s="41" t="inlineStr">
        <is>
          <t>metin</t>
        </is>
      </c>
      <c r="E40" s="6" t="inlineStr">
        <is>
          <t>Kullanıcıya karar</t>
        </is>
      </c>
      <c r="F40" s="42" t="inlineStr">
        <is>
          <t>GYF-003</t>
        </is>
      </c>
      <c r="G40" s="47">
        <f>IFERROR(IF(G39="VERI_YOK","VERİ YOK",IF(G39="YAPILIR","YATIRIM YAPILIR",IF(G39="DIKKAT","DİKKAT","YATIRIM YAPMA"))),"")</f>
        <v/>
      </c>
    </row>
    <row r="41">
      <c r="A41" s="38" t="n">
        <v>35</v>
      </c>
      <c r="B41" s="39" t="inlineStr">
        <is>
          <t>Gerekçe</t>
        </is>
      </c>
      <c r="C41" s="3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  <c r="D41" s="41" t="inlineStr">
        <is>
          <t>metin</t>
        </is>
      </c>
      <c r="E41" s="6" t="inlineStr">
        <is>
          <t>Gerekçe cümlesi</t>
        </is>
      </c>
      <c r="F41" s="42" t="inlineStr">
        <is>
          <t>GYF-003</t>
        </is>
      </c>
      <c r="G41" s="4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</row>
    <row r="42">
      <c r="A42" s="38" t="n">
        <v>36</v>
      </c>
      <c r="B42" s="39" t="inlineStr">
        <is>
          <t>Güven skoru</t>
        </is>
      </c>
      <c r="C42" s="40">
        <f>IFERROR(ROUND(IF(OR(COUNTA(GIRDI!B6:B22)=0,gyf_girisBeklenen=0),0,COUNTA(GIRDI!B6:B22)/gyf_girisBeklenen*100),0),0)</f>
        <v/>
      </c>
      <c r="D42" s="41" t="inlineStr">
        <is>
          <t>puan</t>
        </is>
      </c>
      <c r="E42" s="6" t="inlineStr">
        <is>
          <t>Giriş bütünlüğü</t>
        </is>
      </c>
      <c r="F42" s="42" t="inlineStr">
        <is>
          <t>GYF-005</t>
        </is>
      </c>
      <c r="G42" s="20">
        <f>IFERROR(ROUND(IF(OR(COUNTA(GIRDI!B6:B22)=0,gyf_girisBeklenen=0),0,COUNTA(GIRDI!B6:B22)/gyf_girisBeklenen*100),0),0)</f>
        <v/>
      </c>
    </row>
    <row r="43">
      <c r="A43" s="38" t="n">
        <v>37</v>
      </c>
      <c r="B43" s="39" t="inlineStr">
        <is>
          <t>Risk skoru</t>
        </is>
      </c>
      <c r="C43" s="40">
        <f>IFERROR(IF(G39="VERI_YOK",0,IF(G39="YAPILIR",gyf_riskDusuk,IF(G39="DIKKAT",gyf_riskOrta,gyf_riskYuksek))),0)</f>
        <v/>
      </c>
      <c r="D43" s="41" t="inlineStr">
        <is>
          <t>puan</t>
        </is>
      </c>
      <c r="E43" s="6" t="inlineStr">
        <is>
          <t>Yatırım riski</t>
        </is>
      </c>
      <c r="F43" s="42" t="inlineStr">
        <is>
          <t>GYF-005</t>
        </is>
      </c>
      <c r="G43" s="20">
        <f>IFERROR(IF(G39="VERI_YOK",0,IF(G39="YAPILIR",gyf_riskDusuk,IF(G39="DIKKAT",gyf_riskOrta,gyf_riskYuksek))),0)</f>
        <v/>
      </c>
    </row>
    <row r="44">
      <c r="A44" s="38" t="n">
        <v>38</v>
      </c>
      <c r="B44" s="39" t="inlineStr">
        <is>
          <t>İyimser üretim</t>
        </is>
      </c>
      <c r="C44" s="40">
        <f>IFERROR(ROUND(G26*gyf_senaryoIyi,MAX(0,MIN(gyf_yuvarMax,IFERROR(N(G12),0)))),0)</f>
        <v/>
      </c>
      <c r="D44" s="41" t="inlineStr">
        <is>
          <t>kWh</t>
        </is>
      </c>
      <c r="E44" s="6" t="inlineStr">
        <is>
          <t>İyimser üretim</t>
        </is>
      </c>
      <c r="F44" s="42" t="inlineStr">
        <is>
          <t>GYF-005</t>
        </is>
      </c>
      <c r="G44" s="20">
        <f>IFERROR(ROUND(G26*gyf_senaryoIyi,MAX(0,MIN(gyf_yuvarMax,IFERROR(N(G12),0)))),0)</f>
        <v/>
      </c>
    </row>
    <row r="45">
      <c r="A45" s="38" t="n">
        <v>39</v>
      </c>
      <c r="B45" s="39" t="inlineStr">
        <is>
          <t>Kötümser üretim</t>
        </is>
      </c>
      <c r="C45" s="40">
        <f>IFERROR(ROUND(G26*gyf_senaryoKotu,MAX(0,MIN(gyf_yuvarMax,IFERROR(N(G12),0)))),0)</f>
        <v/>
      </c>
      <c r="D45" s="41" t="inlineStr">
        <is>
          <t>kWh</t>
        </is>
      </c>
      <c r="E45" s="6" t="inlineStr">
        <is>
          <t>Kötümser üretim</t>
        </is>
      </c>
      <c r="F45" s="42" t="inlineStr">
        <is>
          <t>GYF-005</t>
        </is>
      </c>
      <c r="G45" s="20">
        <f>IFERROR(ROUND(G26*gyf_senaryoKotu,MAX(0,MIN(gyf_yuvarMax,IFERROR(N(G12),0)))),0)</f>
        <v/>
      </c>
    </row>
    <row r="46">
      <c r="A46" s="38" t="n">
        <v>40</v>
      </c>
      <c r="B46" s="39" t="inlineStr">
        <is>
          <t>İyimser gelir</t>
        </is>
      </c>
      <c r="C46" s="46">
        <f>IFERROR(ROUND(G44*G16*G18+(G44-G44*G16)*G19,MAX(0,MIN(gyf_yuvarMax,IFERROR(N(G12),0)))),0)</f>
        <v/>
      </c>
      <c r="D46" s="41" t="inlineStr">
        <is>
          <t>TL</t>
        </is>
      </c>
      <c r="E46" s="6" t="inlineStr">
        <is>
          <t>İyimser gelir</t>
        </is>
      </c>
      <c r="F46" s="42" t="inlineStr">
        <is>
          <t>GYF-001</t>
        </is>
      </c>
      <c r="G46" s="19">
        <f>IFERROR(ROUND(G44*G16*G18+(G44-G44*G16)*G19,MAX(0,MIN(gyf_yuvarMax,IFERROR(N(G12),0)))),0)</f>
        <v/>
      </c>
    </row>
    <row r="47">
      <c r="A47" s="38" t="n">
        <v>41</v>
      </c>
      <c r="B47" s="39" t="inlineStr">
        <is>
          <t>Kötümser gelir</t>
        </is>
      </c>
      <c r="C47" s="46">
        <f>IFERROR(ROUND(G45*G16*G18*gyf_tarifeKotu+(G45-G45*G16)*G19*gyf_tarifeKotu,MAX(0,MIN(gyf_yuvarMax,IFERROR(N(G12),0)))),0)</f>
        <v/>
      </c>
      <c r="D47" s="41" t="inlineStr">
        <is>
          <t>TL</t>
        </is>
      </c>
      <c r="E47" s="6" t="inlineStr">
        <is>
          <t>Kötümser gelir</t>
        </is>
      </c>
      <c r="F47" s="42" t="inlineStr">
        <is>
          <t>GYF-002</t>
        </is>
      </c>
      <c r="G47" s="19">
        <f>IFERROR(ROUND(G45*G16*G18*gyf_tarifeKotu+(G45-G45*G16)*G19*gyf_tarifeKotu,MAX(0,MIN(gyf_yuvarMax,IFERROR(N(G12),0)))),0)</f>
        <v/>
      </c>
    </row>
    <row r="48">
      <c r="A48" s="38" t="n">
        <v>42</v>
      </c>
      <c r="B48" s="39" t="inlineStr">
        <is>
          <t>İyimser NPV</t>
        </is>
      </c>
      <c r="C48" s="46">
        <f>IFERROR(IF(G22=0,ROUND((G46-G34)*G23-G33*gyf_capexIyi,MAX(0,MIN(gyf_yuvarMax,IFERROR(N(G12),0)))),ROUND((G46-G34)*(1-POWER(1+G22,-G23))/G22-G33*gyf_capexIyi,MAX(0,MIN(gyf_yuvarMax,IFERROR(N(G12),0))))),0)</f>
        <v/>
      </c>
      <c r="D48" s="41" t="inlineStr">
        <is>
          <t>TL</t>
        </is>
      </c>
      <c r="E48" s="6" t="inlineStr">
        <is>
          <t>İyimser NPV</t>
        </is>
      </c>
      <c r="F48" s="42" t="inlineStr">
        <is>
          <t>GYF-005</t>
        </is>
      </c>
      <c r="G48" s="19">
        <f>IFERROR(IF(G22=0,ROUND((G46-G34)*G23-G33*gyf_capexIyi,MAX(0,MIN(gyf_yuvarMax,IFERROR(N(G12),0)))),ROUND((G46-G34)*(1-POWER(1+G22,-G23))/G22-G33*gyf_capexIyi,MAX(0,MIN(gyf_yuvarMax,IFERROR(N(G12),0))))),0)</f>
        <v/>
      </c>
    </row>
    <row r="49">
      <c r="A49" s="38" t="n">
        <v>43</v>
      </c>
      <c r="B49" s="39" t="inlineStr">
        <is>
          <t>Kötümser NPV</t>
        </is>
      </c>
      <c r="C49" s="46">
        <f>IFERROR(IF(G22=0,ROUND((G47-G34*gyf_opexKotu)*G23-G33*gyf_capexKotu,MAX(0,MIN(gyf_yuvarMax,IFERROR(N(G12),0)))),ROUND((G47-G34*gyf_opexKotu)*(1-POWER(1+G22,-G23))/G22-G33*gyf_capexKotu,MAX(0,MIN(gyf_yuvarMax,IFERROR(N(G12),0))))),0)</f>
        <v/>
      </c>
      <c r="D49" s="41" t="inlineStr">
        <is>
          <t>TL</t>
        </is>
      </c>
      <c r="E49" s="6" t="inlineStr">
        <is>
          <t>Kötümser NPV</t>
        </is>
      </c>
      <c r="F49" s="42" t="inlineStr">
        <is>
          <t>GYF-005</t>
        </is>
      </c>
      <c r="G49" s="19">
        <f>IFERROR(IF(G22=0,ROUND((G47-G34*gyf_opexKotu)*G23-G33*gyf_capexKotu,MAX(0,MIN(gyf_yuvarMax,IFERROR(N(G12),0)))),ROUND((G47-G34*gyf_opexKotu)*(1-POWER(1+G22,-G23))/G22-G33*gyf_capexKotu,MAX(0,MIN(gyf_yuvarMax,IFERROR(N(G12),0))))),0)</f>
        <v/>
      </c>
    </row>
    <row r="50">
      <c r="A50" s="38" t="n">
        <v>44</v>
      </c>
      <c r="B50" s="39" t="inlineStr">
        <is>
          <t>Kötümser karar</t>
        </is>
      </c>
      <c r="C50" s="37">
        <f>IFERROR(IF(COUNTA(tblGirdi[Alan Anahtarı])=0,"VERİ YOK",IF(G49&lt;0,"YATIRIM YAPMA","DİKKAT")),"")</f>
        <v/>
      </c>
      <c r="D50" s="41" t="inlineStr">
        <is>
          <t>metin</t>
        </is>
      </c>
      <c r="E50" s="6" t="inlineStr">
        <is>
          <t>Kötümser YATIRIM YAPMA yolu</t>
        </is>
      </c>
      <c r="F50" s="42" t="inlineStr">
        <is>
          <t>GYF-003</t>
        </is>
      </c>
      <c r="G50" s="47">
        <f>IFERROR(IF(COUNTA(tblGirdi[Alan Anahtarı])=0,"VERİ YOK",IF(G49&lt;0,"YATIRIM YAPMA","DİKKAT")),"")</f>
        <v/>
      </c>
    </row>
    <row r="51">
      <c r="A51" s="38" t="n">
        <v>45</v>
      </c>
      <c r="B51" s="39" t="inlineStr">
        <is>
          <t>Tornado: tarife etkisi</t>
        </is>
      </c>
      <c r="C51" s="46">
        <f>IFERROR(ABS(ROUND(G32*gyf_tornadoTarife-G32,MAX(0,MIN(gyf_yuvarMax,IFERROR(N(G12),0))))),0)</f>
        <v/>
      </c>
      <c r="D51" s="41" t="inlineStr">
        <is>
          <t>TL</t>
        </is>
      </c>
      <c r="E51" s="6" t="inlineStr">
        <is>
          <t>Tarife ± etki</t>
        </is>
      </c>
      <c r="F51" s="42" t="inlineStr">
        <is>
          <t>GYF-001</t>
        </is>
      </c>
      <c r="G51" s="19">
        <f>IFERROR(ABS(ROUND(G32*gyf_tornadoTarife-G32,MAX(0,MIN(gyf_yuvarMax,IFERROR(N(G12),0))))),0)</f>
        <v/>
      </c>
    </row>
    <row r="52">
      <c r="A52" s="38" t="n">
        <v>46</v>
      </c>
      <c r="B52" s="39" t="inlineStr">
        <is>
          <t>Tornado: üretim etkisi</t>
        </is>
      </c>
      <c r="C52" s="46">
        <f>IFERROR(ABS(ROUND(G32*gyf_tornadoUretim-G32,MAX(0,MIN(gyf_yuvarMax,IFERROR(N(G12),0))))),0)</f>
        <v/>
      </c>
      <c r="D52" s="41" t="inlineStr">
        <is>
          <t>TL</t>
        </is>
      </c>
      <c r="E52" s="6" t="inlineStr">
        <is>
          <t>Üretim ± etki</t>
        </is>
      </c>
      <c r="F52" s="42" t="inlineStr">
        <is>
          <t>GYF-005</t>
        </is>
      </c>
      <c r="G52" s="19">
        <f>IFERROR(ABS(ROUND(G32*gyf_tornadoUretim-G32,MAX(0,MIN(gyf_yuvarMax,IFERROR(N(G12),0))))),0)</f>
        <v/>
      </c>
    </row>
    <row r="53">
      <c r="A53" s="38" t="n">
        <v>47</v>
      </c>
      <c r="B53" s="39" t="inlineStr">
        <is>
          <t>Tornado: CAPEX etkisi</t>
        </is>
      </c>
      <c r="C53" s="46">
        <f>IFERROR(ABS(ROUND(G33*gyf_tornadoCapex-G33,MAX(0,MIN(gyf_yuvarMax,IFERROR(N(G12),0))))),0)</f>
        <v/>
      </c>
      <c r="D53" s="41" t="inlineStr">
        <is>
          <t>TL</t>
        </is>
      </c>
      <c r="E53" s="6" t="inlineStr">
        <is>
          <t>CAPEX ± etki</t>
        </is>
      </c>
      <c r="F53" s="42" t="inlineStr">
        <is>
          <t>GYF-005</t>
        </is>
      </c>
      <c r="G53" s="19">
        <f>IFERROR(ABS(ROUND(G33*gyf_tornadoCapex-G33,MAX(0,MIN(gyf_yuvarMax,IFERROR(N(G12),0))))),0)</f>
        <v/>
      </c>
    </row>
    <row r="54">
      <c r="A54" s="38" t="n">
        <v>48</v>
      </c>
      <c r="B54" s="39" t="inlineStr">
        <is>
          <t>Tornado: OPEX etkisi</t>
        </is>
      </c>
      <c r="C54" s="46">
        <f>IFERROR(ABS(ROUND(G34*gyf_tornadoOpex-G34,MAX(0,MIN(gyf_yuvarMax,IFERROR(N(G12),0))))),0)</f>
        <v/>
      </c>
      <c r="D54" s="41" t="inlineStr">
        <is>
          <t>TL</t>
        </is>
      </c>
      <c r="E54" s="6" t="inlineStr">
        <is>
          <t>OPEX ± etki</t>
        </is>
      </c>
      <c r="F54" s="42" t="inlineStr">
        <is>
          <t>GYF-005</t>
        </is>
      </c>
      <c r="G54" s="19">
        <f>IFERROR(ABS(ROUND(G34*gyf_tornadoOpex-G34,MAX(0,MIN(gyf_yuvarMax,IFERROR(N(G12),0))))),0)</f>
        <v/>
      </c>
    </row>
    <row r="55">
      <c r="A55" s="38" t="n">
        <v>49</v>
      </c>
      <c r="B55" s="39" t="inlineStr">
        <is>
          <t>Tornado: WACC etkisi</t>
        </is>
      </c>
      <c r="C55" s="46">
        <f>IFERROR(ABS(ROUND(G37*gyf_tornadoWacc-G37,MAX(0,MIN(gyf_yuvarMax,IFERROR(N(G12),0))))),0)</f>
        <v/>
      </c>
      <c r="D55" s="41" t="inlineStr">
        <is>
          <t>TL</t>
        </is>
      </c>
      <c r="E55" s="6" t="inlineStr">
        <is>
          <t>WACC ± etki</t>
        </is>
      </c>
      <c r="F55" s="42" t="inlineStr">
        <is>
          <t>GYF-005</t>
        </is>
      </c>
      <c r="G55" s="19">
        <f>IFERROR(ABS(ROUND(G37*gyf_tornadoWacc-G37,MAX(0,MIN(gyf_yuvarMax,IFERROR(N(G12),0))))),0)</f>
        <v/>
      </c>
    </row>
    <row r="56">
      <c r="A56" s="38" t="n">
        <v>50</v>
      </c>
      <c r="B56" s="39" t="inlineStr">
        <is>
          <t>Öz tüketim uyumu</t>
        </is>
      </c>
      <c r="C56" s="44">
        <f>IFERROR(IF(G17=0,0,G29/G17),0)</f>
        <v/>
      </c>
      <c r="D56" s="41" t="inlineStr">
        <is>
          <t>oran</t>
        </is>
      </c>
      <c r="E56" s="6" t="inlineStr">
        <is>
          <t>Eşleşme/tüketim</t>
        </is>
      </c>
      <c r="F56" s="42" t="inlineStr">
        <is>
          <t>GYF-004</t>
        </is>
      </c>
      <c r="G56" s="45">
        <f>IFERROR(IF(G17=0,0,G29/G17),0)</f>
        <v/>
      </c>
    </row>
    <row r="57">
      <c r="A57" s="38" t="n">
        <v>51</v>
      </c>
      <c r="B57" s="39" t="inlineStr">
        <is>
          <t>Madde atıf özeti</t>
        </is>
      </c>
      <c r="C57" s="37">
        <f>IFERROR(_xlfn.TEXTJOIN(" | ",TRUE,"GYF-001→perakende","GYF-002→satış","GYF-003→geri ödeme","GYF-004→öz tüketim"),"")</f>
        <v/>
      </c>
      <c r="D57" s="41" t="inlineStr">
        <is>
          <t>metin</t>
        </is>
      </c>
      <c r="E57" s="6" t="inlineStr">
        <is>
          <t>Kanıt atıfları</t>
        </is>
      </c>
      <c r="F57" s="42" t="inlineStr">
        <is>
          <t>GYF-001</t>
        </is>
      </c>
      <c r="G57" s="47">
        <f>IFERROR(_xlfn.TEXTJOIN(" | ",TRUE,"GYF-001→perakende","GYF-002→satış","GYF-003→geri ödeme","GYF-004→öz tüketim"),"")</f>
        <v/>
      </c>
    </row>
    <row r="58">
      <c r="A58" s="38" t="n">
        <v>52</v>
      </c>
      <c r="B58" s="39" t="inlineStr">
        <is>
          <t>Kanıt satır özeti</t>
        </is>
      </c>
      <c r="C58" s="37">
        <f>IFERROR(_xlfn.TEXTJOIN(" · ",TRUE,"CAPEX=",TEXT(G33,"₺ #,##0"),"NPV=",TEXT(G37,"₺ #,##0"),"IRR=",TEXT(G38,"0.0%"),"Karar=",G40),"")</f>
        <v/>
      </c>
      <c r="D58" s="41" t="inlineStr">
        <is>
          <t>metin</t>
        </is>
      </c>
      <c r="E58" s="6" t="inlineStr">
        <is>
          <t>Rapor özeti</t>
        </is>
      </c>
      <c r="F58" s="42" t="inlineStr">
        <is>
          <t>GYF-005</t>
        </is>
      </c>
      <c r="G58" s="47">
        <f>IFERROR(_xlfn.TEXTJOIN(" · ",TRUE,"CAPEX=",TEXT(G33,"₺ #,##0"),"NPV=",TEXT(G37,"₺ #,##0"),"IRR=",TEXT(G38,"0.0%"),"Karar=",G40),"")</f>
        <v/>
      </c>
    </row>
    <row r="59">
      <c r="A59" s="38" t="n">
        <v>53</v>
      </c>
      <c r="B59" s="39" t="inlineStr">
        <is>
          <t>Yıllık gelir (pano)</t>
        </is>
      </c>
      <c r="C59" s="46">
        <f>IFERROR(G32,0)</f>
        <v/>
      </c>
      <c r="D59" s="41" t="inlineStr">
        <is>
          <t>TL</t>
        </is>
      </c>
      <c r="E59" s="6" t="inlineStr">
        <is>
          <t>Gelir ayna</t>
        </is>
      </c>
      <c r="F59" s="42" t="inlineStr">
        <is>
          <t>GYF-001</t>
        </is>
      </c>
      <c r="G59" s="19">
        <f>IFERROR(G32,0)</f>
        <v/>
      </c>
    </row>
    <row r="60">
      <c r="A60" s="38" t="n">
        <v>54</v>
      </c>
      <c r="B60" s="39" t="inlineStr">
        <is>
          <t>CAPEX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CAPEX ayna</t>
        </is>
      </c>
      <c r="F60" s="42" t="inlineStr">
        <is>
          <t>GYF-005</t>
        </is>
      </c>
      <c r="G60" s="19">
        <f>IFERROR(G33,0)</f>
        <v/>
      </c>
    </row>
    <row r="61">
      <c r="A61" s="38" t="n">
        <v>55</v>
      </c>
      <c r="B61" s="39" t="inlineStr">
        <is>
          <t>OPEX (pano)</t>
        </is>
      </c>
      <c r="C61" s="46">
        <f>IFERROR(G34,0)</f>
        <v/>
      </c>
      <c r="D61" s="41" t="inlineStr">
        <is>
          <t>TL</t>
        </is>
      </c>
      <c r="E61" s="6" t="inlineStr">
        <is>
          <t>OPEX ayna</t>
        </is>
      </c>
      <c r="F61" s="42" t="inlineStr">
        <is>
          <t>GYF-005</t>
        </is>
      </c>
      <c r="G61" s="19">
        <f>IFERROR(G34,0)</f>
        <v/>
      </c>
    </row>
    <row r="62">
      <c r="A62" s="38" t="n">
        <v>56</v>
      </c>
      <c r="B62" s="39" t="inlineStr">
        <is>
          <t>NPV (pano)</t>
        </is>
      </c>
      <c r="C62" s="46">
        <f>IFERROR(G37,0)</f>
        <v/>
      </c>
      <c r="D62" s="41" t="inlineStr">
        <is>
          <t>TL</t>
        </is>
      </c>
      <c r="E62" s="6" t="inlineStr">
        <is>
          <t>NPV ayna</t>
        </is>
      </c>
      <c r="F62" s="42" t="inlineStr">
        <is>
          <t>GYF-005</t>
        </is>
      </c>
      <c r="G62" s="19">
        <f>IFERROR(G37,0)</f>
        <v/>
      </c>
    </row>
    <row r="63">
      <c r="A63" s="38" t="n">
        <v>57</v>
      </c>
      <c r="B63" s="39" t="inlineStr">
        <is>
          <t>IRR (pano)</t>
        </is>
      </c>
      <c r="C63" s="44">
        <f>IFERROR(G38,0)</f>
        <v/>
      </c>
      <c r="D63" s="41" t="inlineStr">
        <is>
          <t>oran</t>
        </is>
      </c>
      <c r="E63" s="6" t="inlineStr">
        <is>
          <t>IRR ayna</t>
        </is>
      </c>
      <c r="F63" s="42" t="inlineStr">
        <is>
          <t>GYF-005</t>
        </is>
      </c>
      <c r="G63" s="45">
        <f>IFERROR(G38,0)</f>
        <v/>
      </c>
    </row>
    <row r="64">
      <c r="A64" s="38" t="n">
        <v>58</v>
      </c>
      <c r="B64" s="39" t="inlineStr">
        <is>
          <t>Tüketim eşleşme (pano)</t>
        </is>
      </c>
      <c r="C64" s="40">
        <f>IFERROR(G29,0)</f>
        <v/>
      </c>
      <c r="D64" s="41" t="inlineStr">
        <is>
          <t>kWh</t>
        </is>
      </c>
      <c r="E64" s="6" t="inlineStr">
        <is>
          <t>Eşleşme ayna</t>
        </is>
      </c>
      <c r="F64" s="42" t="inlineStr">
        <is>
          <t>GYF-004</t>
        </is>
      </c>
      <c r="G64" s="2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F7="GYF-001"</formula>
    </cfRule>
    <cfRule type="expression" priority="3" dxfId="0">
      <formula>F7="GYF-003"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GES Yatırım Fizibilite Simülatörü</t>
        </is>
      </c>
    </row>
    <row r="3">
      <c r="A3" s="30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IFERROR(gyf_capexToplam*B6,0)</f>
        <v/>
      </c>
      <c r="D6" s="45">
        <f>IFERROR(GIRDI!B22*gyf_sifirCarpan,0)</f>
        <v/>
      </c>
      <c r="E6" s="19">
        <f>IFERROR(MOTOR!G37,0)</f>
        <v/>
      </c>
    </row>
    <row r="7">
      <c r="A7" s="49" t="inlineStr">
        <is>
          <t>KREDI</t>
        </is>
      </c>
      <c r="B7" s="45">
        <f>gyf_bazCarpan-GIRDI!B22</f>
        <v/>
      </c>
      <c r="C7" s="19">
        <f>IFERROR(gyf_capexToplam*B7,0)</f>
        <v/>
      </c>
      <c r="D7" s="45">
        <f>GIRDI!B21</f>
        <v/>
      </c>
      <c r="E7" s="19">
        <f>IFERROR(MOTOR!G37-C7*D7*GIRDI!B20,0)</f>
        <v/>
      </c>
    </row>
    <row r="9">
      <c r="A9" s="10" t="inlineStr">
        <is>
          <t>CAPEX / YATIRIM toplam</t>
        </is>
      </c>
      <c r="B9" s="19">
        <f>IFERROR(gyf_capexToplam,0)</f>
        <v/>
      </c>
    </row>
    <row r="10">
      <c r="A10" s="10" t="inlineStr">
        <is>
          <t>OPEX / ISLETME yıllık</t>
        </is>
      </c>
      <c r="B10" s="19">
        <f>IFERROR(gyf_opexYillik,0)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1:H11"/>
    <mergeCell ref="A1:AD1"/>
    <mergeCell ref="A3:E3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GES Yatırım Fizibilite Simülatörü</t>
        </is>
      </c>
    </row>
    <row r="3">
      <c r="A3" s="9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IFERROR(gyf_senaryoIyi+N(GIRDI!B10)*gyf_sifirCarpan,0)</f>
        <v/>
      </c>
      <c r="C6" s="19">
        <f>IFERROR(MOTOR!G46,0)</f>
        <v/>
      </c>
      <c r="D6" s="19">
        <f>IFERROR(MOTOR!G48,0)</f>
        <v/>
      </c>
      <c r="E6" s="47">
        <f>IF(COUNTA(tblGirdi[Alan Anahtarı])=0,"VERİ YOK",IF(D6&lt;0,"YATIRIM YAPMA","YATIRIM YAPILIR"))</f>
        <v/>
      </c>
      <c r="G6" s="52" t="n">
        <v>1800000</v>
      </c>
    </row>
    <row r="7">
      <c r="A7" s="7" t="inlineStr">
        <is>
          <t>Baz</t>
        </is>
      </c>
      <c r="B7" s="45">
        <f>IFERROR(gyf_bazCarpan+N(GIRDI!B10)*gyf_sifirCarpan,1)</f>
        <v/>
      </c>
      <c r="C7" s="19">
        <f>IFERROR(gyf_yillikGelir,0)</f>
        <v/>
      </c>
      <c r="D7" s="19">
        <f>IFERROR(gyf_npv,0)</f>
        <v/>
      </c>
      <c r="E7" s="47">
        <f>IF(COUNTA(tblGirdi[Alan Anahtarı])=0,"VERİ YOK",IFERROR(gyf_kararMetni,"-"))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IFERROR(gyf_senaryoKotu+N(GIRDI!B10)*gyf_sifirCarpan,0)</f>
        <v/>
      </c>
      <c r="C8" s="19">
        <f>IFERROR(MOTOR!G47,0)</f>
        <v/>
      </c>
      <c r="D8" s="19">
        <f>IFERROR(MOTOR!G49,0)</f>
        <v/>
      </c>
      <c r="E8" s="47">
        <f>IF(COUNTA(tblGirdi[Alan Anahtarı])=0,"VERİ YOK",IFERROR(MOTOR!G50,"YATIRIM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tarife etkisi</t>
        </is>
      </c>
      <c r="B15" s="19">
        <f>IFERROR(MOTOR!G51,0)</f>
        <v/>
      </c>
      <c r="C15" s="20">
        <f>IFERROR(IF(B15&gt;=MAX(B15:B19),gyf_siraBir,IF(B15=LARGE(B15:B19,2),gyf_siraIki,IF(B15=LARGE(B15:B19,3),gyf_siraUc,4))),4)</f>
        <v/>
      </c>
      <c r="E15" s="52" t="n">
        <v>220000</v>
      </c>
    </row>
    <row r="16">
      <c r="A16" s="7" t="inlineStr">
        <is>
          <t>Tornado üretim etkisi</t>
        </is>
      </c>
      <c r="B16" s="19">
        <f>IFERROR(MOTOR!G52,0)</f>
        <v/>
      </c>
      <c r="C16" s="20">
        <f>IFERROR(IF(B16&gt;=MAX(B15:B19),gyf_siraBir,IF(B16=LARGE(B15:B19,2),gyf_siraIki,IF(B16=LARGE(B15:B19,3),gyf_siraUc,4))),4)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IFERROR(MOTOR!G53,0)</f>
        <v/>
      </c>
      <c r="C17" s="20">
        <f>IFERROR(IF(B17&gt;=MAX(B15:B19),gyf_siraBir,IF(B17=LARGE(B15:B19,2),gyf_siraIki,IF(B17=LARGE(B15:B19,3),gyf_siraUc,4))),4)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IFERROR(MOTOR!G54,0)</f>
        <v/>
      </c>
      <c r="C18" s="20">
        <f>IFERROR(IF(B18&gt;=MAX(B15:B19),gyf_siraBir,IF(B18=LARGE(B15:B19,2),gyf_siraIki,IF(B18=LARGE(B15:B19,3),gyf_siraUc,4))),4)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IFERROR(MOTOR!G55,0)</f>
        <v/>
      </c>
      <c r="C19" s="20">
        <f>IFERROR(IF(B19&gt;=MAX(B15:B19),gyf_siraBir,IF(B19=LARGE(B15:B19,2),gyf_siraIki,IF(B19=LARGE(B15:B19,3),gyf_siraUc,4))),4)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IFERROR(CONCATENATE("1)",INDEX(A15:A19,MATCH(gyf_siraBir,C15:C19,0))," 2)",INDEX(A15:A19,MATCH(gyf_siraIki,C15:C19,0))),"-")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IFERROR(gyf_npv*gyf_tahminAlt,0)</f>
        <v/>
      </c>
      <c r="C24" s="19">
        <f>IFERROR(gyf_npv,0)</f>
        <v/>
      </c>
      <c r="D24" s="19">
        <f>IFERROR(gyf_npv*gyf_tahminUst,0)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IFERROR(PERCENTILE(B28:B31,gyf_yuzdelikOran),0)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KARAR — GES Yatırım Fizibilite Simülatörü</t>
        </is>
      </c>
    </row>
    <row r="3">
      <c r="A3" s="54" t="inlineStr">
        <is>
          <t>Yatırım kararı</t>
        </is>
      </c>
    </row>
    <row r="5">
      <c r="A5" s="10" t="inlineStr">
        <is>
          <t>Karar</t>
        </is>
      </c>
      <c r="B5" s="59">
        <f>gyf_kararMetni</f>
        <v/>
      </c>
    </row>
    <row r="6">
      <c r="A6" s="10" t="inlineStr">
        <is>
          <t>Gerekçe</t>
        </is>
      </c>
      <c r="B6" s="37">
        <f>gyf_kararGerekce</f>
        <v/>
      </c>
    </row>
    <row r="8">
      <c r="A8" s="10" t="inlineStr">
        <is>
          <t>NPV (baz)</t>
        </is>
      </c>
      <c r="B8" s="18">
        <f>IFERROR(gyf_npv,0)</f>
        <v/>
      </c>
    </row>
    <row r="9">
      <c r="A9" s="10" t="inlineStr">
        <is>
          <t>IRR</t>
        </is>
      </c>
      <c r="B9" s="45">
        <f>IFERROR(gyf_irr,0)</f>
        <v/>
      </c>
    </row>
    <row r="10">
      <c r="A10" s="10" t="inlineStr">
        <is>
          <t>İyimser NPV</t>
        </is>
      </c>
      <c r="B10" s="19">
        <f>IFERROR(MOTOR!G48,0)</f>
        <v/>
      </c>
    </row>
    <row r="11">
      <c r="A11" s="10" t="inlineStr">
        <is>
          <t>Kötümser karar</t>
        </is>
      </c>
      <c r="B11" s="60">
        <f>IFERROR(MOTOR!G50,"YATIRIM YAPMA")</f>
        <v/>
      </c>
    </row>
    <row r="12">
      <c r="A12" s="10" t="inlineStr">
        <is>
          <t>Kötümser NPV</t>
        </is>
      </c>
      <c r="B12" s="19">
        <f>IFERROR(MOTOR!G49,0)</f>
        <v/>
      </c>
    </row>
    <row r="14">
      <c r="A14" s="10" t="inlineStr">
        <is>
          <t>Finansman</t>
        </is>
      </c>
      <c r="B14" s="37">
        <f>IFERROR(gyf_finansmanKarsilastirma,"-")</f>
        <v/>
      </c>
    </row>
    <row r="16">
      <c r="A16" s="10" t="inlineStr">
        <is>
          <t>Aksiyon 1</t>
        </is>
      </c>
      <c r="B16" s="37">
        <f>_xlfn.TEXTJOIN(" ",TRUE,"Tarife duyarlılığını kontrol edin; etki ",TEXT(IFERROR(MOTOR!G51,0),"₺ #,##0"))</f>
        <v/>
      </c>
    </row>
    <row r="17">
      <c r="A17" s="10" t="inlineStr">
        <is>
          <t>Aksiyon 2</t>
        </is>
      </c>
      <c r="B17" s="37">
        <f>_xlfn.TEXTJOIN(" ",TRUE,"Öz tüketim oranını gözden geçirin; eşleşme ",TEXT(IFERROR(gyf_tuketimEslesme,0),"#,##0")," kWh")</f>
        <v/>
      </c>
    </row>
    <row r="18">
      <c r="A18" s="10" t="inlineStr">
        <is>
          <t>Aksiyon 3</t>
        </is>
      </c>
      <c r="B18" s="37">
        <f>_xlfn.TEXTJOIN(" ",TRUE,"OZ_KAYNAK vs KREDI karşılaştırmasını FINANSMAN sayfasında inceleyin")</f>
        <v/>
      </c>
    </row>
    <row r="20">
      <c r="A20" s="50" t="inlineStr">
        <is>
          <t>KararDemo</t>
        </is>
      </c>
    </row>
    <row r="21">
      <c r="A21" s="51" t="inlineStr">
        <is>
          <t>İyimser</t>
        </is>
      </c>
      <c r="B21" s="52" t="n">
        <v>1800000</v>
      </c>
    </row>
    <row r="22">
      <c r="A22" s="51" t="inlineStr">
        <is>
          <t>Baz</t>
        </is>
      </c>
      <c r="B22" s="52" t="n">
        <v>850000</v>
      </c>
    </row>
    <row r="23">
      <c r="A23" s="51" t="inlineStr">
        <is>
          <t>Kötümser</t>
        </is>
      </c>
      <c r="B23" s="52" t="n">
        <v>-180000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B14:H14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KARAR&amp;CExcelArşiv&amp;RSayfa &amp;P / &amp;N</oddFooter>
    <evenHeader/>
    <evenFooter>&amp;LGES Yatırım Fizibilite Simülatörü · KARAR&amp;CExcelArşiv&amp;RSayfa &amp;P / &amp;N</evenFooter>
    <firstHeader/>
    <firstFooter/>
  </headerFooter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4" customWidth="1" min="4" max="4"/>
    <col width="14" customWidth="1" min="5" max="5"/>
    <col width="12" customWidth="1" min="6" max="6"/>
    <col width="12" customWidth="1" min="7" max="7"/>
    <col width="10" customWidth="1" min="8" max="8"/>
  </cols>
  <sheetData>
    <row r="1" ht="26" customHeight="1">
      <c r="A1" s="1" t="inlineStr">
        <is>
          <t>VAKALAR — GES Yatırım Fizibilite Simülatörü</t>
        </is>
      </c>
    </row>
    <row r="3">
      <c r="A3" s="30" t="inlineStr">
        <is>
          <t>Altın vakalar — beklenen vs hesaplanan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V1</t>
        </is>
      </c>
      <c r="B6" s="7" t="inlineStr">
        <is>
          <t>Demo çatı baz CAPEX</t>
        </is>
      </c>
      <c r="C6" s="7" t="inlineStr">
        <is>
          <t>100kWp×12000</t>
        </is>
      </c>
      <c r="D6" s="61" t="n">
        <v>1200000</v>
      </c>
      <c r="E6" s="19">
        <f>IFERROR(gyf_capexToplam,0)</f>
        <v/>
      </c>
      <c r="F6" s="19">
        <f>E6-D6</f>
        <v/>
      </c>
      <c r="G6" s="47">
        <f>IF(ABS(F6)&lt;=gyf_tolerans,"TUTARLI","KIRIK")</f>
        <v/>
      </c>
      <c r="H6" s="7" t="inlineStr">
        <is>
          <t>Demo</t>
        </is>
      </c>
    </row>
    <row r="7">
      <c r="A7" s="7" t="inlineStr">
        <is>
          <t>V2</t>
        </is>
      </c>
      <c r="B7" s="7" t="inlineStr">
        <is>
          <t>Demo yıllık üretim</t>
        </is>
      </c>
      <c r="C7" s="7" t="inlineStr">
        <is>
          <t>100×1400</t>
        </is>
      </c>
      <c r="D7" s="62" t="n">
        <v>140000</v>
      </c>
      <c r="E7" s="20">
        <f>IFERROR(MOTOR!G26,0)</f>
        <v/>
      </c>
      <c r="F7" s="20">
        <f>E7-D7</f>
        <v/>
      </c>
      <c r="G7" s="47">
        <f>IF(ABS(F7)&lt;=gyf_tolerans,"TUTARLI","KIRIK")</f>
        <v/>
      </c>
      <c r="H7" s="7" t="inlineStr">
        <is>
          <t>Demo</t>
        </is>
      </c>
    </row>
    <row r="8">
      <c r="A8" s="7" t="inlineStr">
        <is>
          <t>V3</t>
        </is>
      </c>
      <c r="B8" s="7" t="inlineStr">
        <is>
          <t>Öz tüketim kWh</t>
        </is>
      </c>
      <c r="C8" s="7" t="inlineStr">
        <is>
          <t>140000×0.7</t>
        </is>
      </c>
      <c r="D8" s="62" t="n">
        <v>98000</v>
      </c>
      <c r="E8" s="20">
        <f>IFERROR(MOTOR!G27,0)</f>
        <v/>
      </c>
      <c r="F8" s="20">
        <f>E8-D8</f>
        <v/>
      </c>
      <c r="G8" s="47">
        <f>IF(ABS(F8)&lt;=gyf_tolerans,"TUTARLI","KIRIK")</f>
        <v/>
      </c>
      <c r="H8" s="7" t="inlineStr">
        <is>
          <t>Demo</t>
        </is>
      </c>
    </row>
    <row r="9">
      <c r="A9" s="7" t="inlineStr">
        <is>
          <t>V4</t>
        </is>
      </c>
      <c r="B9" s="7" t="inlineStr">
        <is>
          <t>Kötümser karar yolu</t>
        </is>
      </c>
      <c r="C9" s="7" t="inlineStr">
        <is>
          <t>NPV&lt;0 → YAPMA</t>
        </is>
      </c>
      <c r="D9" s="62" t="n">
        <v>1</v>
      </c>
      <c r="E9" s="20">
        <f>IF(ISNUMBER(SEARCH("YAPMA",IFERROR(MOTOR!G50,""))),1,0)</f>
        <v/>
      </c>
      <c r="F9" s="20">
        <f>E9-D9</f>
        <v/>
      </c>
      <c r="G9" s="47">
        <f>IF(E9=1,"TUTARLI","KIRIK")</f>
        <v/>
      </c>
      <c r="H9" s="7" t="inlineStr">
        <is>
          <t>F05</t>
        </is>
      </c>
    </row>
    <row r="12">
      <c r="A12" s="10" t="inlineStr">
        <is>
          <t>Vaka durum özeti</t>
        </is>
      </c>
      <c r="B12" s="47">
        <f>IFERROR(_xlfn.TEXTJOIN(" | ",TRUE,G6,G7,G8,G9),"-")</f>
        <v/>
      </c>
    </row>
    <row r="13">
      <c r="A13" s="10" t="inlineStr">
        <is>
          <t>Vaka fark toplamı</t>
        </is>
      </c>
      <c r="B13" s="20">
        <f>IFERROR(SUM(F6:F9),0)</f>
        <v/>
      </c>
    </row>
    <row r="15">
      <c r="A15" s="50" t="inlineStr">
        <is>
          <t>VakaDemo</t>
        </is>
      </c>
    </row>
    <row r="16">
      <c r="A16" s="51" t="inlineStr">
        <is>
          <t>V1</t>
        </is>
      </c>
      <c r="B16" s="52" t="n">
        <v>1200000</v>
      </c>
    </row>
    <row r="17">
      <c r="A17" s="51" t="inlineStr">
        <is>
          <t>V2</t>
        </is>
      </c>
      <c r="B17" s="63" t="n">
        <v>140000</v>
      </c>
    </row>
    <row r="18">
      <c r="A18" s="51" t="inlineStr">
        <is>
          <t>V3</t>
        </is>
      </c>
      <c r="B18" s="63" t="n">
        <v>98000</v>
      </c>
    </row>
    <row r="19">
      <c r="A19" s="51" t="inlineStr">
        <is>
          <t>V4</t>
        </is>
      </c>
      <c r="B19" s="6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</cols>
  <sheetData>
    <row r="1" ht="26" customHeight="1">
      <c r="A1" s="1" t="inlineStr">
        <is>
          <t>KANIT RAPORU — GES Yatırım Fizibilite Simülatörü</t>
        </is>
      </c>
    </row>
    <row r="3">
      <c r="A3" s="5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Kurulu güç [kWp]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IFERROR(gyf_capexToplam,0)</f>
        <v/>
      </c>
    </row>
    <row r="11">
      <c r="A11" s="10" t="inlineStr">
        <is>
          <t>OPEX / ISLETME</t>
        </is>
      </c>
      <c r="B11" s="19">
        <f>IFERROR(gyf_opexYillik,0)</f>
        <v/>
      </c>
    </row>
    <row r="12">
      <c r="A12" s="10" t="inlineStr">
        <is>
          <t>Yıllık gelir</t>
        </is>
      </c>
      <c r="B12" s="19">
        <f>IFERROR(gyf_yillikGelir,0)</f>
        <v/>
      </c>
    </row>
    <row r="13">
      <c r="A13" s="10" t="inlineStr">
        <is>
          <t>Tüketim eşleşme</t>
        </is>
      </c>
      <c r="B13" s="20">
        <f>IFERROR(gyf_tuketimEslesme,0)</f>
        <v/>
      </c>
    </row>
    <row r="15">
      <c r="A15" s="10" t="inlineStr">
        <is>
          <t>NPV baz</t>
        </is>
      </c>
      <c r="B15" s="19">
        <f>IFERROR(gyf_npv,0)</f>
        <v/>
      </c>
    </row>
    <row r="16">
      <c r="A16" s="10" t="inlineStr">
        <is>
          <t>IRR</t>
        </is>
      </c>
      <c r="B16" s="45">
        <f>IFERROR(gyf_irr,0)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IFERROR(gyf_finansmanKarsilastirma,"-")</f>
        <v/>
      </c>
    </row>
    <row r="20">
      <c r="A20" s="10" t="inlineStr">
        <is>
          <t>Karar</t>
        </is>
      </c>
      <c r="B20" s="58">
        <f>gyf_kararMetni</f>
        <v/>
      </c>
    </row>
    <row r="21">
      <c r="A21" s="10" t="inlineStr">
        <is>
          <t>Kanıt özeti</t>
        </is>
      </c>
      <c r="B21" s="37">
        <f>IFERROR(gyf_kanitRaporu,"-")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GYF-PRO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KANIT&amp;CExcelArşiv&amp;RSayfa &amp;P / &amp;N</oddFooter>
    <evenHeader/>
    <evenFooter>&amp;LGES Yatırım Fizibilite Simülatörü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 ht="26" customHeight="1">
      <c r="A1" s="1" t="inlineStr">
        <is>
          <t>KONTROLLER — GES Yatırım Fizibilite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IF(IFERROR(gyf_capexToplam,0)&gt;0,"TEMİZ","NEGATİF")</f>
        <v/>
      </c>
    </row>
    <row r="7">
      <c r="A7" s="7" t="inlineStr">
        <is>
          <t>OPEX ayrık mı</t>
        </is>
      </c>
      <c r="B7" s="47">
        <f>IF(AND(IFERROR(gyf_capexToplam,0)&gt;0,IFERROR(gyf_opexYillik,0)&gt;=0),"TEMİZ","EKSİK")</f>
        <v/>
      </c>
    </row>
    <row r="8">
      <c r="A8" s="7" t="inlineStr">
        <is>
          <t>NPV hesaplı mı</t>
        </is>
      </c>
      <c r="B8" s="47">
        <f>IF(ISNUMBER(gyf_npv),"TEMİZ","HATALI")</f>
        <v/>
      </c>
    </row>
    <row r="9">
      <c r="A9" s="7" t="inlineStr">
        <is>
          <t>Kötümser YAPMA yolu</t>
        </is>
      </c>
      <c r="B9" s="47">
        <f>IF(ISNUMBER(SEARCH("YAPMA",IFERROR(MOTOR!G50,""))),"TEMİZ","EKSİK")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GES Yatırım Fizibilite Simülatörü</t>
        </is>
      </c>
    </row>
    <row r="3">
      <c r="A3" s="9" t="inlineStr">
        <is>
          <t>Örnek senaryolar (CSV ile uyumlu)</t>
        </is>
      </c>
    </row>
    <row r="5" ht="30" customHeight="1">
      <c r="A5" s="21" t="inlineStr">
        <is>
          <t>Senaryo</t>
        </is>
      </c>
      <c r="B5" s="21" t="inlineStr">
        <is>
          <t>Proje_tipi</t>
        </is>
      </c>
      <c r="C5" s="21" t="inlineStr">
        <is>
          <t>Kurulu_guc_kWp</t>
        </is>
      </c>
      <c r="D5" s="21" t="inlineStr">
        <is>
          <t>Spesifik_uretim</t>
        </is>
      </c>
      <c r="E5" s="21" t="inlineStr">
        <is>
          <t>Oz_tuketim</t>
        </is>
      </c>
      <c r="F5" s="21" t="inlineStr">
        <is>
          <t>Perakende_tarife</t>
        </is>
      </c>
      <c r="G5" s="21" t="inlineStr">
        <is>
          <t>Satis_tarife</t>
        </is>
      </c>
      <c r="H5" s="21" t="inlineStr">
        <is>
          <t>Capex_birim</t>
        </is>
      </c>
      <c r="I5" s="21" t="inlineStr">
        <is>
          <t>Opex_oran</t>
        </is>
      </c>
      <c r="J5" s="21" t="inlineStr">
        <is>
          <t>WACC</t>
        </is>
      </c>
      <c r="K5" s="21" t="inlineStr">
        <is>
          <t>Yil</t>
        </is>
      </c>
      <c r="L5" s="21" t="inlineStr">
        <is>
          <t>Durum</t>
        </is>
      </c>
    </row>
    <row r="6">
      <c r="A6" s="31" t="inlineStr">
        <is>
          <t>Demo cati</t>
        </is>
      </c>
      <c r="B6" s="31" t="inlineStr">
        <is>
          <t>CATI</t>
        </is>
      </c>
      <c r="C6" s="33" t="n">
        <v>100</v>
      </c>
      <c r="D6" s="33" t="n">
        <v>1400</v>
      </c>
      <c r="E6" s="34" t="n">
        <v>0.7</v>
      </c>
      <c r="F6" s="32" t="n">
        <v>3.5</v>
      </c>
      <c r="G6" s="32" t="n">
        <v>1.2</v>
      </c>
      <c r="H6" s="66" t="n">
        <v>12000</v>
      </c>
      <c r="I6" s="34" t="n">
        <v>0.015</v>
      </c>
      <c r="J6" s="34" t="n">
        <v>0.18</v>
      </c>
      <c r="K6" s="33" t="n">
        <v>2026</v>
      </c>
      <c r="L6" s="23">
        <f>IF($A6="","",IF($C6="","EKSİK","TAM"))</f>
        <v/>
      </c>
    </row>
    <row r="7">
      <c r="A7" s="31" t="inlineStr">
        <is>
          <t>Yuksek uretim</t>
        </is>
      </c>
      <c r="B7" s="31" t="inlineStr">
        <is>
          <t>CATI</t>
        </is>
      </c>
      <c r="C7" s="33" t="n">
        <v>100</v>
      </c>
      <c r="D7" s="33" t="n">
        <v>1600</v>
      </c>
      <c r="E7" s="34" t="n">
        <v>0.75</v>
      </c>
      <c r="F7" s="32" t="n">
        <v>3.8</v>
      </c>
      <c r="G7" s="32" t="n">
        <v>1.4</v>
      </c>
      <c r="H7" s="66" t="n">
        <v>11000</v>
      </c>
      <c r="I7" s="34" t="n">
        <v>0.012</v>
      </c>
      <c r="J7" s="34" t="n">
        <v>0.16</v>
      </c>
      <c r="K7" s="33" t="n">
        <v>2026</v>
      </c>
      <c r="L7" s="23">
        <f>IF($A7="","",IF($C7="","EKSİK","TAM"))</f>
        <v/>
      </c>
    </row>
    <row r="8">
      <c r="A8" s="31" t="inlineStr">
        <is>
          <t>Kotumser saha</t>
        </is>
      </c>
      <c r="B8" s="31" t="inlineStr">
        <is>
          <t>SAHA</t>
        </is>
      </c>
      <c r="C8" s="33" t="n">
        <v>250</v>
      </c>
      <c r="D8" s="33" t="n">
        <v>1200</v>
      </c>
      <c r="E8" s="34" t="n">
        <v>0.4</v>
      </c>
      <c r="F8" s="32" t="n">
        <v>3.2</v>
      </c>
      <c r="G8" s="32" t="n">
        <v>1</v>
      </c>
      <c r="H8" s="66" t="n">
        <v>14000</v>
      </c>
      <c r="I8" s="34" t="n">
        <v>0.02</v>
      </c>
      <c r="J8" s="34" t="n">
        <v>0.2</v>
      </c>
      <c r="K8" s="33" t="n">
        <v>2026</v>
      </c>
      <c r="L8" s="23">
        <f>IF($A8="","",IF($C8="","EKSİK","TAM"))</f>
        <v/>
      </c>
    </row>
    <row r="9">
      <c r="A9" s="31" t="inlineStr">
        <is>
          <t>2025 gecis</t>
        </is>
      </c>
      <c r="B9" s="31" t="inlineStr">
        <is>
          <t>CATI</t>
        </is>
      </c>
      <c r="C9" s="33" t="n">
        <v>80</v>
      </c>
      <c r="D9" s="33" t="n">
        <v>1350</v>
      </c>
      <c r="E9" s="34" t="n">
        <v>0.65</v>
      </c>
      <c r="F9" s="32" t="n">
        <v>3</v>
      </c>
      <c r="G9" s="32" t="n">
        <v>1.1</v>
      </c>
      <c r="H9" s="66" t="n">
        <v>12500</v>
      </c>
      <c r="I9" s="34" t="n">
        <v>0.016</v>
      </c>
      <c r="J9" s="34" t="n">
        <v>0.18</v>
      </c>
      <c r="K9" s="33" t="n">
        <v>2025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OrnekCapexDemo</t>
        </is>
      </c>
      <c r="L22" s="23">
        <f>IF($A22="","",IF($C22="","EKSİK","TAM"))</f>
        <v/>
      </c>
    </row>
    <row r="23">
      <c r="A23" s="51" t="inlineStr">
        <is>
          <t>Demo cati</t>
        </is>
      </c>
      <c r="B23" s="52" t="n">
        <v>1200000</v>
      </c>
      <c r="L23" s="23">
        <f>IF($A23="","",IF($C23="","EKSİK","TAM"))</f>
        <v/>
      </c>
    </row>
    <row r="24">
      <c r="A24" s="51" t="inlineStr">
        <is>
          <t>Yuksek uretim</t>
        </is>
      </c>
      <c r="B24" s="52" t="n">
        <v>1100000</v>
      </c>
      <c r="L24" s="23">
        <f>IF($A24="","",IF($C24="","EKSİK","TAM"))</f>
        <v/>
      </c>
    </row>
    <row r="25">
      <c r="A25" s="51" t="inlineStr">
        <is>
          <t>Kotumser saha</t>
        </is>
      </c>
      <c r="B25" s="52" t="n">
        <v>3500000</v>
      </c>
      <c r="L25" s="23">
        <f>IF($A25="","",IF($C25="","EKSİK","TAM"))</f>
        <v/>
      </c>
    </row>
    <row r="26">
      <c r="A26" s="51" t="inlineStr">
        <is>
          <t>2025 gecis</t>
        </is>
      </c>
      <c r="B26" s="52" t="n">
        <v>1000000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GES Yatırım Fizibilite Simülatörü</t>
        </is>
      </c>
    </row>
    <row r="3">
      <c r="A3" s="10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ProjeTipi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CATI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SAHA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48" customWidth="1" min="10" max="10"/>
  </cols>
  <sheetData>
    <row r="1" ht="26" customHeight="1">
      <c r="A1" s="1" t="inlineStr">
        <is>
          <t>AYARLAR — GES Yatırım Fizibilite Simülatörü</t>
        </is>
      </c>
    </row>
    <row r="3">
      <c r="A3" s="9" t="inlineStr">
        <is>
          <t>Parametreler (tek kaynak) — tarife/teşvik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gyf_tolerans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gyf_azamiEsik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gyf_senaryoIyi</t>
        </is>
      </c>
      <c r="B10" s="34" t="n">
        <v>1.12</v>
      </c>
      <c r="C10" s="7" t="inlineStr">
        <is>
          <t>çarpan</t>
        </is>
      </c>
      <c r="D10" s="7" t="inlineStr">
        <is>
          <t>İyimser üretim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gyf_senaryoKotu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üretim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gyf_tarifeKotu</t>
        </is>
      </c>
      <c r="B12" s="34" t="n">
        <v>0.85</v>
      </c>
      <c r="C12" s="7" t="inlineStr">
        <is>
          <t>çarpan</t>
        </is>
      </c>
      <c r="D12" s="7" t="inlineStr">
        <is>
          <t>Kötümser tarife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gyf_capexIyi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gyf_capexKotu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gyf_opexKotu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gyf_tahminAlt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gyf_tahminUst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gyf_tornadoTarife</t>
        </is>
      </c>
      <c r="B18" s="34" t="n">
        <v>1.1</v>
      </c>
      <c r="C18" s="7" t="inlineStr">
        <is>
          <t>çarpan</t>
        </is>
      </c>
      <c r="D18" s="7" t="inlineStr">
        <is>
          <t>Tornado tarife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gyf_tornadoUretim</t>
        </is>
      </c>
      <c r="B19" s="34" t="n">
        <v>1.12</v>
      </c>
      <c r="C19" s="7" t="inlineStr">
        <is>
          <t>çarpan</t>
        </is>
      </c>
      <c r="D19" s="7" t="inlineStr">
        <is>
          <t>Tornado üretim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gyf_tornadoCapex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gyf_tornadoOpex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gyf_tornadoWacc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gyf_yuzdelikOran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gyf_parmakIzi</t>
        </is>
      </c>
      <c r="B24" s="31" t="inlineStr">
        <is>
          <t>0f39f85d5b68650a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gyf_girisBeklenen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gyf_riskDusuk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gyf_riskOrta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gyf_riskYuksek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gyf_yilTaban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gyf_yuvarMax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gyf_bazCarpan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gyf_sifirCarpan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gyf_siraBir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gyf_siraIki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gyf_siraUc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gyf_dikkatCarpan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gyf_npvDikkat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gyf_geriOdemeSonsuz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1200000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vaka_uretim</t>
        </is>
      </c>
      <c r="B41" s="33" t="n">
        <v>140000</v>
      </c>
      <c r="C41" s="7" t="inlineStr">
        <is>
          <t>kWh</t>
        </is>
      </c>
      <c r="D41" s="7" t="inlineStr">
        <is>
          <t>Vaka üretim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vaka_oz</t>
        </is>
      </c>
      <c r="B42" s="33" t="n">
        <v>98000</v>
      </c>
      <c r="C42" s="7" t="inlineStr">
        <is>
          <t>kWh</t>
        </is>
      </c>
      <c r="D42" s="7" t="inlineStr">
        <is>
          <t>Vaka öz tüketim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GES Yatırım Fizibilite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tarife/üretim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yekdem_tarife_yenileme</t>
        </is>
      </c>
    </row>
    <row r="13">
      <c r="A13" s="70" t="inlineStr">
        <is>
          <t>YEKDEM/şebeke satış tarifesi dönemsel yenilenir; bu dosya kullanıcı girişli tarife kullanır (dış API yok — Ç15). Tarife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7:T7"/>
    <mergeCell ref="A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2026-08-11T17:20:39Z</dcterms:created>
  <dcterms:modified xmlns:dcterms="http://purl.org/dc/terms/" xmlns:xsi="http://www.w3.org/2001/XMLSchema-instance" xsi:type="dcterms:W3CDTF">2026-09-25T15:00:28Z</dcterms:modified>
</cp:coreProperties>
</file>